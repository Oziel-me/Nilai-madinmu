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Nilai Madin-MU_files\"/>
    </mc:Choice>
  </mc:AlternateContent>
  <xr:revisionPtr revIDLastSave="0" documentId="13_ncr:1_{A5AAC529-E5EB-439C-B7B5-AF235D196B25}" xr6:coauthVersionLast="47" xr6:coauthVersionMax="47" xr10:uidLastSave="{00000000-0000-0000-0000-000000000000}"/>
  <bookViews>
    <workbookView xWindow="-120" yWindow="-120" windowWidth="29040" windowHeight="15720" xr2:uid="{AE2B8A4C-1290-4AED-9D09-5B488F7D6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0" i="1" l="1"/>
  <c r="H29" i="1"/>
  <c r="H28" i="1"/>
  <c r="I28" i="1" s="1"/>
  <c r="K28" i="1" s="1"/>
  <c r="H27" i="1"/>
  <c r="H26" i="1"/>
  <c r="H25" i="1"/>
  <c r="H24" i="1"/>
  <c r="I24" i="1" s="1"/>
  <c r="K24" i="1" s="1"/>
  <c r="H23" i="1"/>
  <c r="H22" i="1"/>
  <c r="I22" i="1" s="1"/>
  <c r="K22" i="1" s="1"/>
  <c r="H21" i="1"/>
  <c r="I21" i="1" s="1"/>
  <c r="K21" i="1" s="1"/>
  <c r="H20" i="1"/>
  <c r="H19" i="1"/>
  <c r="H18" i="1"/>
  <c r="I18" i="1" s="1"/>
  <c r="K18" i="1" s="1"/>
  <c r="H17" i="1"/>
  <c r="H16" i="1"/>
  <c r="H15" i="1"/>
  <c r="I15" i="1" s="1"/>
  <c r="K15" i="1" s="1"/>
  <c r="H14" i="1"/>
  <c r="I14" i="1" s="1"/>
  <c r="K14" i="1" s="1"/>
  <c r="H13" i="1"/>
  <c r="H12" i="1"/>
  <c r="I11" i="1"/>
  <c r="K11" i="1" s="1"/>
  <c r="H11" i="1"/>
  <c r="H10" i="1"/>
  <c r="H9" i="1"/>
  <c r="I9" i="1" s="1"/>
  <c r="K9" i="1" s="1"/>
  <c r="L8" i="1"/>
  <c r="H8" i="1"/>
  <c r="J10" i="1" l="1"/>
  <c r="J17" i="1"/>
  <c r="J29" i="1"/>
  <c r="J16" i="1"/>
  <c r="J19" i="1"/>
  <c r="J25" i="1"/>
  <c r="J27" i="1"/>
  <c r="J24" i="1"/>
  <c r="J12" i="1"/>
  <c r="J20" i="1"/>
  <c r="J26" i="1"/>
  <c r="J13" i="1"/>
  <c r="J23" i="1"/>
  <c r="J30" i="1"/>
  <c r="J8" i="1"/>
  <c r="I8" i="1"/>
  <c r="K8" i="1" s="1"/>
  <c r="J28" i="1"/>
  <c r="I12" i="1"/>
  <c r="K12" i="1" s="1"/>
  <c r="J15" i="1"/>
  <c r="I25" i="1"/>
  <c r="K25" i="1" s="1"/>
  <c r="J21" i="1"/>
  <c r="J9" i="1"/>
  <c r="I19" i="1"/>
  <c r="K19" i="1" s="1"/>
  <c r="I29" i="1"/>
  <c r="K29" i="1" s="1"/>
  <c r="J18" i="1"/>
  <c r="I16" i="1"/>
  <c r="K16" i="1" s="1"/>
  <c r="I13" i="1"/>
  <c r="K13" i="1" s="1"/>
  <c r="I26" i="1"/>
  <c r="K26" i="1" s="1"/>
  <c r="J22" i="1"/>
  <c r="I10" i="1"/>
  <c r="K10" i="1" s="1"/>
  <c r="I23" i="1"/>
  <c r="K23" i="1" s="1"/>
  <c r="I20" i="1"/>
  <c r="K20" i="1" s="1"/>
  <c r="I30" i="1"/>
  <c r="K30" i="1" s="1"/>
  <c r="I17" i="1"/>
  <c r="K17" i="1" s="1"/>
  <c r="I27" i="1"/>
  <c r="K27" i="1" s="1"/>
  <c r="J11" i="1"/>
  <c r="J14" i="1"/>
</calcChain>
</file>

<file path=xl/sharedStrings.xml><?xml version="1.0" encoding="utf-8"?>
<sst xmlns="http://schemas.openxmlformats.org/spreadsheetml/2006/main" count="23" uniqueCount="22">
  <si>
    <t>PENILAIAN UJIAN BACA KITAB</t>
  </si>
  <si>
    <t>MADRASAH DINIYAH TAKMILIYAH MIFTAHUL ULUM</t>
  </si>
  <si>
    <t>Banyuputih Kidul Jatiroto Lumajang</t>
  </si>
  <si>
    <t>NO</t>
  </si>
  <si>
    <t>NOPES</t>
  </si>
  <si>
    <t xml:space="preserve">NAMA </t>
  </si>
  <si>
    <t>ASR</t>
  </si>
  <si>
    <t>ASPEK PENILAIAN</t>
  </si>
  <si>
    <t>JML</t>
  </si>
  <si>
    <t>RT</t>
  </si>
  <si>
    <t>RANK</t>
  </si>
  <si>
    <t>KKM</t>
  </si>
  <si>
    <t>KET</t>
  </si>
  <si>
    <t>Sihhah Al-Qiro'ah</t>
  </si>
  <si>
    <t>Makna Mufrodat</t>
  </si>
  <si>
    <t>Makna Murad</t>
  </si>
  <si>
    <t>MAX 30</t>
  </si>
  <si>
    <t>MAX 5</t>
  </si>
  <si>
    <t>KELAS :</t>
  </si>
  <si>
    <t xml:space="preserve">ASUHAN : </t>
  </si>
  <si>
    <t>NB:</t>
  </si>
  <si>
    <t>PENAMAAN KELAS HARUS BERUPA ANGKA ROMAWI, DAN GANTI JENJANG DI JUDUL MENJADI MID, MTsD ATAU 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</si>
</sst>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Calibri"/>
      <charset val="134"/>
      <scheme val="minor"/>
    </font>
    <font>
      <b/>
      <sz val="11"/>
      <color theme="1"/>
      <name val="Arial Narrow"/>
      <family val="2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  <font>
      <sz val="10"/>
      <name val="Arial Narrow"/>
      <family val="2"/>
    </font>
    <font>
      <b/>
      <i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quotePrefix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0" borderId="0" xfId="0" applyFont="1"/>
  </cellXfs>
  <cellStyles count="2">
    <cellStyle name="Normal" xfId="0" builtinId="0"/>
    <cellStyle name="Normal 2" xfId="1" xr:uid="{2558A364-F665-4DF2-A9DB-5E76BA2F216F}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theme="1"/>
      </font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A426-E289-413B-BADC-0883FF2C24ED}">
  <dimension ref="A1:L33"/>
  <sheetViews>
    <sheetView tabSelected="1" workbookViewId="0">
      <selection activeCell="C25" sqref="C25"/>
    </sheetView>
  </sheetViews>
  <sheetFormatPr defaultRowHeight="15"/>
  <cols>
    <col min="1" max="1" width="5.140625" customWidth="1"/>
    <col min="2" max="2" width="8.5703125" customWidth="1"/>
    <col min="3" max="3" width="30.7109375" customWidth="1"/>
    <col min="4" max="4" width="7.140625" customWidth="1"/>
    <col min="5" max="5" width="20.140625" bestFit="1" customWidth="1"/>
    <col min="6" max="6" width="19.42578125" bestFit="1" customWidth="1"/>
    <col min="7" max="7" width="16.28515625" bestFit="1" customWidth="1"/>
    <col min="8" max="8" width="4.42578125" bestFit="1" customWidth="1"/>
    <col min="9" max="9" width="6.140625" bestFit="1" customWidth="1"/>
    <col min="10" max="10" width="4.140625" bestFit="1" customWidth="1"/>
    <col min="11" max="11" width="14.140625" customWidth="1"/>
    <col min="12" max="12" width="9.85546875" bestFit="1" customWidth="1"/>
  </cols>
  <sheetData>
    <row r="1" spans="1:12" ht="16.5">
      <c r="A1" s="3" t="s">
        <v>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</row>
    <row r="2" spans="1:12" ht="16.5">
      <c r="A2" s="3" t="s">
        <v>1</v>
      </c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2" ht="16.5">
      <c r="A3" s="2" t="s">
        <v>2</v>
      </c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2" ht="16.5">
      <c r="A4" s="5" t="s">
        <v>19</v>
      </c>
      <c r="B4" s="5"/>
      <c r="C4" s="5"/>
      <c r="D4" s="5"/>
      <c r="E4" s="5"/>
      <c r="F4" s="5"/>
      <c r="G4" s="5"/>
      <c r="H4" s="5"/>
      <c r="I4" s="5"/>
      <c r="J4" s="1"/>
      <c r="K4" s="4" t="s">
        <v>18</v>
      </c>
      <c r="L4" s="2"/>
    </row>
    <row r="5" spans="1:12" ht="27" customHeight="1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25"/>
      <c r="G5" s="25"/>
      <c r="H5" s="23" t="s">
        <v>8</v>
      </c>
      <c r="I5" s="23" t="s">
        <v>9</v>
      </c>
      <c r="J5" s="23" t="s">
        <v>10</v>
      </c>
      <c r="K5" s="25" t="s">
        <v>11</v>
      </c>
      <c r="L5" s="25" t="s">
        <v>12</v>
      </c>
    </row>
    <row r="6" spans="1:12" ht="27" customHeight="1">
      <c r="A6" s="25"/>
      <c r="B6" s="25"/>
      <c r="C6" s="25"/>
      <c r="D6" s="25"/>
      <c r="E6" s="6" t="s">
        <v>13</v>
      </c>
      <c r="F6" s="6" t="s">
        <v>14</v>
      </c>
      <c r="G6" s="6" t="s">
        <v>15</v>
      </c>
      <c r="H6" s="23"/>
      <c r="I6" s="23"/>
      <c r="J6" s="23"/>
      <c r="K6" s="25"/>
      <c r="L6" s="25"/>
    </row>
    <row r="7" spans="1:12" ht="27" customHeight="1">
      <c r="A7" s="26"/>
      <c r="B7" s="26"/>
      <c r="C7" s="26"/>
      <c r="D7" s="26"/>
      <c r="E7" s="22" t="s">
        <v>16</v>
      </c>
      <c r="F7" s="22" t="s">
        <v>16</v>
      </c>
      <c r="G7" s="22" t="s">
        <v>17</v>
      </c>
      <c r="H7" s="24"/>
      <c r="I7" s="24"/>
      <c r="J7" s="24"/>
      <c r="K7" s="22">
        <v>60</v>
      </c>
      <c r="L7" s="26"/>
    </row>
    <row r="8" spans="1:12" ht="16.5">
      <c r="A8" s="16"/>
      <c r="B8" s="17"/>
      <c r="C8" s="18"/>
      <c r="D8" s="19"/>
      <c r="E8" s="16"/>
      <c r="F8" s="16"/>
      <c r="G8" s="16"/>
      <c r="H8" s="20">
        <f t="shared" ref="H8:H30" si="0">100-E8*3+100-F8*3+100-G8*15</f>
        <v>300</v>
      </c>
      <c r="I8" s="21">
        <f t="shared" ref="I8:I30" si="1">H8/3</f>
        <v>100</v>
      </c>
      <c r="J8" s="16">
        <f t="shared" ref="J8:J30" si="2">RANK(H8,$H$8:$H$30)</f>
        <v>1</v>
      </c>
      <c r="K8" s="16" t="str">
        <f t="shared" ref="K8:K30" si="3">IF(I8&lt;11.1,"TIDAK HADIR",IF(I8&lt;13.1,"TIDAK BACA",IF(I8&lt;$K$7,"TIDAK TUNTAS","TUNTAS")))</f>
        <v>TUNTAS</v>
      </c>
      <c r="L8" s="16" t="str">
        <f>IF(G8&gt;5,"TM"," ")</f>
        <v xml:space="preserve"> </v>
      </c>
    </row>
    <row r="9" spans="1:12" ht="16.5">
      <c r="A9" s="7"/>
      <c r="B9" s="8"/>
      <c r="C9" s="13"/>
      <c r="D9" s="10"/>
      <c r="E9" s="7"/>
      <c r="F9" s="7"/>
      <c r="G9" s="7"/>
      <c r="H9" s="11">
        <f t="shared" si="0"/>
        <v>300</v>
      </c>
      <c r="I9" s="12">
        <f t="shared" si="1"/>
        <v>100</v>
      </c>
      <c r="J9" s="7">
        <f t="shared" si="2"/>
        <v>1</v>
      </c>
      <c r="K9" s="7" t="str">
        <f t="shared" si="3"/>
        <v>TUNTAS</v>
      </c>
      <c r="L9" s="7"/>
    </row>
    <row r="10" spans="1:12" ht="16.5">
      <c r="A10" s="7"/>
      <c r="B10" s="8"/>
      <c r="C10" s="13"/>
      <c r="D10" s="10"/>
      <c r="E10" s="7"/>
      <c r="F10" s="7"/>
      <c r="G10" s="7"/>
      <c r="H10" s="11">
        <f t="shared" si="0"/>
        <v>300</v>
      </c>
      <c r="I10" s="12">
        <f t="shared" si="1"/>
        <v>100</v>
      </c>
      <c r="J10" s="7">
        <f t="shared" si="2"/>
        <v>1</v>
      </c>
      <c r="K10" s="7" t="str">
        <f t="shared" si="3"/>
        <v>TUNTAS</v>
      </c>
      <c r="L10" s="7"/>
    </row>
    <row r="11" spans="1:12" ht="16.5">
      <c r="A11" s="7"/>
      <c r="B11" s="8"/>
      <c r="C11" s="9"/>
      <c r="D11" s="10"/>
      <c r="E11" s="7"/>
      <c r="F11" s="7"/>
      <c r="G11" s="7"/>
      <c r="H11" s="11">
        <f t="shared" si="0"/>
        <v>300</v>
      </c>
      <c r="I11" s="12">
        <f t="shared" si="1"/>
        <v>100</v>
      </c>
      <c r="J11" s="7">
        <f t="shared" si="2"/>
        <v>1</v>
      </c>
      <c r="K11" s="7" t="str">
        <f t="shared" si="3"/>
        <v>TUNTAS</v>
      </c>
      <c r="L11" s="7"/>
    </row>
    <row r="12" spans="1:12" ht="16.5">
      <c r="A12" s="7"/>
      <c r="B12" s="8"/>
      <c r="C12" s="13"/>
      <c r="D12" s="10"/>
      <c r="E12" s="7"/>
      <c r="F12" s="7"/>
      <c r="G12" s="7"/>
      <c r="H12" s="11">
        <f t="shared" si="0"/>
        <v>300</v>
      </c>
      <c r="I12" s="12">
        <f t="shared" si="1"/>
        <v>100</v>
      </c>
      <c r="J12" s="7">
        <f t="shared" si="2"/>
        <v>1</v>
      </c>
      <c r="K12" s="7" t="str">
        <f t="shared" si="3"/>
        <v>TUNTAS</v>
      </c>
      <c r="L12" s="7"/>
    </row>
    <row r="13" spans="1:12" ht="16.5">
      <c r="A13" s="7"/>
      <c r="B13" s="8"/>
      <c r="C13" s="9"/>
      <c r="D13" s="10"/>
      <c r="E13" s="7"/>
      <c r="F13" s="7"/>
      <c r="G13" s="7"/>
      <c r="H13" s="11">
        <f t="shared" si="0"/>
        <v>300</v>
      </c>
      <c r="I13" s="12">
        <f t="shared" si="1"/>
        <v>100</v>
      </c>
      <c r="J13" s="7">
        <f t="shared" si="2"/>
        <v>1</v>
      </c>
      <c r="K13" s="7" t="str">
        <f t="shared" si="3"/>
        <v>TUNTAS</v>
      </c>
      <c r="L13" s="7"/>
    </row>
    <row r="14" spans="1:12" ht="16.5">
      <c r="A14" s="7"/>
      <c r="B14" s="8"/>
      <c r="C14" s="13"/>
      <c r="D14" s="10"/>
      <c r="E14" s="7"/>
      <c r="F14" s="7"/>
      <c r="G14" s="7"/>
      <c r="H14" s="11">
        <f t="shared" si="0"/>
        <v>300</v>
      </c>
      <c r="I14" s="12">
        <f t="shared" si="1"/>
        <v>100</v>
      </c>
      <c r="J14" s="7">
        <f t="shared" si="2"/>
        <v>1</v>
      </c>
      <c r="K14" s="7" t="str">
        <f t="shared" si="3"/>
        <v>TUNTAS</v>
      </c>
      <c r="L14" s="7"/>
    </row>
    <row r="15" spans="1:12" ht="16.5">
      <c r="A15" s="7"/>
      <c r="B15" s="8"/>
      <c r="C15" s="9"/>
      <c r="D15" s="10"/>
      <c r="E15" s="7"/>
      <c r="F15" s="7"/>
      <c r="G15" s="7"/>
      <c r="H15" s="11">
        <f t="shared" si="0"/>
        <v>300</v>
      </c>
      <c r="I15" s="12">
        <f t="shared" si="1"/>
        <v>100</v>
      </c>
      <c r="J15" s="7">
        <f t="shared" si="2"/>
        <v>1</v>
      </c>
      <c r="K15" s="7" t="str">
        <f t="shared" si="3"/>
        <v>TUNTAS</v>
      </c>
      <c r="L15" s="7"/>
    </row>
    <row r="16" spans="1:12" ht="16.5">
      <c r="A16" s="7"/>
      <c r="B16" s="8"/>
      <c r="C16" s="9"/>
      <c r="D16" s="10"/>
      <c r="E16" s="7"/>
      <c r="F16" s="7"/>
      <c r="G16" s="7"/>
      <c r="H16" s="11">
        <f t="shared" si="0"/>
        <v>300</v>
      </c>
      <c r="I16" s="12">
        <f t="shared" si="1"/>
        <v>100</v>
      </c>
      <c r="J16" s="7">
        <f t="shared" si="2"/>
        <v>1</v>
      </c>
      <c r="K16" s="7" t="str">
        <f t="shared" si="3"/>
        <v>TUNTAS</v>
      </c>
      <c r="L16" s="7"/>
    </row>
    <row r="17" spans="1:12" ht="16.5">
      <c r="A17" s="7"/>
      <c r="B17" s="8"/>
      <c r="C17" s="9"/>
      <c r="D17" s="10"/>
      <c r="E17" s="7"/>
      <c r="F17" s="7"/>
      <c r="G17" s="7"/>
      <c r="H17" s="11">
        <f t="shared" si="0"/>
        <v>300</v>
      </c>
      <c r="I17" s="12">
        <f t="shared" si="1"/>
        <v>100</v>
      </c>
      <c r="J17" s="7">
        <f t="shared" si="2"/>
        <v>1</v>
      </c>
      <c r="K17" s="7" t="str">
        <f t="shared" si="3"/>
        <v>TUNTAS</v>
      </c>
      <c r="L17" s="7"/>
    </row>
    <row r="18" spans="1:12" ht="16.5">
      <c r="A18" s="7"/>
      <c r="B18" s="8"/>
      <c r="C18" s="9"/>
      <c r="D18" s="10"/>
      <c r="E18" s="7"/>
      <c r="F18" s="7"/>
      <c r="G18" s="7"/>
      <c r="H18" s="11">
        <f t="shared" si="0"/>
        <v>300</v>
      </c>
      <c r="I18" s="12">
        <f t="shared" si="1"/>
        <v>100</v>
      </c>
      <c r="J18" s="7">
        <f t="shared" si="2"/>
        <v>1</v>
      </c>
      <c r="K18" s="7" t="str">
        <f t="shared" si="3"/>
        <v>TUNTAS</v>
      </c>
      <c r="L18" s="7"/>
    </row>
    <row r="19" spans="1:12" ht="16.5">
      <c r="A19" s="7"/>
      <c r="B19" s="8"/>
      <c r="C19" s="9"/>
      <c r="D19" s="10"/>
      <c r="E19" s="7"/>
      <c r="F19" s="7"/>
      <c r="G19" s="7"/>
      <c r="H19" s="11">
        <f t="shared" si="0"/>
        <v>300</v>
      </c>
      <c r="I19" s="12">
        <f t="shared" si="1"/>
        <v>100</v>
      </c>
      <c r="J19" s="7">
        <f t="shared" si="2"/>
        <v>1</v>
      </c>
      <c r="K19" s="7" t="str">
        <f t="shared" si="3"/>
        <v>TUNTAS</v>
      </c>
      <c r="L19" s="7"/>
    </row>
    <row r="20" spans="1:12" ht="16.5">
      <c r="A20" s="7"/>
      <c r="B20" s="8"/>
      <c r="C20" s="9"/>
      <c r="D20" s="10"/>
      <c r="E20" s="7"/>
      <c r="F20" s="7"/>
      <c r="G20" s="7"/>
      <c r="H20" s="11">
        <f t="shared" si="0"/>
        <v>300</v>
      </c>
      <c r="I20" s="12">
        <f t="shared" si="1"/>
        <v>100</v>
      </c>
      <c r="J20" s="7">
        <f t="shared" si="2"/>
        <v>1</v>
      </c>
      <c r="K20" s="7" t="str">
        <f t="shared" si="3"/>
        <v>TUNTAS</v>
      </c>
      <c r="L20" s="7"/>
    </row>
    <row r="21" spans="1:12" ht="16.5">
      <c r="A21" s="7"/>
      <c r="B21" s="8"/>
      <c r="C21" s="9"/>
      <c r="D21" s="10"/>
      <c r="E21" s="7"/>
      <c r="F21" s="7"/>
      <c r="G21" s="7"/>
      <c r="H21" s="11">
        <f t="shared" si="0"/>
        <v>300</v>
      </c>
      <c r="I21" s="12">
        <f t="shared" si="1"/>
        <v>100</v>
      </c>
      <c r="J21" s="7">
        <f t="shared" si="2"/>
        <v>1</v>
      </c>
      <c r="K21" s="7" t="str">
        <f t="shared" si="3"/>
        <v>TUNTAS</v>
      </c>
      <c r="L21" s="7"/>
    </row>
    <row r="22" spans="1:12" ht="16.5">
      <c r="A22" s="7"/>
      <c r="B22" s="8"/>
      <c r="C22" s="9"/>
      <c r="D22" s="10"/>
      <c r="E22" s="7"/>
      <c r="F22" s="7"/>
      <c r="G22" s="7"/>
      <c r="H22" s="11">
        <f t="shared" si="0"/>
        <v>300</v>
      </c>
      <c r="I22" s="12">
        <f t="shared" si="1"/>
        <v>100</v>
      </c>
      <c r="J22" s="7">
        <f t="shared" si="2"/>
        <v>1</v>
      </c>
      <c r="K22" s="7" t="str">
        <f t="shared" si="3"/>
        <v>TUNTAS</v>
      </c>
      <c r="L22" s="7"/>
    </row>
    <row r="23" spans="1:12" ht="16.5">
      <c r="A23" s="7"/>
      <c r="B23" s="8"/>
      <c r="C23" s="9"/>
      <c r="D23" s="10"/>
      <c r="E23" s="7"/>
      <c r="F23" s="7"/>
      <c r="G23" s="7"/>
      <c r="H23" s="11">
        <f t="shared" si="0"/>
        <v>300</v>
      </c>
      <c r="I23" s="12">
        <f t="shared" si="1"/>
        <v>100</v>
      </c>
      <c r="J23" s="7">
        <f t="shared" si="2"/>
        <v>1</v>
      </c>
      <c r="K23" s="7" t="str">
        <f t="shared" si="3"/>
        <v>TUNTAS</v>
      </c>
      <c r="L23" s="7"/>
    </row>
    <row r="24" spans="1:12" ht="16.5">
      <c r="A24" s="7"/>
      <c r="B24" s="8"/>
      <c r="C24" s="14"/>
      <c r="D24" s="15"/>
      <c r="E24" s="7"/>
      <c r="F24" s="7"/>
      <c r="G24" s="7"/>
      <c r="H24" s="11">
        <f t="shared" si="0"/>
        <v>300</v>
      </c>
      <c r="I24" s="12">
        <f t="shared" si="1"/>
        <v>100</v>
      </c>
      <c r="J24" s="7">
        <f t="shared" si="2"/>
        <v>1</v>
      </c>
      <c r="K24" s="7" t="str">
        <f t="shared" si="3"/>
        <v>TUNTAS</v>
      </c>
      <c r="L24" s="7"/>
    </row>
    <row r="25" spans="1:12" ht="16.5">
      <c r="A25" s="7"/>
      <c r="B25" s="8"/>
      <c r="C25" s="9"/>
      <c r="D25" s="10"/>
      <c r="E25" s="7"/>
      <c r="F25" s="7"/>
      <c r="G25" s="7"/>
      <c r="H25" s="11">
        <f t="shared" si="0"/>
        <v>300</v>
      </c>
      <c r="I25" s="12">
        <f t="shared" si="1"/>
        <v>100</v>
      </c>
      <c r="J25" s="7">
        <f t="shared" si="2"/>
        <v>1</v>
      </c>
      <c r="K25" s="7" t="str">
        <f t="shared" si="3"/>
        <v>TUNTAS</v>
      </c>
      <c r="L25" s="7"/>
    </row>
    <row r="26" spans="1:12" ht="16.5">
      <c r="A26" s="7"/>
      <c r="B26" s="8"/>
      <c r="C26" s="9"/>
      <c r="D26" s="10"/>
      <c r="E26" s="7"/>
      <c r="F26" s="7"/>
      <c r="G26" s="7"/>
      <c r="H26" s="11">
        <f t="shared" si="0"/>
        <v>300</v>
      </c>
      <c r="I26" s="12">
        <f t="shared" si="1"/>
        <v>100</v>
      </c>
      <c r="J26" s="7">
        <f t="shared" si="2"/>
        <v>1</v>
      </c>
      <c r="K26" s="7" t="str">
        <f t="shared" si="3"/>
        <v>TUNTAS</v>
      </c>
      <c r="L26" s="7"/>
    </row>
    <row r="27" spans="1:12" ht="16.5">
      <c r="A27" s="7"/>
      <c r="B27" s="8"/>
      <c r="C27" s="9"/>
      <c r="D27" s="10"/>
      <c r="E27" s="7"/>
      <c r="F27" s="7"/>
      <c r="G27" s="7"/>
      <c r="H27" s="11">
        <f t="shared" si="0"/>
        <v>300</v>
      </c>
      <c r="I27" s="12">
        <f t="shared" si="1"/>
        <v>100</v>
      </c>
      <c r="J27" s="7">
        <f t="shared" si="2"/>
        <v>1</v>
      </c>
      <c r="K27" s="7" t="str">
        <f t="shared" si="3"/>
        <v>TUNTAS</v>
      </c>
      <c r="L27" s="7"/>
    </row>
    <row r="28" spans="1:12" ht="16.5">
      <c r="A28" s="7"/>
      <c r="B28" s="8"/>
      <c r="C28" s="9"/>
      <c r="D28" s="10"/>
      <c r="E28" s="7"/>
      <c r="F28" s="7"/>
      <c r="G28" s="7"/>
      <c r="H28" s="11">
        <f t="shared" si="0"/>
        <v>300</v>
      </c>
      <c r="I28" s="12">
        <f t="shared" si="1"/>
        <v>100</v>
      </c>
      <c r="J28" s="7">
        <f t="shared" si="2"/>
        <v>1</v>
      </c>
      <c r="K28" s="7" t="str">
        <f t="shared" si="3"/>
        <v>TUNTAS</v>
      </c>
      <c r="L28" s="7"/>
    </row>
    <row r="29" spans="1:12" ht="16.5">
      <c r="A29" s="7"/>
      <c r="B29" s="8"/>
      <c r="C29" s="14"/>
      <c r="D29" s="15"/>
      <c r="E29" s="7"/>
      <c r="F29" s="7"/>
      <c r="G29" s="7"/>
      <c r="H29" s="11">
        <f t="shared" si="0"/>
        <v>300</v>
      </c>
      <c r="I29" s="12">
        <f t="shared" si="1"/>
        <v>100</v>
      </c>
      <c r="J29" s="7">
        <f t="shared" si="2"/>
        <v>1</v>
      </c>
      <c r="K29" s="7" t="str">
        <f t="shared" si="3"/>
        <v>TUNTAS</v>
      </c>
      <c r="L29" s="7"/>
    </row>
    <row r="30" spans="1:12" ht="16.5">
      <c r="A30" s="7"/>
      <c r="B30" s="8"/>
      <c r="C30" s="9"/>
      <c r="D30" s="10"/>
      <c r="E30" s="7"/>
      <c r="F30" s="7"/>
      <c r="G30" s="7"/>
      <c r="H30" s="11">
        <f t="shared" si="0"/>
        <v>300</v>
      </c>
      <c r="I30" s="12">
        <f t="shared" si="1"/>
        <v>100</v>
      </c>
      <c r="J30" s="7">
        <f t="shared" si="2"/>
        <v>1</v>
      </c>
      <c r="K30" s="7" t="str">
        <f t="shared" si="3"/>
        <v>TUNTAS</v>
      </c>
      <c r="L30" s="7"/>
    </row>
    <row r="33" spans="1:2" ht="16.5">
      <c r="A33" s="27" t="s">
        <v>20</v>
      </c>
      <c r="B33" s="27" t="s">
        <v>21</v>
      </c>
    </row>
  </sheetData>
  <mergeCells count="10">
    <mergeCell ref="J5:J7"/>
    <mergeCell ref="K5:K6"/>
    <mergeCell ref="L5:L7"/>
    <mergeCell ref="A5:A7"/>
    <mergeCell ref="B5:B7"/>
    <mergeCell ref="C5:C7"/>
    <mergeCell ref="D5:D7"/>
    <mergeCell ref="E5:G5"/>
    <mergeCell ref="H5:H7"/>
    <mergeCell ref="I5:I7"/>
  </mergeCells>
  <conditionalFormatting sqref="K8:K30">
    <cfRule type="cellIs" dxfId="9" priority="1" operator="equal">
      <formula>"TIDAK BACA"</formula>
    </cfRule>
    <cfRule type="cellIs" dxfId="8" priority="2" operator="equal">
      <formula>"TIDAK TUNTAS"</formula>
    </cfRule>
    <cfRule type="cellIs" dxfId="7" priority="3" operator="equal">
      <formula>"TUNTAS"</formula>
    </cfRule>
    <cfRule type="cellIs" dxfId="6" priority="4" operator="equal">
      <formula>"TIDAK HADIR"</formula>
    </cfRule>
    <cfRule type="cellIs" dxfId="5" priority="5" operator="equal">
      <formula>"TIDAK MUROD"</formula>
    </cfRule>
  </conditionalFormatting>
  <conditionalFormatting sqref="D18:D19 D21:D22">
    <cfRule type="cellIs" dxfId="4" priority="10" operator="equal">
      <formula>0</formula>
    </cfRule>
  </conditionalFormatting>
  <conditionalFormatting sqref="I5:I7">
    <cfRule type="cellIs" dxfId="3" priority="11" operator="lessThan">
      <formula>100</formula>
    </cfRule>
  </conditionalFormatting>
  <conditionalFormatting sqref="I5:I30">
    <cfRule type="cellIs" dxfId="2" priority="8" operator="lessThan">
      <formula>60</formula>
    </cfRule>
  </conditionalFormatting>
  <conditionalFormatting sqref="I8:I30">
    <cfRule type="cellIs" dxfId="1" priority="6" operator="lessThan">
      <formula>60</formula>
    </cfRule>
    <cfRule type="cellIs" dxfId="0" priority="12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28:D28 C30:D30 C24:D25" xr:uid="{8FE23049-A019-41C1-8736-4DD13F19149C}"/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KHOLILI</dc:creator>
  <cp:lastModifiedBy>KHOLILI</cp:lastModifiedBy>
  <cp:lastPrinted>2026-07-20T16:27:20Z</cp:lastPrinted>
  <dcterms:created xsi:type="dcterms:W3CDTF">2026-07-20T16:23:19Z</dcterms:created>
  <dcterms:modified xsi:type="dcterms:W3CDTF">2026-07-20T16:29:25Z</dcterms:modified>
</cp:coreProperties>
</file>