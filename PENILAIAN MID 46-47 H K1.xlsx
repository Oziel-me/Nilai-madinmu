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. MDT 2026\15. ADM KWARTAL\1. BACA KITAB\NILAI BACA KITAB K1\"/>
    </mc:Choice>
  </mc:AlternateContent>
  <xr:revisionPtr revIDLastSave="0" documentId="13_ncr:1_{68C77991-9378-4175-8A0A-56D77D71FA8E}" xr6:coauthVersionLast="47" xr6:coauthVersionMax="47" xr10:uidLastSave="{00000000-0000-0000-0000-000000000000}"/>
  <bookViews>
    <workbookView xWindow="-120" yWindow="-120" windowWidth="29040" windowHeight="15720" firstSheet="6" activeTab="30" xr2:uid="{00000000-000D-0000-FFFF-FFFF00000000}"/>
  </bookViews>
  <sheets>
    <sheet name="3A" sheetId="6" r:id="rId1"/>
    <sheet name="3B" sheetId="36" r:id="rId2"/>
    <sheet name="3C" sheetId="63" r:id="rId3"/>
    <sheet name="3D" sheetId="38" r:id="rId4"/>
    <sheet name="3E" sheetId="35" r:id="rId5"/>
    <sheet name="3F" sheetId="34" r:id="rId6"/>
    <sheet name="3G" sheetId="39" r:id="rId7"/>
    <sheet name="3H" sheetId="40" r:id="rId8"/>
    <sheet name="3I" sheetId="41" r:id="rId9"/>
    <sheet name="3J" sheetId="42" r:id="rId10"/>
    <sheet name="4A" sheetId="15" r:id="rId11"/>
    <sheet name="4B" sheetId="43" r:id="rId12"/>
    <sheet name="4C" sheetId="44" r:id="rId13"/>
    <sheet name="4D" sheetId="46" r:id="rId14"/>
    <sheet name="4E" sheetId="47" r:id="rId15"/>
    <sheet name="4F" sheetId="48" r:id="rId16"/>
    <sheet name="4G" sheetId="49" r:id="rId17"/>
    <sheet name="4H" sheetId="45" r:id="rId18"/>
    <sheet name="4I" sheetId="50" r:id="rId19"/>
    <sheet name="5A" sheetId="51" r:id="rId20"/>
    <sheet name="5B" sheetId="52" r:id="rId21"/>
    <sheet name="5C" sheetId="53" r:id="rId22"/>
    <sheet name="5D" sheetId="54" r:id="rId23"/>
    <sheet name="5E" sheetId="55" r:id="rId24"/>
    <sheet name="5F" sheetId="56" r:id="rId25"/>
    <sheet name="6A" sheetId="60" r:id="rId26"/>
    <sheet name="6B" sheetId="61" r:id="rId27"/>
    <sheet name="6C" sheetId="62" r:id="rId28"/>
    <sheet name="6D" sheetId="57" r:id="rId29"/>
    <sheet name="6E" sheetId="59" r:id="rId30"/>
    <sheet name="6F" sheetId="58" r:id="rId31"/>
  </sheets>
  <definedNames>
    <definedName name="_xlnm._FilterDatabase" localSheetId="10" hidden="1">'4A'!$B$5:$H$7</definedName>
    <definedName name="_xlnm._FilterDatabase" localSheetId="11" hidden="1">'4B'!$B$5:$H$7</definedName>
    <definedName name="_xlnm._FilterDatabase" localSheetId="12" hidden="1">'4C'!$B$5:$H$7</definedName>
    <definedName name="_xlnm._FilterDatabase" localSheetId="13" hidden="1">'4D'!$B$5:$H$7</definedName>
    <definedName name="_xlnm._FilterDatabase" localSheetId="14" hidden="1">'4E'!$B$5:$H$7</definedName>
    <definedName name="_xlnm._FilterDatabase" localSheetId="15" hidden="1">'4F'!$B$5:$H$7</definedName>
    <definedName name="_xlnm._FilterDatabase" localSheetId="16" hidden="1">'4G'!$B$5:$H$7</definedName>
    <definedName name="_xlnm._FilterDatabase" localSheetId="17" hidden="1">'4H'!$B$5:$H$7</definedName>
    <definedName name="_xlnm._FilterDatabase" localSheetId="18" hidden="1">'4I'!$B$5:$H$7</definedName>
    <definedName name="_xlnm._FilterDatabase" localSheetId="19" hidden="1">'5A'!$B$5:$H$7</definedName>
    <definedName name="_xlnm._FilterDatabase" localSheetId="20" hidden="1">'5B'!$A$5:$L$7</definedName>
    <definedName name="_xlnm._FilterDatabase" localSheetId="21" hidden="1">'5C'!$B$5:$L$7</definedName>
    <definedName name="_xlnm._FilterDatabase" localSheetId="22" hidden="1">'5D'!$B$5:$H$7</definedName>
    <definedName name="_xlnm._FilterDatabase" localSheetId="23" hidden="1">'5E'!$B$5:$H$7</definedName>
    <definedName name="_xlnm._FilterDatabase" localSheetId="24" hidden="1">'5F'!$B$5:$H$7</definedName>
    <definedName name="_xlnm._FilterDatabase" localSheetId="25" hidden="1">'6A'!$B$5:$L$7</definedName>
    <definedName name="_xlnm._FilterDatabase" localSheetId="26" hidden="1">'6B'!$B$5:$H$7</definedName>
    <definedName name="_xlnm._FilterDatabase" localSheetId="27" hidden="1">'6C'!$B$5:$H$7</definedName>
    <definedName name="_xlnm._FilterDatabase" localSheetId="28" hidden="1">'6D'!$B$5:$H$7</definedName>
    <definedName name="_xlnm._FilterDatabase" localSheetId="29" hidden="1">'6E'!$B$5:$H$7</definedName>
    <definedName name="_xlnm._FilterDatabase" localSheetId="30" hidden="1">'6F'!$B$5:$H$7</definedName>
    <definedName name="_xlnm.Print_Area" localSheetId="10">'4A'!$A$5:$K$55</definedName>
    <definedName name="_xlnm.Print_Area" localSheetId="11">'4B'!$A$5:$K$59</definedName>
    <definedName name="_xlnm.Print_Area" localSheetId="12">'4C'!$A$5:$K$59</definedName>
    <definedName name="_xlnm.Print_Area" localSheetId="13">'4D'!$A$5:$K$59</definedName>
    <definedName name="_xlnm.Print_Area" localSheetId="14">'4E'!$A$5:$K$59</definedName>
    <definedName name="_xlnm.Print_Area" localSheetId="15">'4F'!$A$5:$K$56</definedName>
    <definedName name="_xlnm.Print_Area" localSheetId="16">'4G'!$A$5:$K$59</definedName>
    <definedName name="_xlnm.Print_Area" localSheetId="17">'4H'!$A$5:$K$59</definedName>
    <definedName name="_xlnm.Print_Area" localSheetId="18">'4I'!$A$5:$K$46</definedName>
    <definedName name="_xlnm.Print_Area" localSheetId="19">'5A'!$A$5:$K$59</definedName>
    <definedName name="_xlnm.Print_Area" localSheetId="20">'5B'!$A$5:$K$59</definedName>
    <definedName name="_xlnm.Print_Area" localSheetId="21">'5C'!$A$5:$K$59</definedName>
    <definedName name="_xlnm.Print_Area" localSheetId="22">'5D'!$A$5:$K$59</definedName>
    <definedName name="_xlnm.Print_Area" localSheetId="23">'5E'!$A$5:$K$59</definedName>
    <definedName name="_xlnm.Print_Area" localSheetId="24">'5F'!$A$5:$K$59</definedName>
    <definedName name="_xlnm.Print_Area" localSheetId="25">'6A'!$A$1:$K$44</definedName>
    <definedName name="_xlnm.Print_Area" localSheetId="26">'6B'!$A$5:$K$50</definedName>
    <definedName name="_xlnm.Print_Area" localSheetId="27">'6C'!$A$5:$K$46</definedName>
    <definedName name="_xlnm.Print_Area" localSheetId="28">'6D'!$A$5:$K$48</definedName>
    <definedName name="_xlnm.Print_Area" localSheetId="29">'6E'!$A$5:$K$54</definedName>
    <definedName name="_xlnm.Print_Area" localSheetId="30">'6F'!$A$5:$K$53</definedName>
    <definedName name="_xlnm.Print_Titles" localSheetId="10">'4A'!$5:$7</definedName>
    <definedName name="_xlnm.Print_Titles" localSheetId="11">'4B'!$5:$7</definedName>
    <definedName name="_xlnm.Print_Titles" localSheetId="12">'4C'!$5:$7</definedName>
    <definedName name="_xlnm.Print_Titles" localSheetId="13">'4D'!$5:$7</definedName>
    <definedName name="_xlnm.Print_Titles" localSheetId="14">'4E'!$5:$7</definedName>
    <definedName name="_xlnm.Print_Titles" localSheetId="15">'4F'!$5:$7</definedName>
    <definedName name="_xlnm.Print_Titles" localSheetId="16">'4G'!$5:$7</definedName>
    <definedName name="_xlnm.Print_Titles" localSheetId="17">'4H'!$5:$7</definedName>
    <definedName name="_xlnm.Print_Titles" localSheetId="18">'4I'!$5:$7</definedName>
    <definedName name="_xlnm.Print_Titles" localSheetId="19">'5A'!$5:$7</definedName>
    <definedName name="_xlnm.Print_Titles" localSheetId="20">'5B'!$5:$7</definedName>
    <definedName name="_xlnm.Print_Titles" localSheetId="21">'5C'!$5:$7</definedName>
    <definedName name="_xlnm.Print_Titles" localSheetId="22">'5D'!$5:$7</definedName>
    <definedName name="_xlnm.Print_Titles" localSheetId="23">'5E'!$5:$7</definedName>
    <definedName name="_xlnm.Print_Titles" localSheetId="24">'5F'!$5:$7</definedName>
    <definedName name="_xlnm.Print_Titles" localSheetId="25">'6A'!$5:$7</definedName>
    <definedName name="_xlnm.Print_Titles" localSheetId="26">'6B'!$5:$7</definedName>
    <definedName name="_xlnm.Print_Titles" localSheetId="27">'6C'!$5:$7</definedName>
    <definedName name="_xlnm.Print_Titles" localSheetId="28">'6D'!$5:$7</definedName>
    <definedName name="_xlnm.Print_Titles" localSheetId="29">'6E'!$5:$7</definedName>
    <definedName name="_xlnm.Print_Titles" localSheetId="30">'6F'!$5:$7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0" i="58" l="1"/>
  <c r="N51" i="58"/>
  <c r="N52" i="58"/>
  <c r="N50" i="59"/>
  <c r="N51" i="59"/>
  <c r="N52" i="59"/>
  <c r="N53" i="59"/>
  <c r="N54" i="59"/>
  <c r="N9" i="62"/>
  <c r="N10" i="62"/>
  <c r="N11" i="62"/>
  <c r="N12" i="62"/>
  <c r="N13" i="62"/>
  <c r="N14" i="62"/>
  <c r="N15" i="62"/>
  <c r="N16" i="62"/>
  <c r="N17" i="62"/>
  <c r="N18" i="62"/>
  <c r="N19" i="62"/>
  <c r="N20" i="62"/>
  <c r="N21" i="62"/>
  <c r="N22" i="62"/>
  <c r="N23" i="62"/>
  <c r="N24" i="62"/>
  <c r="N25" i="62"/>
  <c r="N26" i="62"/>
  <c r="N27" i="62"/>
  <c r="N28" i="62"/>
  <c r="N29" i="62"/>
  <c r="N30" i="62"/>
  <c r="N31" i="62"/>
  <c r="N32" i="62"/>
  <c r="N33" i="62"/>
  <c r="N34" i="62"/>
  <c r="N35" i="62"/>
  <c r="N36" i="62"/>
  <c r="N37" i="62"/>
  <c r="N38" i="62"/>
  <c r="N39" i="62"/>
  <c r="N40" i="62"/>
  <c r="N41" i="62"/>
  <c r="N42" i="62"/>
  <c r="N43" i="62"/>
  <c r="N44" i="62"/>
  <c r="N45" i="62"/>
  <c r="N46" i="62"/>
  <c r="N47" i="62"/>
  <c r="N48" i="62"/>
  <c r="N49" i="62"/>
  <c r="N9" i="57"/>
  <c r="N10" i="57"/>
  <c r="N11" i="57"/>
  <c r="N12" i="57"/>
  <c r="N13" i="57"/>
  <c r="N14" i="57"/>
  <c r="N15" i="57"/>
  <c r="N16" i="57"/>
  <c r="N17" i="57"/>
  <c r="N18" i="57"/>
  <c r="N19" i="57"/>
  <c r="N20" i="57"/>
  <c r="N21" i="57"/>
  <c r="N22" i="57"/>
  <c r="N23" i="57"/>
  <c r="N24" i="57"/>
  <c r="N25" i="57"/>
  <c r="N26" i="57"/>
  <c r="N27" i="57"/>
  <c r="N28" i="57"/>
  <c r="N29" i="57"/>
  <c r="N30" i="57"/>
  <c r="N31" i="57"/>
  <c r="N32" i="57"/>
  <c r="N33" i="57"/>
  <c r="N34" i="57"/>
  <c r="N35" i="57"/>
  <c r="N36" i="57"/>
  <c r="N37" i="57"/>
  <c r="N38" i="57"/>
  <c r="N39" i="57"/>
  <c r="N40" i="57"/>
  <c r="N41" i="57"/>
  <c r="N42" i="57"/>
  <c r="N43" i="57"/>
  <c r="N44" i="57"/>
  <c r="N45" i="57"/>
  <c r="N46" i="57"/>
  <c r="N47" i="57"/>
  <c r="N48" i="57"/>
  <c r="N49" i="57"/>
  <c r="N9" i="59"/>
  <c r="N10" i="59"/>
  <c r="N11" i="59"/>
  <c r="N12" i="59"/>
  <c r="N13" i="59"/>
  <c r="N14" i="59"/>
  <c r="N15" i="59"/>
  <c r="N16" i="59"/>
  <c r="N17" i="59"/>
  <c r="N18" i="59"/>
  <c r="N19" i="59"/>
  <c r="N20" i="59"/>
  <c r="N21" i="59"/>
  <c r="N22" i="59"/>
  <c r="N23" i="59"/>
  <c r="N24" i="59"/>
  <c r="N25" i="59"/>
  <c r="N26" i="59"/>
  <c r="N27" i="59"/>
  <c r="N28" i="59"/>
  <c r="N29" i="59"/>
  <c r="N30" i="59"/>
  <c r="N31" i="59"/>
  <c r="N32" i="59"/>
  <c r="N33" i="59"/>
  <c r="N34" i="59"/>
  <c r="N35" i="59"/>
  <c r="N36" i="59"/>
  <c r="N37" i="59"/>
  <c r="N38" i="59"/>
  <c r="N39" i="59"/>
  <c r="N40" i="59"/>
  <c r="N41" i="59"/>
  <c r="N42" i="59"/>
  <c r="N43" i="59"/>
  <c r="N44" i="59"/>
  <c r="N45" i="59"/>
  <c r="N46" i="59"/>
  <c r="N47" i="59"/>
  <c r="N48" i="59"/>
  <c r="N49" i="59"/>
  <c r="N9" i="58"/>
  <c r="N10" i="58"/>
  <c r="N11" i="58"/>
  <c r="N12" i="58"/>
  <c r="N13" i="58"/>
  <c r="N14" i="58"/>
  <c r="N15" i="58"/>
  <c r="N16" i="58"/>
  <c r="N17" i="58"/>
  <c r="N18" i="58"/>
  <c r="N19" i="58"/>
  <c r="N20" i="58"/>
  <c r="N21" i="58"/>
  <c r="N22" i="58"/>
  <c r="N23" i="58"/>
  <c r="N24" i="58"/>
  <c r="N25" i="58"/>
  <c r="N26" i="58"/>
  <c r="N27" i="58"/>
  <c r="N28" i="58"/>
  <c r="N29" i="58"/>
  <c r="N30" i="58"/>
  <c r="N31" i="58"/>
  <c r="N32" i="58"/>
  <c r="N33" i="58"/>
  <c r="N34" i="58"/>
  <c r="N35" i="58"/>
  <c r="N36" i="58"/>
  <c r="N37" i="58"/>
  <c r="N38" i="58"/>
  <c r="N39" i="58"/>
  <c r="N40" i="58"/>
  <c r="N41" i="58"/>
  <c r="N42" i="58"/>
  <c r="N43" i="58"/>
  <c r="N44" i="58"/>
  <c r="N45" i="58"/>
  <c r="N46" i="58"/>
  <c r="N47" i="58"/>
  <c r="N48" i="58"/>
  <c r="N49" i="58"/>
  <c r="N9" i="61"/>
  <c r="N10" i="61"/>
  <c r="N11" i="61"/>
  <c r="N12" i="61"/>
  <c r="N13" i="61"/>
  <c r="N14" i="61"/>
  <c r="N15" i="61"/>
  <c r="N16" i="61"/>
  <c r="N17" i="61"/>
  <c r="N18" i="61"/>
  <c r="N19" i="61"/>
  <c r="N20" i="61"/>
  <c r="N21" i="61"/>
  <c r="N22" i="61"/>
  <c r="N23" i="61"/>
  <c r="N24" i="61"/>
  <c r="N25" i="61"/>
  <c r="N26" i="61"/>
  <c r="N27" i="61"/>
  <c r="N28" i="61"/>
  <c r="N29" i="61"/>
  <c r="N30" i="61"/>
  <c r="N31" i="61"/>
  <c r="N32" i="61"/>
  <c r="N33" i="61"/>
  <c r="N34" i="61"/>
  <c r="N35" i="61"/>
  <c r="N36" i="61"/>
  <c r="N37" i="61"/>
  <c r="N38" i="61"/>
  <c r="N39" i="61"/>
  <c r="N40" i="61"/>
  <c r="N41" i="61"/>
  <c r="N42" i="61"/>
  <c r="N43" i="61"/>
  <c r="N44" i="61"/>
  <c r="N45" i="61"/>
  <c r="N46" i="61"/>
  <c r="N47" i="61"/>
  <c r="N48" i="61"/>
  <c r="N49" i="61"/>
  <c r="N8" i="62"/>
  <c r="N8" i="57"/>
  <c r="N8" i="59"/>
  <c r="N8" i="58"/>
  <c r="N8" i="61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2" i="60"/>
  <c r="N33" i="60"/>
  <c r="N34" i="60"/>
  <c r="N35" i="60"/>
  <c r="N36" i="60"/>
  <c r="N37" i="60"/>
  <c r="N38" i="60"/>
  <c r="N39" i="60"/>
  <c r="N40" i="60"/>
  <c r="N41" i="60"/>
  <c r="N42" i="60"/>
  <c r="N43" i="60"/>
  <c r="N44" i="60"/>
  <c r="N8" i="60"/>
  <c r="N65" i="56"/>
  <c r="N66" i="56"/>
  <c r="N65" i="55"/>
  <c r="N66" i="55"/>
  <c r="N67" i="55"/>
  <c r="N68" i="55"/>
  <c r="N69" i="55"/>
  <c r="N65" i="53"/>
  <c r="N60" i="54"/>
  <c r="N61" i="54"/>
  <c r="N62" i="54"/>
  <c r="N63" i="54"/>
  <c r="N64" i="54"/>
  <c r="N8" i="50"/>
  <c r="N9" i="50"/>
  <c r="N10" i="50"/>
  <c r="N11" i="50"/>
  <c r="N12" i="50"/>
  <c r="N13" i="50"/>
  <c r="N14" i="50"/>
  <c r="N15" i="50"/>
  <c r="N16" i="50"/>
  <c r="N17" i="50"/>
  <c r="N18" i="50"/>
  <c r="N19" i="50"/>
  <c r="N20" i="50"/>
  <c r="N21" i="50"/>
  <c r="N22" i="50"/>
  <c r="N23" i="50"/>
  <c r="N8" i="45"/>
  <c r="N9" i="45"/>
  <c r="N10" i="45"/>
  <c r="N11" i="45"/>
  <c r="N12" i="45"/>
  <c r="N13" i="45"/>
  <c r="N14" i="45"/>
  <c r="N15" i="45"/>
  <c r="N16" i="45"/>
  <c r="N17" i="45"/>
  <c r="N18" i="45"/>
  <c r="N19" i="45"/>
  <c r="N20" i="45"/>
  <c r="N21" i="45"/>
  <c r="N22" i="45"/>
  <c r="N23" i="45"/>
  <c r="N55" i="45"/>
  <c r="N56" i="45"/>
  <c r="N57" i="45"/>
  <c r="N58" i="45"/>
  <c r="N59" i="45"/>
  <c r="N60" i="45"/>
  <c r="N55" i="49"/>
  <c r="N56" i="49"/>
  <c r="N57" i="49"/>
  <c r="N58" i="49"/>
  <c r="N59" i="49"/>
  <c r="N60" i="49"/>
  <c r="N61" i="49"/>
  <c r="N8" i="49"/>
  <c r="N9" i="49"/>
  <c r="N10" i="49"/>
  <c r="N11" i="49"/>
  <c r="N12" i="49"/>
  <c r="N13" i="49"/>
  <c r="N14" i="49"/>
  <c r="N15" i="49"/>
  <c r="N16" i="49"/>
  <c r="N17" i="49"/>
  <c r="N18" i="49"/>
  <c r="N19" i="49"/>
  <c r="N20" i="49"/>
  <c r="N21" i="49"/>
  <c r="N22" i="49"/>
  <c r="N23" i="49"/>
  <c r="N55" i="48"/>
  <c r="N56" i="48"/>
  <c r="N8" i="48"/>
  <c r="N9" i="48"/>
  <c r="N10" i="48"/>
  <c r="N11" i="48"/>
  <c r="N12" i="48"/>
  <c r="N13" i="48"/>
  <c r="N14" i="48"/>
  <c r="N15" i="48"/>
  <c r="N16" i="48"/>
  <c r="N17" i="48"/>
  <c r="N18" i="48"/>
  <c r="N19" i="48"/>
  <c r="N20" i="48"/>
  <c r="N21" i="48"/>
  <c r="N22" i="48"/>
  <c r="N23" i="48"/>
  <c r="N55" i="47"/>
  <c r="N56" i="47"/>
  <c r="N57" i="47"/>
  <c r="N58" i="47"/>
  <c r="N59" i="47"/>
  <c r="N60" i="47"/>
  <c r="N8" i="47"/>
  <c r="N9" i="47"/>
  <c r="N10" i="47"/>
  <c r="N11" i="47"/>
  <c r="N12" i="47"/>
  <c r="N13" i="47"/>
  <c r="N14" i="47"/>
  <c r="N15" i="47"/>
  <c r="N16" i="47"/>
  <c r="N17" i="47"/>
  <c r="N18" i="47"/>
  <c r="N19" i="47"/>
  <c r="N20" i="47"/>
  <c r="N21" i="47"/>
  <c r="N22" i="47"/>
  <c r="N23" i="47"/>
  <c r="N8" i="46"/>
  <c r="N9" i="46"/>
  <c r="N10" i="46"/>
  <c r="N11" i="46"/>
  <c r="N12" i="46"/>
  <c r="N13" i="46"/>
  <c r="N14" i="46"/>
  <c r="N15" i="46"/>
  <c r="N16" i="46"/>
  <c r="N17" i="46"/>
  <c r="N18" i="46"/>
  <c r="N19" i="46"/>
  <c r="N20" i="46"/>
  <c r="N21" i="46"/>
  <c r="N22" i="46"/>
  <c r="N23" i="46"/>
  <c r="N55" i="46"/>
  <c r="N56" i="46"/>
  <c r="N57" i="46"/>
  <c r="N58" i="46"/>
  <c r="N55" i="44"/>
  <c r="N56" i="44"/>
  <c r="N57" i="44"/>
  <c r="N58" i="44"/>
  <c r="N59" i="44"/>
  <c r="N60" i="44"/>
  <c r="N61" i="44"/>
  <c r="N8" i="44"/>
  <c r="N9" i="44"/>
  <c r="N10" i="44"/>
  <c r="N11" i="44"/>
  <c r="N12" i="44"/>
  <c r="N13" i="44"/>
  <c r="N14" i="44"/>
  <c r="N15" i="44"/>
  <c r="N16" i="44"/>
  <c r="N17" i="44"/>
  <c r="N18" i="44"/>
  <c r="N19" i="44"/>
  <c r="N20" i="44"/>
  <c r="N21" i="44"/>
  <c r="N22" i="44"/>
  <c r="N23" i="44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55" i="43"/>
  <c r="N56" i="43"/>
  <c r="N57" i="43"/>
  <c r="N58" i="43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5" i="43"/>
  <c r="N26" i="43"/>
  <c r="N27" i="43"/>
  <c r="N28" i="43"/>
  <c r="N29" i="43"/>
  <c r="N30" i="43"/>
  <c r="N31" i="43"/>
  <c r="N32" i="43"/>
  <c r="N33" i="43"/>
  <c r="N34" i="43"/>
  <c r="N35" i="43"/>
  <c r="N36" i="43"/>
  <c r="N37" i="43"/>
  <c r="N38" i="43"/>
  <c r="N39" i="43"/>
  <c r="N40" i="43"/>
  <c r="N41" i="43"/>
  <c r="N42" i="43"/>
  <c r="N43" i="43"/>
  <c r="N44" i="43"/>
  <c r="N45" i="43"/>
  <c r="N46" i="43"/>
  <c r="N47" i="43"/>
  <c r="N48" i="43"/>
  <c r="N49" i="43"/>
  <c r="N50" i="43"/>
  <c r="N51" i="43"/>
  <c r="N52" i="43"/>
  <c r="N53" i="43"/>
  <c r="N54" i="43"/>
  <c r="N25" i="44"/>
  <c r="N26" i="44"/>
  <c r="N27" i="44"/>
  <c r="N28" i="44"/>
  <c r="N29" i="44"/>
  <c r="N30" i="44"/>
  <c r="N31" i="44"/>
  <c r="N32" i="44"/>
  <c r="N33" i="44"/>
  <c r="N34" i="44"/>
  <c r="N35" i="44"/>
  <c r="N36" i="44"/>
  <c r="N37" i="44"/>
  <c r="N38" i="44"/>
  <c r="N39" i="44"/>
  <c r="N40" i="44"/>
  <c r="N41" i="44"/>
  <c r="N42" i="44"/>
  <c r="N43" i="44"/>
  <c r="N44" i="44"/>
  <c r="N45" i="44"/>
  <c r="N46" i="44"/>
  <c r="N47" i="44"/>
  <c r="N48" i="44"/>
  <c r="N49" i="44"/>
  <c r="N50" i="44"/>
  <c r="N51" i="44"/>
  <c r="N52" i="44"/>
  <c r="N53" i="44"/>
  <c r="N54" i="44"/>
  <c r="N25" i="46"/>
  <c r="N26" i="46"/>
  <c r="N27" i="46"/>
  <c r="N28" i="46"/>
  <c r="N29" i="46"/>
  <c r="N30" i="46"/>
  <c r="N31" i="46"/>
  <c r="N32" i="46"/>
  <c r="N33" i="46"/>
  <c r="N34" i="46"/>
  <c r="N35" i="46"/>
  <c r="N36" i="46"/>
  <c r="N37" i="46"/>
  <c r="N38" i="46"/>
  <c r="N39" i="46"/>
  <c r="N40" i="46"/>
  <c r="N41" i="46"/>
  <c r="N42" i="46"/>
  <c r="N43" i="46"/>
  <c r="N44" i="46"/>
  <c r="N45" i="46"/>
  <c r="N46" i="46"/>
  <c r="N47" i="46"/>
  <c r="N48" i="46"/>
  <c r="N49" i="46"/>
  <c r="N50" i="46"/>
  <c r="N51" i="46"/>
  <c r="N52" i="46"/>
  <c r="N53" i="46"/>
  <c r="N54" i="46"/>
  <c r="N25" i="47"/>
  <c r="N26" i="47"/>
  <c r="N27" i="47"/>
  <c r="N28" i="47"/>
  <c r="N29" i="47"/>
  <c r="N30" i="47"/>
  <c r="N31" i="47"/>
  <c r="N32" i="47"/>
  <c r="N33" i="47"/>
  <c r="N34" i="47"/>
  <c r="N35" i="47"/>
  <c r="N36" i="47"/>
  <c r="N37" i="47"/>
  <c r="N38" i="47"/>
  <c r="N39" i="47"/>
  <c r="N40" i="47"/>
  <c r="N41" i="47"/>
  <c r="N42" i="47"/>
  <c r="N43" i="47"/>
  <c r="N44" i="47"/>
  <c r="N45" i="47"/>
  <c r="N46" i="47"/>
  <c r="N47" i="47"/>
  <c r="N48" i="47"/>
  <c r="N49" i="47"/>
  <c r="N50" i="47"/>
  <c r="N51" i="47"/>
  <c r="N52" i="47"/>
  <c r="N53" i="47"/>
  <c r="N54" i="47"/>
  <c r="N25" i="48"/>
  <c r="N26" i="48"/>
  <c r="N27" i="48"/>
  <c r="N28" i="48"/>
  <c r="N29" i="48"/>
  <c r="N30" i="48"/>
  <c r="N31" i="48"/>
  <c r="N32" i="48"/>
  <c r="N33" i="48"/>
  <c r="N34" i="48"/>
  <c r="N35" i="48"/>
  <c r="N36" i="48"/>
  <c r="N37" i="48"/>
  <c r="N38" i="48"/>
  <c r="N39" i="48"/>
  <c r="N40" i="48"/>
  <c r="N41" i="48"/>
  <c r="N42" i="48"/>
  <c r="N43" i="48"/>
  <c r="N44" i="48"/>
  <c r="N45" i="48"/>
  <c r="N46" i="48"/>
  <c r="N47" i="48"/>
  <c r="N48" i="48"/>
  <c r="N49" i="48"/>
  <c r="N50" i="48"/>
  <c r="N51" i="48"/>
  <c r="N52" i="48"/>
  <c r="N53" i="48"/>
  <c r="N54" i="48"/>
  <c r="N25" i="49"/>
  <c r="N26" i="49"/>
  <c r="N27" i="49"/>
  <c r="N28" i="49"/>
  <c r="N29" i="49"/>
  <c r="N30" i="49"/>
  <c r="N31" i="49"/>
  <c r="N32" i="49"/>
  <c r="N33" i="49"/>
  <c r="N34" i="49"/>
  <c r="N35" i="49"/>
  <c r="N36" i="49"/>
  <c r="N37" i="49"/>
  <c r="N38" i="49"/>
  <c r="N39" i="49"/>
  <c r="N40" i="49"/>
  <c r="N41" i="49"/>
  <c r="N42" i="49"/>
  <c r="N43" i="49"/>
  <c r="N44" i="49"/>
  <c r="N45" i="49"/>
  <c r="N46" i="49"/>
  <c r="N47" i="49"/>
  <c r="N48" i="49"/>
  <c r="N49" i="49"/>
  <c r="N50" i="49"/>
  <c r="N51" i="49"/>
  <c r="N52" i="49"/>
  <c r="N53" i="49"/>
  <c r="N54" i="49"/>
  <c r="N25" i="45"/>
  <c r="N26" i="45"/>
  <c r="N27" i="45"/>
  <c r="N28" i="45"/>
  <c r="N29" i="45"/>
  <c r="N30" i="45"/>
  <c r="N31" i="45"/>
  <c r="N32" i="45"/>
  <c r="N33" i="45"/>
  <c r="N34" i="45"/>
  <c r="N35" i="45"/>
  <c r="N36" i="45"/>
  <c r="N37" i="45"/>
  <c r="N38" i="45"/>
  <c r="N39" i="45"/>
  <c r="N40" i="45"/>
  <c r="N41" i="45"/>
  <c r="N42" i="45"/>
  <c r="N43" i="45"/>
  <c r="N44" i="45"/>
  <c r="N45" i="45"/>
  <c r="N46" i="45"/>
  <c r="N47" i="45"/>
  <c r="N48" i="45"/>
  <c r="N49" i="45"/>
  <c r="N50" i="45"/>
  <c r="N51" i="45"/>
  <c r="N52" i="45"/>
  <c r="N53" i="45"/>
  <c r="N54" i="45"/>
  <c r="N25" i="50"/>
  <c r="N26" i="50"/>
  <c r="N27" i="50"/>
  <c r="N28" i="50"/>
  <c r="N29" i="50"/>
  <c r="N30" i="50"/>
  <c r="N31" i="50"/>
  <c r="N32" i="50"/>
  <c r="N33" i="50"/>
  <c r="N34" i="50"/>
  <c r="N35" i="50"/>
  <c r="N36" i="50"/>
  <c r="N37" i="50"/>
  <c r="N38" i="50"/>
  <c r="N39" i="50"/>
  <c r="N40" i="50"/>
  <c r="N41" i="50"/>
  <c r="N42" i="50"/>
  <c r="N43" i="50"/>
  <c r="N44" i="50"/>
  <c r="N45" i="50"/>
  <c r="N46" i="50"/>
  <c r="N47" i="50"/>
  <c r="N48" i="50"/>
  <c r="N49" i="50"/>
  <c r="N50" i="50"/>
  <c r="N51" i="50"/>
  <c r="N52" i="50"/>
  <c r="N53" i="50"/>
  <c r="N54" i="50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24" i="43"/>
  <c r="N24" i="44"/>
  <c r="N24" i="46"/>
  <c r="N24" i="47"/>
  <c r="N24" i="48"/>
  <c r="N24" i="49"/>
  <c r="N24" i="45"/>
  <c r="N24" i="50"/>
  <c r="N24" i="15"/>
  <c r="M53" i="42"/>
  <c r="M54" i="42"/>
  <c r="M55" i="42"/>
  <c r="M56" i="42"/>
  <c r="M57" i="42"/>
  <c r="M58" i="42"/>
  <c r="M59" i="42"/>
  <c r="M53" i="41"/>
  <c r="M54" i="41"/>
  <c r="M55" i="41"/>
  <c r="M56" i="41"/>
  <c r="M57" i="41"/>
  <c r="M58" i="41"/>
  <c r="M59" i="41"/>
  <c r="M60" i="41"/>
  <c r="M53" i="40"/>
  <c r="M54" i="40"/>
  <c r="M55" i="40"/>
  <c r="M56" i="40"/>
  <c r="M57" i="40"/>
  <c r="M58" i="40"/>
  <c r="M59" i="40"/>
  <c r="M60" i="40"/>
  <c r="M61" i="40"/>
  <c r="M62" i="40"/>
  <c r="M53" i="39"/>
  <c r="M54" i="39"/>
  <c r="M55" i="39"/>
  <c r="M56" i="39"/>
  <c r="M57" i="39"/>
  <c r="M58" i="39"/>
  <c r="M59" i="39"/>
  <c r="M60" i="39"/>
  <c r="M61" i="39"/>
  <c r="M53" i="34"/>
  <c r="M54" i="34"/>
  <c r="M55" i="34"/>
  <c r="M56" i="34"/>
  <c r="M57" i="34"/>
  <c r="M58" i="34"/>
  <c r="M59" i="34"/>
  <c r="M60" i="34"/>
  <c r="M61" i="34"/>
  <c r="M62" i="34"/>
  <c r="M63" i="34"/>
  <c r="M53" i="35"/>
  <c r="M54" i="35"/>
  <c r="M55" i="35"/>
  <c r="M56" i="35"/>
  <c r="M57" i="35"/>
  <c r="M53" i="38"/>
  <c r="M54" i="38"/>
  <c r="M55" i="38"/>
  <c r="M56" i="38"/>
  <c r="M57" i="38"/>
  <c r="M58" i="38"/>
  <c r="M59" i="38"/>
  <c r="M60" i="38"/>
  <c r="M61" i="38"/>
  <c r="M62" i="38"/>
  <c r="M53" i="63"/>
  <c r="M54" i="63"/>
  <c r="M55" i="63"/>
  <c r="M56" i="63"/>
  <c r="M57" i="63"/>
  <c r="M58" i="63"/>
  <c r="M59" i="63"/>
  <c r="M60" i="63"/>
  <c r="M61" i="63"/>
  <c r="M62" i="63"/>
  <c r="M63" i="63"/>
  <c r="M64" i="63"/>
  <c r="M53" i="36"/>
  <c r="M54" i="36"/>
  <c r="M55" i="36"/>
  <c r="M56" i="36"/>
  <c r="M57" i="36"/>
  <c r="M58" i="36"/>
  <c r="M59" i="36"/>
  <c r="M60" i="36"/>
  <c r="M61" i="36"/>
  <c r="M62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33" i="36"/>
  <c r="M34" i="36"/>
  <c r="M35" i="36"/>
  <c r="M36" i="36"/>
  <c r="M37" i="36"/>
  <c r="M38" i="36"/>
  <c r="M39" i="36"/>
  <c r="M40" i="36"/>
  <c r="M41" i="36"/>
  <c r="M42" i="36"/>
  <c r="M43" i="36"/>
  <c r="M44" i="36"/>
  <c r="M45" i="36"/>
  <c r="M46" i="36"/>
  <c r="M47" i="36"/>
  <c r="M48" i="36"/>
  <c r="M49" i="36"/>
  <c r="M50" i="36"/>
  <c r="M51" i="36"/>
  <c r="M52" i="36"/>
  <c r="M9" i="63"/>
  <c r="M10" i="63"/>
  <c r="M11" i="63"/>
  <c r="M12" i="63"/>
  <c r="M13" i="63"/>
  <c r="M14" i="63"/>
  <c r="M15" i="63"/>
  <c r="M16" i="63"/>
  <c r="M17" i="63"/>
  <c r="M18" i="63"/>
  <c r="M19" i="63"/>
  <c r="M20" i="63"/>
  <c r="M21" i="63"/>
  <c r="M22" i="63"/>
  <c r="M23" i="63"/>
  <c r="M24" i="63"/>
  <c r="M25" i="63"/>
  <c r="M26" i="63"/>
  <c r="M27" i="63"/>
  <c r="M28" i="63"/>
  <c r="M29" i="63"/>
  <c r="M30" i="63"/>
  <c r="M31" i="63"/>
  <c r="M32" i="63"/>
  <c r="M33" i="63"/>
  <c r="M34" i="63"/>
  <c r="M35" i="63"/>
  <c r="M36" i="63"/>
  <c r="M37" i="63"/>
  <c r="M38" i="63"/>
  <c r="M39" i="63"/>
  <c r="M40" i="63"/>
  <c r="M41" i="63"/>
  <c r="M42" i="63"/>
  <c r="M43" i="63"/>
  <c r="M44" i="63"/>
  <c r="M45" i="63"/>
  <c r="M46" i="63"/>
  <c r="M47" i="63"/>
  <c r="M48" i="63"/>
  <c r="M49" i="63"/>
  <c r="M50" i="63"/>
  <c r="M51" i="63"/>
  <c r="M52" i="63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M48" i="38"/>
  <c r="M49" i="38"/>
  <c r="M50" i="38"/>
  <c r="M51" i="38"/>
  <c r="M52" i="38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M35" i="35"/>
  <c r="M36" i="35"/>
  <c r="M37" i="35"/>
  <c r="M38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9" i="39"/>
  <c r="M10" i="39"/>
  <c r="M11" i="39"/>
  <c r="M12" i="39"/>
  <c r="M13" i="39"/>
  <c r="M14" i="39"/>
  <c r="M15" i="39"/>
  <c r="M16" i="39"/>
  <c r="M17" i="39"/>
  <c r="M18" i="39"/>
  <c r="M19" i="39"/>
  <c r="M20" i="39"/>
  <c r="M21" i="39"/>
  <c r="M22" i="39"/>
  <c r="M23" i="39"/>
  <c r="M24" i="39"/>
  <c r="M25" i="39"/>
  <c r="M26" i="39"/>
  <c r="M27" i="39"/>
  <c r="M28" i="39"/>
  <c r="M29" i="39"/>
  <c r="M30" i="39"/>
  <c r="M31" i="39"/>
  <c r="M32" i="39"/>
  <c r="M33" i="39"/>
  <c r="M34" i="39"/>
  <c r="M35" i="39"/>
  <c r="M36" i="39"/>
  <c r="M37" i="39"/>
  <c r="M38" i="39"/>
  <c r="M39" i="39"/>
  <c r="M40" i="39"/>
  <c r="M41" i="39"/>
  <c r="M42" i="39"/>
  <c r="M43" i="39"/>
  <c r="M44" i="39"/>
  <c r="M45" i="39"/>
  <c r="M46" i="39"/>
  <c r="M47" i="39"/>
  <c r="M48" i="39"/>
  <c r="M49" i="39"/>
  <c r="M50" i="39"/>
  <c r="M51" i="39"/>
  <c r="M52" i="39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M37" i="40"/>
  <c r="M38" i="40"/>
  <c r="M39" i="40"/>
  <c r="M40" i="40"/>
  <c r="M41" i="40"/>
  <c r="M42" i="40"/>
  <c r="M43" i="40"/>
  <c r="M44" i="40"/>
  <c r="M45" i="40"/>
  <c r="M46" i="40"/>
  <c r="M47" i="40"/>
  <c r="M48" i="40"/>
  <c r="M49" i="40"/>
  <c r="M50" i="40"/>
  <c r="M51" i="40"/>
  <c r="M52" i="40"/>
  <c r="M9" i="41"/>
  <c r="M10" i="41"/>
  <c r="M11" i="41"/>
  <c r="M12" i="41"/>
  <c r="M13" i="41"/>
  <c r="M14" i="4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0" i="41"/>
  <c r="M31" i="41"/>
  <c r="M32" i="41"/>
  <c r="M33" i="41"/>
  <c r="M34" i="41"/>
  <c r="M35" i="41"/>
  <c r="M36" i="41"/>
  <c r="M37" i="41"/>
  <c r="M38" i="41"/>
  <c r="M39" i="41"/>
  <c r="M40" i="41"/>
  <c r="M41" i="41"/>
  <c r="M42" i="41"/>
  <c r="M43" i="41"/>
  <c r="M44" i="41"/>
  <c r="M45" i="41"/>
  <c r="M46" i="41"/>
  <c r="M47" i="41"/>
  <c r="M48" i="41"/>
  <c r="M49" i="41"/>
  <c r="M50" i="41"/>
  <c r="M51" i="41"/>
  <c r="M52" i="41"/>
  <c r="M9" i="42"/>
  <c r="M10" i="42"/>
  <c r="M11" i="42"/>
  <c r="M12" i="42"/>
  <c r="M13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M28" i="42"/>
  <c r="M29" i="42"/>
  <c r="M30" i="42"/>
  <c r="M31" i="42"/>
  <c r="M32" i="42"/>
  <c r="M33" i="42"/>
  <c r="M34" i="42"/>
  <c r="M35" i="42"/>
  <c r="M36" i="42"/>
  <c r="M37" i="42"/>
  <c r="M38" i="42"/>
  <c r="M39" i="42"/>
  <c r="M40" i="42"/>
  <c r="M41" i="42"/>
  <c r="M42" i="42"/>
  <c r="M43" i="42"/>
  <c r="M44" i="42"/>
  <c r="M45" i="42"/>
  <c r="M46" i="42"/>
  <c r="M47" i="42"/>
  <c r="M48" i="42"/>
  <c r="M49" i="42"/>
  <c r="M50" i="42"/>
  <c r="M51" i="42"/>
  <c r="M52" i="42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8" i="36"/>
  <c r="M8" i="63"/>
  <c r="M8" i="38"/>
  <c r="M8" i="35"/>
  <c r="M8" i="34"/>
  <c r="M8" i="39"/>
  <c r="M8" i="40"/>
  <c r="M8" i="41"/>
  <c r="M8" i="42"/>
  <c r="M8" i="6"/>
  <c r="K9" i="58"/>
  <c r="L9" i="58"/>
  <c r="K10" i="58"/>
  <c r="L10" i="58"/>
  <c r="K11" i="58"/>
  <c r="L11" i="58"/>
  <c r="K12" i="58"/>
  <c r="L12" i="58"/>
  <c r="K13" i="58"/>
  <c r="L13" i="58"/>
  <c r="K14" i="58"/>
  <c r="K15" i="58"/>
  <c r="K16" i="58"/>
  <c r="L16" i="58"/>
  <c r="K17" i="58"/>
  <c r="L17" i="58"/>
  <c r="K18" i="58"/>
  <c r="L18" i="58"/>
  <c r="K19" i="58"/>
  <c r="L19" i="58"/>
  <c r="K20" i="58"/>
  <c r="L20" i="58"/>
  <c r="K21" i="58"/>
  <c r="L21" i="58"/>
  <c r="K22" i="58"/>
  <c r="L22" i="58"/>
  <c r="K23" i="58"/>
  <c r="L23" i="58"/>
  <c r="K24" i="58"/>
  <c r="L24" i="58"/>
  <c r="K25" i="58"/>
  <c r="L25" i="58"/>
  <c r="K26" i="58"/>
  <c r="K27" i="58"/>
  <c r="L27" i="58"/>
  <c r="K28" i="58"/>
  <c r="L28" i="58"/>
  <c r="K29" i="58"/>
  <c r="L29" i="58"/>
  <c r="K30" i="58"/>
  <c r="L30" i="58"/>
  <c r="K31" i="58"/>
  <c r="L31" i="58"/>
  <c r="K32" i="58"/>
  <c r="L32" i="58"/>
  <c r="K33" i="58"/>
  <c r="L33" i="58"/>
  <c r="K34" i="58"/>
  <c r="L34" i="58"/>
  <c r="K35" i="58"/>
  <c r="L35" i="58"/>
  <c r="K36" i="58"/>
  <c r="L36" i="58"/>
  <c r="K37" i="58"/>
  <c r="L37" i="58"/>
  <c r="K38" i="58"/>
  <c r="L38" i="58"/>
  <c r="K39" i="58"/>
  <c r="L39" i="58"/>
  <c r="K40" i="58"/>
  <c r="L40" i="58"/>
  <c r="K41" i="58"/>
  <c r="L41" i="58"/>
  <c r="K42" i="58"/>
  <c r="L42" i="58"/>
  <c r="K43" i="58"/>
  <c r="L43" i="58"/>
  <c r="K44" i="58"/>
  <c r="L44" i="58"/>
  <c r="K45" i="58"/>
  <c r="L45" i="58"/>
  <c r="K46" i="58"/>
  <c r="L46" i="58"/>
  <c r="K47" i="58"/>
  <c r="L47" i="58"/>
  <c r="K48" i="58"/>
  <c r="L48" i="58"/>
  <c r="K49" i="58"/>
  <c r="L49" i="58"/>
  <c r="K50" i="58"/>
  <c r="L50" i="58"/>
  <c r="K51" i="58"/>
  <c r="L51" i="58"/>
  <c r="K52" i="58"/>
  <c r="L52" i="58"/>
  <c r="L8" i="58"/>
  <c r="K8" i="58"/>
  <c r="K9" i="59"/>
  <c r="L9" i="59"/>
  <c r="K10" i="59"/>
  <c r="L10" i="59"/>
  <c r="K11" i="59"/>
  <c r="L11" i="59"/>
  <c r="K12" i="59"/>
  <c r="L12" i="59"/>
  <c r="K13" i="59"/>
  <c r="L13" i="59"/>
  <c r="K14" i="59"/>
  <c r="L14" i="59"/>
  <c r="K15" i="59"/>
  <c r="L15" i="59"/>
  <c r="K16" i="59"/>
  <c r="L16" i="59"/>
  <c r="K17" i="59"/>
  <c r="L17" i="59"/>
  <c r="K18" i="59"/>
  <c r="L18" i="59"/>
  <c r="K19" i="59"/>
  <c r="L19" i="59"/>
  <c r="K20" i="59"/>
  <c r="L20" i="59"/>
  <c r="K21" i="59"/>
  <c r="L21" i="59"/>
  <c r="K22" i="59"/>
  <c r="L22" i="59"/>
  <c r="K23" i="59"/>
  <c r="L23" i="59"/>
  <c r="K24" i="59"/>
  <c r="L24" i="59"/>
  <c r="K25" i="59"/>
  <c r="L25" i="59"/>
  <c r="K26" i="59"/>
  <c r="L26" i="59"/>
  <c r="K27" i="59"/>
  <c r="L27" i="59"/>
  <c r="K28" i="59"/>
  <c r="L28" i="59"/>
  <c r="K29" i="59"/>
  <c r="L29" i="59"/>
  <c r="K30" i="59"/>
  <c r="L30" i="59"/>
  <c r="K31" i="59"/>
  <c r="L31" i="59"/>
  <c r="K32" i="59"/>
  <c r="L32" i="59"/>
  <c r="K33" i="59"/>
  <c r="L33" i="59"/>
  <c r="K34" i="59"/>
  <c r="L34" i="59"/>
  <c r="K35" i="59"/>
  <c r="L35" i="59"/>
  <c r="K36" i="59"/>
  <c r="L36" i="59"/>
  <c r="K37" i="59"/>
  <c r="L37" i="59"/>
  <c r="K38" i="59"/>
  <c r="L38" i="59"/>
  <c r="K39" i="59"/>
  <c r="L39" i="59"/>
  <c r="K40" i="59"/>
  <c r="L40" i="59"/>
  <c r="K41" i="59"/>
  <c r="L41" i="59"/>
  <c r="K42" i="59"/>
  <c r="L42" i="59"/>
  <c r="K43" i="59"/>
  <c r="L43" i="59"/>
  <c r="K44" i="59"/>
  <c r="K45" i="59"/>
  <c r="L45" i="59"/>
  <c r="K46" i="59"/>
  <c r="L46" i="59"/>
  <c r="K47" i="59"/>
  <c r="L47" i="59"/>
  <c r="K48" i="59"/>
  <c r="L48" i="59"/>
  <c r="K49" i="59"/>
  <c r="L49" i="59"/>
  <c r="K50" i="59"/>
  <c r="L50" i="59"/>
  <c r="K51" i="59"/>
  <c r="L51" i="59"/>
  <c r="K52" i="59"/>
  <c r="L52" i="59"/>
  <c r="K53" i="59"/>
  <c r="L53" i="59"/>
  <c r="K54" i="59"/>
  <c r="L54" i="59"/>
  <c r="L8" i="59"/>
  <c r="K8" i="59"/>
  <c r="L9" i="57"/>
  <c r="L10" i="57"/>
  <c r="L11" i="57"/>
  <c r="L13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5" i="57"/>
  <c r="L36" i="57"/>
  <c r="L37" i="57"/>
  <c r="L38" i="57"/>
  <c r="L39" i="57"/>
  <c r="L40" i="57"/>
  <c r="L41" i="57"/>
  <c r="L42" i="57"/>
  <c r="L43" i="57"/>
  <c r="L44" i="57"/>
  <c r="L45" i="57"/>
  <c r="L46" i="57"/>
  <c r="L47" i="57"/>
  <c r="L8" i="57"/>
  <c r="K11" i="62"/>
  <c r="L11" i="62"/>
  <c r="K12" i="62"/>
  <c r="L12" i="62"/>
  <c r="K13" i="62"/>
  <c r="L13" i="62"/>
  <c r="K14" i="62"/>
  <c r="L14" i="62"/>
  <c r="K15" i="62"/>
  <c r="L15" i="62"/>
  <c r="K16" i="62"/>
  <c r="L16" i="62"/>
  <c r="K17" i="62"/>
  <c r="L17" i="62"/>
  <c r="K18" i="62"/>
  <c r="L18" i="62"/>
  <c r="K19" i="62"/>
  <c r="L19" i="62"/>
  <c r="K20" i="62"/>
  <c r="L20" i="62"/>
  <c r="K21" i="62"/>
  <c r="L21" i="62"/>
  <c r="K22" i="62"/>
  <c r="L22" i="62"/>
  <c r="K23" i="62"/>
  <c r="L23" i="62"/>
  <c r="K24" i="62"/>
  <c r="L24" i="62"/>
  <c r="K25" i="62"/>
  <c r="L25" i="62"/>
  <c r="K26" i="62"/>
  <c r="L26" i="62"/>
  <c r="K27" i="62"/>
  <c r="L27" i="62"/>
  <c r="K28" i="62"/>
  <c r="L28" i="62"/>
  <c r="K29" i="62"/>
  <c r="L29" i="62"/>
  <c r="K30" i="62"/>
  <c r="L30" i="62"/>
  <c r="K31" i="62"/>
  <c r="L31" i="62"/>
  <c r="K32" i="62"/>
  <c r="L32" i="62"/>
  <c r="K33" i="62"/>
  <c r="L33" i="62"/>
  <c r="K34" i="62"/>
  <c r="L34" i="62"/>
  <c r="K35" i="62"/>
  <c r="L35" i="62"/>
  <c r="K36" i="62"/>
  <c r="L36" i="62"/>
  <c r="K37" i="62"/>
  <c r="K38" i="62"/>
  <c r="L38" i="62"/>
  <c r="K39" i="62"/>
  <c r="L39" i="62"/>
  <c r="K40" i="62"/>
  <c r="L40" i="62"/>
  <c r="K41" i="62"/>
  <c r="L41" i="62"/>
  <c r="K42" i="62"/>
  <c r="L42" i="62"/>
  <c r="K43" i="62"/>
  <c r="L43" i="62"/>
  <c r="K44" i="62"/>
  <c r="L44" i="62"/>
  <c r="K45" i="62"/>
  <c r="K9" i="62"/>
  <c r="L9" i="62"/>
  <c r="K10" i="62"/>
  <c r="L10" i="62"/>
  <c r="L8" i="62"/>
  <c r="K8" i="62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25" i="60"/>
  <c r="K26" i="60"/>
  <c r="K27" i="60"/>
  <c r="K28" i="60"/>
  <c r="K29" i="60"/>
  <c r="K30" i="60"/>
  <c r="K31" i="60"/>
  <c r="K32" i="60"/>
  <c r="K33" i="60"/>
  <c r="K34" i="60"/>
  <c r="K35" i="60"/>
  <c r="K36" i="60"/>
  <c r="K37" i="60"/>
  <c r="K38" i="60"/>
  <c r="K39" i="60"/>
  <c r="K40" i="60"/>
  <c r="K41" i="60"/>
  <c r="K42" i="60"/>
  <c r="K43" i="60"/>
  <c r="K44" i="60"/>
  <c r="K8" i="60"/>
  <c r="L9" i="60"/>
  <c r="L10" i="60"/>
  <c r="L11" i="60"/>
  <c r="L12" i="60"/>
  <c r="L13" i="60"/>
  <c r="L14" i="60"/>
  <c r="L15" i="60"/>
  <c r="L16" i="60"/>
  <c r="L17" i="60"/>
  <c r="L18" i="60"/>
  <c r="L19" i="60"/>
  <c r="L20" i="60"/>
  <c r="L21" i="60"/>
  <c r="L22" i="60"/>
  <c r="L23" i="60"/>
  <c r="L24" i="60"/>
  <c r="L25" i="60"/>
  <c r="L26" i="60"/>
  <c r="L27" i="60"/>
  <c r="L28" i="60"/>
  <c r="L29" i="60"/>
  <c r="L30" i="60"/>
  <c r="L31" i="60"/>
  <c r="L32" i="60"/>
  <c r="L33" i="60"/>
  <c r="L34" i="60"/>
  <c r="L35" i="60"/>
  <c r="L36" i="60"/>
  <c r="L37" i="60"/>
  <c r="L38" i="60"/>
  <c r="L39" i="60"/>
  <c r="L40" i="60"/>
  <c r="L41" i="60"/>
  <c r="L42" i="60"/>
  <c r="L43" i="60"/>
  <c r="L44" i="60"/>
  <c r="L8" i="60"/>
  <c r="L49" i="61"/>
  <c r="L9" i="61"/>
  <c r="L10" i="61"/>
  <c r="L11" i="61"/>
  <c r="L12" i="61"/>
  <c r="L13" i="61"/>
  <c r="L14" i="61"/>
  <c r="L17" i="61"/>
  <c r="L18" i="61"/>
  <c r="L19" i="61"/>
  <c r="L20" i="61"/>
  <c r="L21" i="61"/>
  <c r="L22" i="61"/>
  <c r="L24" i="61"/>
  <c r="L25" i="61"/>
  <c r="L26" i="61"/>
  <c r="L27" i="61"/>
  <c r="L28" i="61"/>
  <c r="L29" i="61"/>
  <c r="L30" i="61"/>
  <c r="L31" i="61"/>
  <c r="L32" i="6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8" i="61"/>
  <c r="K8" i="61"/>
  <c r="K9" i="61"/>
  <c r="K10" i="61"/>
  <c r="K11" i="61"/>
  <c r="K12" i="61"/>
  <c r="K13" i="61"/>
  <c r="K14" i="61"/>
  <c r="K15" i="61"/>
  <c r="K16" i="61"/>
  <c r="K17" i="61"/>
  <c r="K18" i="61"/>
  <c r="K19" i="61"/>
  <c r="K20" i="61"/>
  <c r="K21" i="61"/>
  <c r="K22" i="61"/>
  <c r="K23" i="61"/>
  <c r="K24" i="61"/>
  <c r="K25" i="61"/>
  <c r="K26" i="61"/>
  <c r="K27" i="61"/>
  <c r="K28" i="61"/>
  <c r="K29" i="61"/>
  <c r="K30" i="61"/>
  <c r="K31" i="61"/>
  <c r="K32" i="61"/>
  <c r="K33" i="61"/>
  <c r="K34" i="61"/>
  <c r="K35" i="61"/>
  <c r="K36" i="61"/>
  <c r="K37" i="61"/>
  <c r="K38" i="61"/>
  <c r="K39" i="61"/>
  <c r="K40" i="61"/>
  <c r="K41" i="61"/>
  <c r="K42" i="61"/>
  <c r="K43" i="61"/>
  <c r="K44" i="61"/>
  <c r="K49" i="61"/>
  <c r="K46" i="61"/>
  <c r="K47" i="61"/>
  <c r="K48" i="61"/>
  <c r="K45" i="61"/>
  <c r="J10" i="38"/>
  <c r="J46" i="38"/>
  <c r="G62" i="63"/>
  <c r="H62" i="63" s="1"/>
  <c r="J62" i="63" s="1"/>
  <c r="G63" i="63"/>
  <c r="H63" i="63" s="1"/>
  <c r="J63" i="63" s="1"/>
  <c r="G64" i="63"/>
  <c r="H64" i="63" s="1"/>
  <c r="J64" i="63" s="1"/>
  <c r="G8" i="63"/>
  <c r="G9" i="63"/>
  <c r="H9" i="63" s="1"/>
  <c r="G10" i="63"/>
  <c r="G11" i="63"/>
  <c r="H11" i="63" s="1"/>
  <c r="G12" i="63"/>
  <c r="H12" i="63" s="1"/>
  <c r="G13" i="63"/>
  <c r="H13" i="63" s="1"/>
  <c r="G14" i="63"/>
  <c r="H14" i="63" s="1"/>
  <c r="G15" i="63"/>
  <c r="H15" i="63" s="1"/>
  <c r="G16" i="63"/>
  <c r="H16" i="63" s="1"/>
  <c r="G17" i="63"/>
  <c r="H17" i="63"/>
  <c r="G18" i="63"/>
  <c r="H18" i="63" s="1"/>
  <c r="G19" i="63"/>
  <c r="H19" i="63" s="1"/>
  <c r="G20" i="63"/>
  <c r="H20" i="63" s="1"/>
  <c r="J20" i="63" s="1"/>
  <c r="G21" i="63"/>
  <c r="H21" i="63" s="1"/>
  <c r="G22" i="63"/>
  <c r="H22" i="63" s="1"/>
  <c r="G23" i="63"/>
  <c r="H23" i="63" s="1"/>
  <c r="G24" i="63"/>
  <c r="H24" i="63" s="1"/>
  <c r="G25" i="63"/>
  <c r="H25" i="63" s="1"/>
  <c r="G26" i="63"/>
  <c r="G27" i="63"/>
  <c r="H27" i="63" s="1"/>
  <c r="G28" i="63"/>
  <c r="H28" i="63" s="1"/>
  <c r="J28" i="63" s="1"/>
  <c r="G29" i="63"/>
  <c r="H29" i="63" s="1"/>
  <c r="G30" i="63"/>
  <c r="H30" i="63" s="1"/>
  <c r="G31" i="63"/>
  <c r="H31" i="63" s="1"/>
  <c r="G32" i="63"/>
  <c r="H32" i="63" s="1"/>
  <c r="G33" i="63"/>
  <c r="H33" i="63" s="1"/>
  <c r="G34" i="63"/>
  <c r="H34" i="63" s="1"/>
  <c r="G35" i="63"/>
  <c r="H35" i="63" s="1"/>
  <c r="G36" i="63"/>
  <c r="H36" i="63" s="1"/>
  <c r="J36" i="63" s="1"/>
  <c r="G37" i="63"/>
  <c r="H37" i="63" s="1"/>
  <c r="G38" i="63"/>
  <c r="H38" i="63" s="1"/>
  <c r="G39" i="63"/>
  <c r="H39" i="63" s="1"/>
  <c r="G40" i="63"/>
  <c r="H40" i="63" s="1"/>
  <c r="J40" i="63" s="1"/>
  <c r="G41" i="63"/>
  <c r="H41" i="63" s="1"/>
  <c r="G42" i="63"/>
  <c r="G43" i="63"/>
  <c r="H43" i="63" s="1"/>
  <c r="G44" i="63"/>
  <c r="H44" i="63" s="1"/>
  <c r="G45" i="63"/>
  <c r="H45" i="63" s="1"/>
  <c r="G46" i="63"/>
  <c r="H46" i="63" s="1"/>
  <c r="G47" i="63"/>
  <c r="H47" i="63" s="1"/>
  <c r="G48" i="63"/>
  <c r="H48" i="63" s="1"/>
  <c r="G49" i="63"/>
  <c r="H49" i="63" s="1"/>
  <c r="G50" i="63"/>
  <c r="H50" i="63" s="1"/>
  <c r="G51" i="63"/>
  <c r="H51" i="63" s="1"/>
  <c r="G52" i="63"/>
  <c r="H52" i="63"/>
  <c r="G53" i="63"/>
  <c r="H53" i="63" s="1"/>
  <c r="G54" i="63"/>
  <c r="H54" i="63" s="1"/>
  <c r="G55" i="63"/>
  <c r="H55" i="63" s="1"/>
  <c r="G56" i="63"/>
  <c r="H56" i="63" s="1"/>
  <c r="J56" i="63" s="1"/>
  <c r="G57" i="63"/>
  <c r="H57" i="63" s="1"/>
  <c r="G58" i="63"/>
  <c r="G59" i="63"/>
  <c r="G60" i="63"/>
  <c r="H60" i="63" s="1"/>
  <c r="J60" i="63" s="1"/>
  <c r="G61" i="63"/>
  <c r="H61" i="63" s="1"/>
  <c r="G35" i="6"/>
  <c r="G20" i="6"/>
  <c r="I63" i="63" l="1"/>
  <c r="I62" i="63"/>
  <c r="I14" i="63"/>
  <c r="H8" i="63"/>
  <c r="J8" i="63" s="1"/>
  <c r="I64" i="63"/>
  <c r="I59" i="63"/>
  <c r="I29" i="63"/>
  <c r="I48" i="63"/>
  <c r="I34" i="63"/>
  <c r="I39" i="63"/>
  <c r="I47" i="63"/>
  <c r="I24" i="63"/>
  <c r="I61" i="63"/>
  <c r="I38" i="63"/>
  <c r="I21" i="63"/>
  <c r="I12" i="63"/>
  <c r="I54" i="63"/>
  <c r="I37" i="63"/>
  <c r="I11" i="63"/>
  <c r="I58" i="63"/>
  <c r="I30" i="63"/>
  <c r="I23" i="63"/>
  <c r="I45" i="63"/>
  <c r="I31" i="63"/>
  <c r="I46" i="63"/>
  <c r="I22" i="63"/>
  <c r="I55" i="63"/>
  <c r="I53" i="63"/>
  <c r="I10" i="63"/>
  <c r="I44" i="63"/>
  <c r="I27" i="63"/>
  <c r="I26" i="63"/>
  <c r="I43" i="63"/>
  <c r="I13" i="63"/>
  <c r="H59" i="63"/>
  <c r="J59" i="63" s="1"/>
  <c r="I42" i="63"/>
  <c r="I15" i="63"/>
  <c r="I32" i="63"/>
  <c r="I17" i="63"/>
  <c r="I49" i="63"/>
  <c r="I18" i="63"/>
  <c r="I50" i="63"/>
  <c r="I35" i="63"/>
  <c r="I51" i="63"/>
  <c r="I52" i="63"/>
  <c r="H58" i="63"/>
  <c r="J58" i="63" s="1"/>
  <c r="H42" i="63"/>
  <c r="J42" i="63" s="1"/>
  <c r="H26" i="63"/>
  <c r="J26" i="63" s="1"/>
  <c r="H10" i="63"/>
  <c r="I16" i="63"/>
  <c r="I33" i="63"/>
  <c r="I19" i="63"/>
  <c r="I9" i="63"/>
  <c r="I25" i="63"/>
  <c r="I41" i="63"/>
  <c r="I57" i="63"/>
  <c r="J12" i="63"/>
  <c r="J32" i="63"/>
  <c r="J52" i="63"/>
  <c r="I36" i="63"/>
  <c r="J11" i="63"/>
  <c r="J15" i="63"/>
  <c r="J19" i="63"/>
  <c r="J23" i="63"/>
  <c r="J27" i="63"/>
  <c r="J31" i="63"/>
  <c r="J35" i="63"/>
  <c r="J39" i="63"/>
  <c r="J43" i="63"/>
  <c r="J47" i="63"/>
  <c r="J51" i="63"/>
  <c r="J55" i="63"/>
  <c r="J24" i="63"/>
  <c r="J48" i="63"/>
  <c r="I8" i="63"/>
  <c r="I28" i="63"/>
  <c r="I56" i="63"/>
  <c r="J16" i="63"/>
  <c r="I20" i="63"/>
  <c r="I40" i="63"/>
  <c r="I60" i="63"/>
  <c r="J9" i="63"/>
  <c r="J17" i="63"/>
  <c r="J21" i="63"/>
  <c r="J25" i="63"/>
  <c r="J33" i="63"/>
  <c r="J37" i="63"/>
  <c r="J41" i="63"/>
  <c r="J45" i="63"/>
  <c r="J49" i="63"/>
  <c r="J53" i="63"/>
  <c r="J57" i="63"/>
  <c r="J61" i="63"/>
  <c r="J13" i="63"/>
  <c r="J29" i="63"/>
  <c r="J44" i="63"/>
  <c r="J10" i="63"/>
  <c r="J14" i="63"/>
  <c r="J18" i="63"/>
  <c r="J22" i="63"/>
  <c r="J30" i="63"/>
  <c r="J34" i="63"/>
  <c r="J38" i="63"/>
  <c r="J46" i="63"/>
  <c r="J50" i="63"/>
  <c r="J54" i="63"/>
  <c r="L28" i="48" l="1"/>
  <c r="L59" i="49"/>
  <c r="H61" i="44"/>
  <c r="I61" i="44" s="1"/>
  <c r="K61" i="44" s="1"/>
  <c r="J61" i="44"/>
  <c r="L61" i="44"/>
  <c r="L61" i="49"/>
  <c r="L59" i="47"/>
  <c r="L60" i="47"/>
  <c r="L60" i="49"/>
  <c r="L59" i="45"/>
  <c r="L60" i="45"/>
  <c r="L59" i="44"/>
  <c r="L60" i="44"/>
  <c r="L9" i="44"/>
  <c r="L10" i="44"/>
  <c r="L11" i="44"/>
  <c r="L12" i="44"/>
  <c r="L13" i="44"/>
  <c r="L14" i="44"/>
  <c r="L15" i="44"/>
  <c r="L16" i="44"/>
  <c r="L17" i="44"/>
  <c r="L19" i="44"/>
  <c r="L20" i="44"/>
  <c r="L23" i="44"/>
  <c r="L24" i="44"/>
  <c r="L25" i="44"/>
  <c r="L26" i="44"/>
  <c r="L27" i="44"/>
  <c r="L29" i="44"/>
  <c r="L30" i="44"/>
  <c r="L31" i="44"/>
  <c r="L32" i="44"/>
  <c r="L33" i="44"/>
  <c r="L34" i="44"/>
  <c r="L35" i="44"/>
  <c r="L36" i="44"/>
  <c r="L37" i="44"/>
  <c r="L38" i="44"/>
  <c r="L39" i="44"/>
  <c r="L40" i="44"/>
  <c r="L41" i="44"/>
  <c r="L42" i="44"/>
  <c r="L43" i="44"/>
  <c r="L44" i="44"/>
  <c r="L46" i="44"/>
  <c r="L47" i="44"/>
  <c r="L48" i="44"/>
  <c r="L49" i="44"/>
  <c r="L50" i="44"/>
  <c r="L51" i="44"/>
  <c r="L52" i="44"/>
  <c r="L53" i="44"/>
  <c r="L54" i="44"/>
  <c r="L55" i="44"/>
  <c r="L56" i="44"/>
  <c r="L57" i="44"/>
  <c r="L58" i="44"/>
  <c r="L9" i="46"/>
  <c r="L10" i="46"/>
  <c r="L11" i="46"/>
  <c r="L12" i="46"/>
  <c r="L13" i="46"/>
  <c r="L14" i="46"/>
  <c r="L15" i="46"/>
  <c r="L16" i="46"/>
  <c r="L17" i="46"/>
  <c r="L18" i="46"/>
  <c r="L19" i="46"/>
  <c r="L20" i="46"/>
  <c r="L21" i="46"/>
  <c r="L22" i="46"/>
  <c r="L23" i="46"/>
  <c r="L24" i="46"/>
  <c r="L25" i="46"/>
  <c r="L26" i="46"/>
  <c r="L27" i="46"/>
  <c r="L29" i="46"/>
  <c r="L30" i="46"/>
  <c r="L31" i="46"/>
  <c r="L32" i="46"/>
  <c r="L33" i="46"/>
  <c r="L34" i="46"/>
  <c r="L35" i="46"/>
  <c r="L36" i="46"/>
  <c r="L37" i="46"/>
  <c r="L38" i="46"/>
  <c r="L39" i="46"/>
  <c r="L41" i="46"/>
  <c r="L42" i="46"/>
  <c r="L44" i="46"/>
  <c r="L45" i="46"/>
  <c r="L46" i="46"/>
  <c r="L47" i="46"/>
  <c r="L48" i="46"/>
  <c r="L49" i="46"/>
  <c r="L50" i="46"/>
  <c r="L51" i="46"/>
  <c r="L52" i="46"/>
  <c r="L53" i="46"/>
  <c r="L54" i="46"/>
  <c r="L55" i="46"/>
  <c r="L56" i="46"/>
  <c r="L57" i="46"/>
  <c r="L58" i="46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3" i="47"/>
  <c r="L24" i="47"/>
  <c r="L25" i="47"/>
  <c r="L26" i="47"/>
  <c r="L28" i="47"/>
  <c r="L29" i="47"/>
  <c r="L30" i="47"/>
  <c r="L31" i="47"/>
  <c r="L32" i="47"/>
  <c r="L33" i="47"/>
  <c r="L34" i="47"/>
  <c r="L35" i="47"/>
  <c r="L36" i="47"/>
  <c r="L37" i="47"/>
  <c r="L38" i="47"/>
  <c r="L39" i="47"/>
  <c r="L40" i="47"/>
  <c r="L41" i="47"/>
  <c r="L43" i="47"/>
  <c r="L44" i="47"/>
  <c r="L45" i="47"/>
  <c r="L46" i="47"/>
  <c r="L47" i="47"/>
  <c r="L48" i="47"/>
  <c r="L49" i="47"/>
  <c r="L50" i="47"/>
  <c r="L51" i="47"/>
  <c r="L52" i="47"/>
  <c r="L53" i="47"/>
  <c r="L54" i="47"/>
  <c r="L55" i="47"/>
  <c r="L56" i="47"/>
  <c r="L57" i="47"/>
  <c r="L58" i="47"/>
  <c r="L9" i="48"/>
  <c r="L10" i="48"/>
  <c r="L11" i="48"/>
  <c r="L12" i="48"/>
  <c r="L13" i="48"/>
  <c r="L14" i="48"/>
  <c r="L15" i="48"/>
  <c r="L16" i="48"/>
  <c r="L17" i="48"/>
  <c r="L18" i="48"/>
  <c r="L19" i="48"/>
  <c r="L21" i="48"/>
  <c r="L22" i="48"/>
  <c r="L23" i="48"/>
  <c r="L24" i="48"/>
  <c r="L26" i="48"/>
  <c r="L27" i="48"/>
  <c r="L29" i="48"/>
  <c r="L30" i="48"/>
  <c r="L31" i="48"/>
  <c r="L32" i="48"/>
  <c r="L33" i="48"/>
  <c r="L34" i="48"/>
  <c r="L35" i="48"/>
  <c r="L37" i="48"/>
  <c r="L38" i="48"/>
  <c r="L39" i="48"/>
  <c r="L40" i="48"/>
  <c r="L41" i="48"/>
  <c r="L42" i="48"/>
  <c r="L43" i="48"/>
  <c r="L44" i="48"/>
  <c r="L45" i="48"/>
  <c r="L46" i="48"/>
  <c r="L47" i="48"/>
  <c r="L48" i="48"/>
  <c r="L49" i="48"/>
  <c r="L50" i="48"/>
  <c r="L51" i="48"/>
  <c r="L52" i="48"/>
  <c r="L53" i="48"/>
  <c r="L55" i="48"/>
  <c r="L56" i="48"/>
  <c r="L9" i="49"/>
  <c r="L10" i="49"/>
  <c r="L11" i="49"/>
  <c r="L12" i="49"/>
  <c r="L13" i="49"/>
  <c r="L14" i="49"/>
  <c r="L15" i="49"/>
  <c r="L16" i="49"/>
  <c r="L18" i="49"/>
  <c r="L19" i="49"/>
  <c r="L20" i="49"/>
  <c r="L21" i="49"/>
  <c r="L22" i="49"/>
  <c r="L23" i="49"/>
  <c r="L24" i="49"/>
  <c r="L25" i="49"/>
  <c r="L26" i="49"/>
  <c r="L27" i="49"/>
  <c r="L28" i="49"/>
  <c r="L29" i="49"/>
  <c r="L30" i="49"/>
  <c r="L31" i="49"/>
  <c r="L32" i="49"/>
  <c r="L33" i="49"/>
  <c r="L34" i="49"/>
  <c r="L35" i="49"/>
  <c r="L36" i="49"/>
  <c r="L37" i="49"/>
  <c r="L38" i="49"/>
  <c r="L39" i="49"/>
  <c r="L40" i="49"/>
  <c r="L41" i="49"/>
  <c r="L42" i="49"/>
  <c r="L43" i="49"/>
  <c r="L44" i="49"/>
  <c r="L45" i="49"/>
  <c r="L46" i="49"/>
  <c r="L47" i="49"/>
  <c r="L48" i="49"/>
  <c r="L49" i="49"/>
  <c r="L50" i="49"/>
  <c r="L51" i="49"/>
  <c r="L52" i="49"/>
  <c r="L54" i="49"/>
  <c r="L55" i="49"/>
  <c r="L56" i="49"/>
  <c r="L57" i="49"/>
  <c r="L58" i="49"/>
  <c r="L9" i="45"/>
  <c r="L10" i="45"/>
  <c r="L11" i="45"/>
  <c r="L12" i="45"/>
  <c r="L13" i="45"/>
  <c r="L14" i="45"/>
  <c r="L15" i="45"/>
  <c r="L16" i="45"/>
  <c r="L17" i="45"/>
  <c r="L18" i="45"/>
  <c r="L19" i="45"/>
  <c r="L20" i="45"/>
  <c r="L21" i="45"/>
  <c r="L22" i="45"/>
  <c r="L23" i="45"/>
  <c r="L24" i="45"/>
  <c r="L25" i="45"/>
  <c r="L26" i="45"/>
  <c r="L27" i="45"/>
  <c r="L28" i="45"/>
  <c r="L29" i="45"/>
  <c r="L30" i="45"/>
  <c r="L31" i="45"/>
  <c r="L32" i="45"/>
  <c r="L33" i="45"/>
  <c r="L34" i="45"/>
  <c r="L35" i="45"/>
  <c r="L37" i="45"/>
  <c r="L38" i="45"/>
  <c r="L39" i="45"/>
  <c r="L40" i="45"/>
  <c r="L41" i="45"/>
  <c r="L42" i="45"/>
  <c r="L43" i="45"/>
  <c r="L45" i="45"/>
  <c r="L46" i="45"/>
  <c r="L47" i="45"/>
  <c r="L48" i="45"/>
  <c r="L49" i="45"/>
  <c r="L50" i="45"/>
  <c r="L51" i="45"/>
  <c r="L52" i="45"/>
  <c r="L53" i="45"/>
  <c r="L54" i="45"/>
  <c r="L55" i="45"/>
  <c r="L56" i="45"/>
  <c r="L57" i="45"/>
  <c r="L58" i="45"/>
  <c r="L9" i="50"/>
  <c r="L10" i="50"/>
  <c r="L11" i="50"/>
  <c r="L12" i="50"/>
  <c r="L13" i="50"/>
  <c r="L14" i="50"/>
  <c r="L15" i="50"/>
  <c r="L16" i="50"/>
  <c r="L17" i="50"/>
  <c r="L18" i="50"/>
  <c r="L19" i="50"/>
  <c r="L20" i="50"/>
  <c r="L21" i="50"/>
  <c r="L22" i="50"/>
  <c r="L23" i="50"/>
  <c r="L24" i="50"/>
  <c r="L25" i="50"/>
  <c r="L27" i="50"/>
  <c r="L28" i="50"/>
  <c r="L29" i="50"/>
  <c r="L30" i="50"/>
  <c r="L32" i="50"/>
  <c r="L34" i="50"/>
  <c r="L35" i="50"/>
  <c r="L36" i="50"/>
  <c r="L37" i="50"/>
  <c r="L38" i="50"/>
  <c r="L39" i="50"/>
  <c r="L40" i="50"/>
  <c r="L42" i="50"/>
  <c r="L44" i="50"/>
  <c r="L45" i="50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8" i="44"/>
  <c r="L8" i="46"/>
  <c r="L8" i="47"/>
  <c r="L8" i="48"/>
  <c r="L8" i="49"/>
  <c r="L8" i="45"/>
  <c r="L8" i="50"/>
  <c r="L8" i="43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19" i="15"/>
  <c r="L9" i="15"/>
  <c r="L10" i="15"/>
  <c r="L11" i="15"/>
  <c r="L12" i="15"/>
  <c r="L13" i="15"/>
  <c r="L14" i="15"/>
  <c r="L15" i="15"/>
  <c r="L16" i="15"/>
  <c r="L17" i="15"/>
  <c r="L18" i="15"/>
  <c r="L8" i="15"/>
  <c r="L14" i="51"/>
  <c r="L9" i="56"/>
  <c r="L10" i="56"/>
  <c r="L11" i="56"/>
  <c r="L14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6" i="56"/>
  <c r="L37" i="56"/>
  <c r="L38" i="56"/>
  <c r="L39" i="56"/>
  <c r="L40" i="56"/>
  <c r="L41" i="56"/>
  <c r="L42" i="56"/>
  <c r="L43" i="56"/>
  <c r="L44" i="56"/>
  <c r="L45" i="56"/>
  <c r="L46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8" i="56"/>
  <c r="L9" i="55"/>
  <c r="L10" i="55"/>
  <c r="L11" i="55"/>
  <c r="L12" i="55"/>
  <c r="L13" i="55"/>
  <c r="L16" i="55"/>
  <c r="L17" i="55"/>
  <c r="L18" i="55"/>
  <c r="L19" i="55"/>
  <c r="L21" i="55"/>
  <c r="L22" i="55"/>
  <c r="L23" i="55"/>
  <c r="L24" i="55"/>
  <c r="L25" i="55"/>
  <c r="L26" i="55"/>
  <c r="L27" i="55"/>
  <c r="L28" i="55"/>
  <c r="L29" i="55"/>
  <c r="L30" i="55"/>
  <c r="L31" i="55"/>
  <c r="L32" i="55"/>
  <c r="L33" i="55"/>
  <c r="L34" i="55"/>
  <c r="L35" i="55"/>
  <c r="L36" i="55"/>
  <c r="L37" i="55"/>
  <c r="L38" i="55"/>
  <c r="L39" i="55"/>
  <c r="L40" i="55"/>
  <c r="L41" i="55"/>
  <c r="L42" i="55"/>
  <c r="L43" i="55"/>
  <c r="L44" i="55"/>
  <c r="L45" i="55"/>
  <c r="L48" i="55"/>
  <c r="L49" i="55"/>
  <c r="L50" i="55"/>
  <c r="L51" i="55"/>
  <c r="L52" i="55"/>
  <c r="L53" i="55"/>
  <c r="L54" i="55"/>
  <c r="L55" i="55"/>
  <c r="L56" i="55"/>
  <c r="L57" i="55"/>
  <c r="L58" i="55"/>
  <c r="L59" i="55"/>
  <c r="L60" i="55"/>
  <c r="L61" i="55"/>
  <c r="L62" i="55"/>
  <c r="L63" i="55"/>
  <c r="L64" i="55"/>
  <c r="L65" i="55"/>
  <c r="L66" i="55"/>
  <c r="L67" i="55"/>
  <c r="L68" i="55"/>
  <c r="L69" i="55"/>
  <c r="L8" i="55"/>
  <c r="L9" i="54"/>
  <c r="L10" i="54"/>
  <c r="L11" i="54"/>
  <c r="L12" i="54"/>
  <c r="L13" i="54"/>
  <c r="L14" i="54"/>
  <c r="L15" i="54"/>
  <c r="L17" i="54"/>
  <c r="L18" i="54"/>
  <c r="L19" i="54"/>
  <c r="L20" i="54"/>
  <c r="L21" i="54"/>
  <c r="L22" i="54"/>
  <c r="L23" i="54"/>
  <c r="L24" i="54"/>
  <c r="L25" i="54"/>
  <c r="L26" i="54"/>
  <c r="L27" i="54"/>
  <c r="L28" i="54"/>
  <c r="L29" i="54"/>
  <c r="L30" i="54"/>
  <c r="L31" i="54"/>
  <c r="L32" i="54"/>
  <c r="L33" i="54"/>
  <c r="L34" i="54"/>
  <c r="L35" i="54"/>
  <c r="L36" i="54"/>
  <c r="L37" i="54"/>
  <c r="L38" i="54"/>
  <c r="L39" i="54"/>
  <c r="L40" i="54"/>
  <c r="L41" i="54"/>
  <c r="L42" i="54"/>
  <c r="L43" i="54"/>
  <c r="L44" i="54"/>
  <c r="L45" i="54"/>
  <c r="L46" i="54"/>
  <c r="L47" i="54"/>
  <c r="L48" i="54"/>
  <c r="L49" i="54"/>
  <c r="L50" i="54"/>
  <c r="L51" i="54"/>
  <c r="L53" i="54"/>
  <c r="L54" i="54"/>
  <c r="L55" i="54"/>
  <c r="L56" i="54"/>
  <c r="L57" i="54"/>
  <c r="L58" i="54"/>
  <c r="L59" i="54"/>
  <c r="L8" i="54"/>
  <c r="L9" i="53"/>
  <c r="L10" i="53"/>
  <c r="L11" i="53"/>
  <c r="L12" i="53"/>
  <c r="L13" i="53"/>
  <c r="L14" i="53"/>
  <c r="L15" i="53"/>
  <c r="L17" i="53"/>
  <c r="L18" i="53"/>
  <c r="L19" i="53"/>
  <c r="L20" i="53"/>
  <c r="L22" i="53"/>
  <c r="L23" i="53"/>
  <c r="L24" i="53"/>
  <c r="L25" i="53"/>
  <c r="L27" i="53"/>
  <c r="L28" i="53"/>
  <c r="L29" i="53"/>
  <c r="L30" i="53"/>
  <c r="L31" i="53"/>
  <c r="L32" i="53"/>
  <c r="L33" i="53"/>
  <c r="L34" i="53"/>
  <c r="L35" i="53"/>
  <c r="L36" i="53"/>
  <c r="L37" i="53"/>
  <c r="L38" i="53"/>
  <c r="L39" i="53"/>
  <c r="L40" i="53"/>
  <c r="L41" i="53"/>
  <c r="L42" i="53"/>
  <c r="L43" i="53"/>
  <c r="L44" i="53"/>
  <c r="L45" i="53"/>
  <c r="L46" i="53"/>
  <c r="L47" i="53"/>
  <c r="L48" i="53"/>
  <c r="L49" i="53"/>
  <c r="L50" i="53"/>
  <c r="L51" i="53"/>
  <c r="L52" i="53"/>
  <c r="L53" i="53"/>
  <c r="L54" i="53"/>
  <c r="L55" i="53"/>
  <c r="L56" i="53"/>
  <c r="L57" i="53"/>
  <c r="L58" i="53"/>
  <c r="L59" i="53"/>
  <c r="L60" i="53"/>
  <c r="L61" i="53"/>
  <c r="L62" i="53"/>
  <c r="L64" i="53"/>
  <c r="L8" i="53"/>
  <c r="L48" i="52"/>
  <c r="L53" i="52" l="1"/>
  <c r="L10" i="52"/>
  <c r="L47" i="52"/>
  <c r="L59" i="52"/>
  <c r="L43" i="52"/>
  <c r="L44" i="52"/>
  <c r="L49" i="52"/>
  <c r="L29" i="52"/>
  <c r="L15" i="52"/>
  <c r="L16" i="52"/>
  <c r="L39" i="52"/>
  <c r="L25" i="52"/>
  <c r="L8" i="52"/>
  <c r="L23" i="52"/>
  <c r="L62" i="52"/>
  <c r="L21" i="52"/>
  <c r="L9" i="52"/>
  <c r="L57" i="52"/>
  <c r="L24" i="52"/>
  <c r="L11" i="52"/>
  <c r="L36" i="52"/>
  <c r="L27" i="52"/>
  <c r="L40" i="52"/>
  <c r="L41" i="52"/>
  <c r="L26" i="52"/>
  <c r="L60" i="52"/>
  <c r="L18" i="52"/>
  <c r="L20" i="52"/>
  <c r="L32" i="52"/>
  <c r="L14" i="52"/>
  <c r="L12" i="52"/>
  <c r="L46" i="52"/>
  <c r="L55" i="52"/>
  <c r="L52" i="52"/>
  <c r="L42" i="52"/>
  <c r="L34" i="52"/>
  <c r="L56" i="52"/>
  <c r="L61" i="52"/>
  <c r="L30" i="52"/>
  <c r="L58" i="52"/>
  <c r="L35" i="52"/>
  <c r="L13" i="52"/>
  <c r="L33" i="52"/>
  <c r="L17" i="52"/>
  <c r="L45" i="52"/>
  <c r="L19" i="52"/>
  <c r="L54" i="52"/>
  <c r="L37" i="52"/>
  <c r="L38" i="52"/>
  <c r="L28" i="52"/>
  <c r="L31" i="52"/>
  <c r="L22" i="52"/>
  <c r="L51" i="52"/>
  <c r="L50" i="52"/>
  <c r="L9" i="51"/>
  <c r="L10" i="51"/>
  <c r="L11" i="51"/>
  <c r="L12" i="51"/>
  <c r="L13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3" i="51"/>
  <c r="L34" i="51"/>
  <c r="L35" i="51"/>
  <c r="L36" i="51"/>
  <c r="L37" i="51"/>
  <c r="L39" i="51"/>
  <c r="L40" i="51"/>
  <c r="L41" i="51"/>
  <c r="L42" i="51"/>
  <c r="L43" i="51"/>
  <c r="L44" i="51"/>
  <c r="L45" i="51"/>
  <c r="L46" i="51"/>
  <c r="L47" i="51"/>
  <c r="L48" i="51"/>
  <c r="L49" i="51"/>
  <c r="L50" i="51"/>
  <c r="L52" i="51"/>
  <c r="L53" i="51"/>
  <c r="L54" i="51"/>
  <c r="L55" i="51"/>
  <c r="L56" i="51"/>
  <c r="L57" i="51"/>
  <c r="L58" i="51"/>
  <c r="L59" i="51"/>
  <c r="L60" i="51"/>
  <c r="L61" i="51"/>
  <c r="L62" i="51"/>
  <c r="L63" i="51"/>
  <c r="L64" i="51"/>
  <c r="L8" i="51"/>
  <c r="H9" i="61"/>
  <c r="H10" i="61"/>
  <c r="H11" i="61"/>
  <c r="H12" i="61"/>
  <c r="I12" i="61" s="1"/>
  <c r="H13" i="61"/>
  <c r="I13" i="61" s="1"/>
  <c r="H14" i="61"/>
  <c r="H15" i="61"/>
  <c r="H16" i="61"/>
  <c r="I16" i="61" s="1"/>
  <c r="H17" i="61"/>
  <c r="I17" i="61" s="1"/>
  <c r="H18" i="61"/>
  <c r="I18" i="61" s="1"/>
  <c r="H19" i="61"/>
  <c r="I19" i="61" s="1"/>
  <c r="H20" i="61"/>
  <c r="I20" i="61" s="1"/>
  <c r="H21" i="61"/>
  <c r="H22" i="61"/>
  <c r="I22" i="61" s="1"/>
  <c r="H23" i="61"/>
  <c r="I23" i="61" s="1"/>
  <c r="H24" i="61"/>
  <c r="H25" i="61"/>
  <c r="I25" i="61" s="1"/>
  <c r="H26" i="61"/>
  <c r="I26" i="61" s="1"/>
  <c r="H27" i="61"/>
  <c r="I27" i="61" s="1"/>
  <c r="H28" i="61"/>
  <c r="I28" i="61" s="1"/>
  <c r="H29" i="61"/>
  <c r="I29" i="61" s="1"/>
  <c r="H30" i="61"/>
  <c r="I30" i="61" s="1"/>
  <c r="H31" i="61"/>
  <c r="I31" i="61" s="1"/>
  <c r="H32" i="61"/>
  <c r="I32" i="61" s="1"/>
  <c r="H33" i="61"/>
  <c r="I33" i="61" s="1"/>
  <c r="H34" i="61"/>
  <c r="I34" i="61" s="1"/>
  <c r="H35" i="61"/>
  <c r="I35" i="61" s="1"/>
  <c r="H36" i="61"/>
  <c r="I36" i="61" s="1"/>
  <c r="H37" i="61"/>
  <c r="H38" i="61"/>
  <c r="I38" i="61" s="1"/>
  <c r="H39" i="61"/>
  <c r="I39" i="61" s="1"/>
  <c r="H40" i="61"/>
  <c r="H41" i="61"/>
  <c r="I41" i="61" s="1"/>
  <c r="H42" i="61"/>
  <c r="H43" i="61"/>
  <c r="I43" i="61" s="1"/>
  <c r="H44" i="61"/>
  <c r="I44" i="61" s="1"/>
  <c r="H45" i="61"/>
  <c r="I45" i="61" s="1"/>
  <c r="H46" i="61"/>
  <c r="I46" i="61" s="1"/>
  <c r="H47" i="61"/>
  <c r="I47" i="61" s="1"/>
  <c r="H48" i="61"/>
  <c r="I48" i="61" s="1"/>
  <c r="H49" i="61"/>
  <c r="I49" i="61" s="1"/>
  <c r="I9" i="61"/>
  <c r="I10" i="61"/>
  <c r="I11" i="61"/>
  <c r="I42" i="61"/>
  <c r="G9" i="36"/>
  <c r="H9" i="36" s="1"/>
  <c r="J9" i="36" s="1"/>
  <c r="G10" i="36"/>
  <c r="H10" i="36" s="1"/>
  <c r="J10" i="36" s="1"/>
  <c r="G11" i="36"/>
  <c r="H11" i="36" s="1"/>
  <c r="J11" i="36" s="1"/>
  <c r="G12" i="36"/>
  <c r="H12" i="36" s="1"/>
  <c r="J12" i="36" s="1"/>
  <c r="G13" i="36"/>
  <c r="H13" i="36" s="1"/>
  <c r="J13" i="36" s="1"/>
  <c r="G14" i="36"/>
  <c r="H14" i="36" s="1"/>
  <c r="J14" i="36" s="1"/>
  <c r="G15" i="36"/>
  <c r="G16" i="36"/>
  <c r="G17" i="36"/>
  <c r="H17" i="36" s="1"/>
  <c r="J17" i="36" s="1"/>
  <c r="G18" i="36"/>
  <c r="G19" i="36"/>
  <c r="H19" i="36" s="1"/>
  <c r="J19" i="36" s="1"/>
  <c r="G20" i="36"/>
  <c r="H20" i="36" s="1"/>
  <c r="J20" i="36" s="1"/>
  <c r="G21" i="36"/>
  <c r="G22" i="36"/>
  <c r="H22" i="36" s="1"/>
  <c r="J22" i="36" s="1"/>
  <c r="G23" i="36"/>
  <c r="H23" i="36" s="1"/>
  <c r="J23" i="36" s="1"/>
  <c r="G24" i="36"/>
  <c r="G25" i="36"/>
  <c r="H25" i="36" s="1"/>
  <c r="J25" i="36" s="1"/>
  <c r="G26" i="36"/>
  <c r="H26" i="36" s="1"/>
  <c r="J26" i="36" s="1"/>
  <c r="G27" i="36"/>
  <c r="H27" i="36" s="1"/>
  <c r="J27" i="36" s="1"/>
  <c r="G28" i="36"/>
  <c r="H28" i="36" s="1"/>
  <c r="J28" i="36" s="1"/>
  <c r="G29" i="36"/>
  <c r="H29" i="36" s="1"/>
  <c r="J29" i="36" s="1"/>
  <c r="G30" i="36"/>
  <c r="H30" i="36" s="1"/>
  <c r="J30" i="36" s="1"/>
  <c r="G31" i="36"/>
  <c r="G32" i="36"/>
  <c r="G33" i="36"/>
  <c r="G34" i="36"/>
  <c r="G35" i="36"/>
  <c r="H35" i="36" s="1"/>
  <c r="J35" i="36" s="1"/>
  <c r="G36" i="36"/>
  <c r="H36" i="36" s="1"/>
  <c r="J36" i="36" s="1"/>
  <c r="G37" i="36"/>
  <c r="H37" i="36" s="1"/>
  <c r="J37" i="36" s="1"/>
  <c r="G38" i="36"/>
  <c r="G39" i="36"/>
  <c r="H39" i="36" s="1"/>
  <c r="J39" i="36" s="1"/>
  <c r="G40" i="36"/>
  <c r="H40" i="36" s="1"/>
  <c r="J40" i="36" s="1"/>
  <c r="G41" i="36"/>
  <c r="G42" i="36"/>
  <c r="H42" i="36" s="1"/>
  <c r="J42" i="36" s="1"/>
  <c r="G43" i="36"/>
  <c r="H43" i="36" s="1"/>
  <c r="J43" i="36" s="1"/>
  <c r="G44" i="36"/>
  <c r="H44" i="36" s="1"/>
  <c r="J44" i="36" s="1"/>
  <c r="G45" i="36"/>
  <c r="G46" i="36"/>
  <c r="H46" i="36" s="1"/>
  <c r="J46" i="36" s="1"/>
  <c r="G47" i="36"/>
  <c r="H47" i="36" s="1"/>
  <c r="J47" i="36" s="1"/>
  <c r="G48" i="36"/>
  <c r="G49" i="36"/>
  <c r="G50" i="36"/>
  <c r="H50" i="36" s="1"/>
  <c r="J50" i="36" s="1"/>
  <c r="G51" i="36"/>
  <c r="H51" i="36" s="1"/>
  <c r="J51" i="36" s="1"/>
  <c r="G52" i="36"/>
  <c r="H52" i="36" s="1"/>
  <c r="J52" i="36" s="1"/>
  <c r="G53" i="36"/>
  <c r="H53" i="36" s="1"/>
  <c r="J53" i="36" s="1"/>
  <c r="G54" i="36"/>
  <c r="G55" i="36"/>
  <c r="G56" i="36"/>
  <c r="H56" i="36" s="1"/>
  <c r="J56" i="36" s="1"/>
  <c r="G57" i="36"/>
  <c r="H57" i="36" s="1"/>
  <c r="J57" i="36" s="1"/>
  <c r="G58" i="36"/>
  <c r="H58" i="36" s="1"/>
  <c r="J58" i="36" s="1"/>
  <c r="G59" i="36"/>
  <c r="H59" i="36" s="1"/>
  <c r="J59" i="36" s="1"/>
  <c r="G60" i="36"/>
  <c r="H60" i="36" s="1"/>
  <c r="J60" i="36" s="1"/>
  <c r="G61" i="36"/>
  <c r="G62" i="36"/>
  <c r="H62" i="36" s="1"/>
  <c r="J62" i="36" s="1"/>
  <c r="H15" i="36"/>
  <c r="J15" i="36" s="1"/>
  <c r="H16" i="36"/>
  <c r="J16" i="36" s="1"/>
  <c r="H18" i="36"/>
  <c r="J18" i="36" s="1"/>
  <c r="H31" i="36"/>
  <c r="J31" i="36" s="1"/>
  <c r="H32" i="36"/>
  <c r="H33" i="36"/>
  <c r="J33" i="36" s="1"/>
  <c r="H34" i="36"/>
  <c r="J34" i="36" s="1"/>
  <c r="H38" i="36"/>
  <c r="J38" i="36" s="1"/>
  <c r="H41" i="36"/>
  <c r="J41" i="36" s="1"/>
  <c r="H48" i="36"/>
  <c r="J48" i="36" s="1"/>
  <c r="H49" i="36"/>
  <c r="J49" i="36" s="1"/>
  <c r="H54" i="36"/>
  <c r="J54" i="36" s="1"/>
  <c r="H55" i="36"/>
  <c r="J55" i="36" s="1"/>
  <c r="J32" i="36"/>
  <c r="H20" i="6"/>
  <c r="H26" i="6"/>
  <c r="H27" i="6"/>
  <c r="H28" i="6"/>
  <c r="H33" i="6"/>
  <c r="H35" i="6"/>
  <c r="H36" i="6"/>
  <c r="H37" i="6"/>
  <c r="H43" i="6"/>
  <c r="H45" i="6"/>
  <c r="H46" i="6"/>
  <c r="H51" i="6"/>
  <c r="H52" i="6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G27" i="6"/>
  <c r="G28" i="6"/>
  <c r="G29" i="6"/>
  <c r="H29" i="6" s="1"/>
  <c r="G30" i="6"/>
  <c r="H30" i="6" s="1"/>
  <c r="G31" i="6"/>
  <c r="H31" i="6" s="1"/>
  <c r="G32" i="6"/>
  <c r="H32" i="6" s="1"/>
  <c r="G33" i="6"/>
  <c r="G34" i="6"/>
  <c r="H34" i="6" s="1"/>
  <c r="G36" i="6"/>
  <c r="G37" i="6"/>
  <c r="G38" i="6"/>
  <c r="H38" i="6" s="1"/>
  <c r="G39" i="6"/>
  <c r="H39" i="6" s="1"/>
  <c r="G40" i="6"/>
  <c r="H40" i="6" s="1"/>
  <c r="G41" i="6"/>
  <c r="H41" i="6" s="1"/>
  <c r="G42" i="6"/>
  <c r="H42" i="6" s="1"/>
  <c r="G43" i="6"/>
  <c r="G44" i="6"/>
  <c r="H44" i="6" s="1"/>
  <c r="G45" i="6"/>
  <c r="G46" i="6"/>
  <c r="G47" i="6"/>
  <c r="H47" i="6" s="1"/>
  <c r="G48" i="6"/>
  <c r="H48" i="6" s="1"/>
  <c r="G49" i="6"/>
  <c r="H49" i="6" s="1"/>
  <c r="G50" i="6"/>
  <c r="H50" i="6" s="1"/>
  <c r="G51" i="6"/>
  <c r="G52" i="6"/>
  <c r="G8" i="6"/>
  <c r="H8" i="43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8" i="15"/>
  <c r="H9" i="43"/>
  <c r="H10" i="43"/>
  <c r="H11" i="43"/>
  <c r="H12" i="43"/>
  <c r="H13" i="43"/>
  <c r="H14" i="43"/>
  <c r="H15" i="43"/>
  <c r="H16" i="43"/>
  <c r="H17" i="43"/>
  <c r="H18" i="43"/>
  <c r="H19" i="43"/>
  <c r="H20" i="43"/>
  <c r="H21" i="43"/>
  <c r="H22" i="43"/>
  <c r="H23" i="43"/>
  <c r="H24" i="43"/>
  <c r="H25" i="43"/>
  <c r="H26" i="43"/>
  <c r="H27" i="43"/>
  <c r="H28" i="43"/>
  <c r="H29" i="43"/>
  <c r="H30" i="43"/>
  <c r="H31" i="43"/>
  <c r="H32" i="43"/>
  <c r="H33" i="43"/>
  <c r="H34" i="43"/>
  <c r="H35" i="43"/>
  <c r="H36" i="43"/>
  <c r="H37" i="43"/>
  <c r="H38" i="43"/>
  <c r="H39" i="43"/>
  <c r="H40" i="43"/>
  <c r="H41" i="43"/>
  <c r="H42" i="43"/>
  <c r="H43" i="43"/>
  <c r="H44" i="43"/>
  <c r="H45" i="43"/>
  <c r="H46" i="43"/>
  <c r="H47" i="43"/>
  <c r="H48" i="43"/>
  <c r="H49" i="43"/>
  <c r="H50" i="43"/>
  <c r="H51" i="43"/>
  <c r="H52" i="43"/>
  <c r="H53" i="43"/>
  <c r="H54" i="43"/>
  <c r="H55" i="43"/>
  <c r="H56" i="43"/>
  <c r="H57" i="43"/>
  <c r="H58" i="43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H25" i="44"/>
  <c r="H26" i="44"/>
  <c r="H27" i="44"/>
  <c r="H28" i="44"/>
  <c r="H29" i="44"/>
  <c r="H30" i="44"/>
  <c r="H31" i="44"/>
  <c r="H32" i="44"/>
  <c r="H33" i="44"/>
  <c r="H34" i="44"/>
  <c r="H35" i="44"/>
  <c r="H36" i="44"/>
  <c r="H37" i="44"/>
  <c r="H38" i="44"/>
  <c r="H39" i="44"/>
  <c r="H40" i="44"/>
  <c r="H41" i="44"/>
  <c r="H42" i="44"/>
  <c r="H43" i="44"/>
  <c r="H44" i="44"/>
  <c r="H45" i="44"/>
  <c r="H46" i="44"/>
  <c r="H47" i="44"/>
  <c r="H48" i="44"/>
  <c r="H49" i="44"/>
  <c r="H50" i="44"/>
  <c r="H51" i="44"/>
  <c r="H52" i="44"/>
  <c r="H53" i="44"/>
  <c r="H54" i="44"/>
  <c r="H55" i="44"/>
  <c r="H56" i="44"/>
  <c r="H57" i="44"/>
  <c r="H58" i="44"/>
  <c r="H59" i="44"/>
  <c r="I59" i="44" s="1"/>
  <c r="K59" i="44" s="1"/>
  <c r="H60" i="44"/>
  <c r="I60" i="44" s="1"/>
  <c r="K60" i="44" s="1"/>
  <c r="H8" i="44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7" i="46"/>
  <c r="H38" i="46"/>
  <c r="H39" i="46"/>
  <c r="H40" i="46"/>
  <c r="H41" i="46"/>
  <c r="H42" i="46"/>
  <c r="H43" i="46"/>
  <c r="H44" i="46"/>
  <c r="H45" i="46"/>
  <c r="H46" i="46"/>
  <c r="H47" i="46"/>
  <c r="H48" i="46"/>
  <c r="H49" i="46"/>
  <c r="H50" i="46"/>
  <c r="H51" i="46"/>
  <c r="H52" i="46"/>
  <c r="H53" i="46"/>
  <c r="H54" i="46"/>
  <c r="H55" i="46"/>
  <c r="H56" i="46"/>
  <c r="H57" i="46"/>
  <c r="H58" i="46"/>
  <c r="H8" i="46"/>
  <c r="H9" i="47"/>
  <c r="H10" i="47"/>
  <c r="H11" i="47"/>
  <c r="H12" i="47"/>
  <c r="H13" i="47"/>
  <c r="H14" i="47"/>
  <c r="H15" i="47"/>
  <c r="H16" i="47"/>
  <c r="H17" i="47"/>
  <c r="H18" i="47"/>
  <c r="H19" i="47"/>
  <c r="H20" i="47"/>
  <c r="H21" i="47"/>
  <c r="H22" i="47"/>
  <c r="H23" i="47"/>
  <c r="H24" i="47"/>
  <c r="H25" i="47"/>
  <c r="H26" i="47"/>
  <c r="H27" i="47"/>
  <c r="H28" i="47"/>
  <c r="H29" i="47"/>
  <c r="H30" i="47"/>
  <c r="H31" i="47"/>
  <c r="H32" i="47"/>
  <c r="H33" i="47"/>
  <c r="H34" i="47"/>
  <c r="H35" i="47"/>
  <c r="H36" i="47"/>
  <c r="H37" i="47"/>
  <c r="H38" i="47"/>
  <c r="H39" i="47"/>
  <c r="H40" i="47"/>
  <c r="H41" i="47"/>
  <c r="H42" i="47"/>
  <c r="H43" i="47"/>
  <c r="H44" i="47"/>
  <c r="H45" i="47"/>
  <c r="H46" i="47"/>
  <c r="H47" i="47"/>
  <c r="H48" i="47"/>
  <c r="H49" i="47"/>
  <c r="H50" i="47"/>
  <c r="H51" i="47"/>
  <c r="H52" i="47"/>
  <c r="H53" i="47"/>
  <c r="H54" i="47"/>
  <c r="H55" i="47"/>
  <c r="H56" i="47"/>
  <c r="H57" i="47"/>
  <c r="H58" i="47"/>
  <c r="H59" i="47"/>
  <c r="I59" i="47" s="1"/>
  <c r="K59" i="47" s="1"/>
  <c r="H60" i="47"/>
  <c r="I60" i="47" s="1"/>
  <c r="K60" i="47" s="1"/>
  <c r="H8" i="47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33" i="48"/>
  <c r="H34" i="48"/>
  <c r="H35" i="48"/>
  <c r="H36" i="48"/>
  <c r="H37" i="48"/>
  <c r="H38" i="48"/>
  <c r="H39" i="48"/>
  <c r="H40" i="48"/>
  <c r="H41" i="48"/>
  <c r="H42" i="48"/>
  <c r="H43" i="48"/>
  <c r="H44" i="48"/>
  <c r="H45" i="48"/>
  <c r="H46" i="48"/>
  <c r="H47" i="48"/>
  <c r="H48" i="48"/>
  <c r="H49" i="48"/>
  <c r="H50" i="48"/>
  <c r="H51" i="48"/>
  <c r="H52" i="48"/>
  <c r="H53" i="48"/>
  <c r="H54" i="48"/>
  <c r="H55" i="48"/>
  <c r="H56" i="48"/>
  <c r="H8" i="48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34" i="49"/>
  <c r="H35" i="49"/>
  <c r="H36" i="49"/>
  <c r="H37" i="49"/>
  <c r="H38" i="49"/>
  <c r="H39" i="49"/>
  <c r="H40" i="49"/>
  <c r="H41" i="49"/>
  <c r="H42" i="49"/>
  <c r="H43" i="49"/>
  <c r="H44" i="49"/>
  <c r="H45" i="49"/>
  <c r="H46" i="49"/>
  <c r="H47" i="49"/>
  <c r="H48" i="49"/>
  <c r="H49" i="49"/>
  <c r="H50" i="49"/>
  <c r="H51" i="49"/>
  <c r="H52" i="49"/>
  <c r="H53" i="49"/>
  <c r="H54" i="49"/>
  <c r="H55" i="49"/>
  <c r="H56" i="49"/>
  <c r="H57" i="49"/>
  <c r="H58" i="49"/>
  <c r="H59" i="49"/>
  <c r="I59" i="49" s="1"/>
  <c r="K59" i="49" s="1"/>
  <c r="H60" i="49"/>
  <c r="H61" i="49"/>
  <c r="H8" i="49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23" i="45"/>
  <c r="H24" i="45"/>
  <c r="H25" i="45"/>
  <c r="H26" i="45"/>
  <c r="H27" i="45"/>
  <c r="H28" i="45"/>
  <c r="H29" i="45"/>
  <c r="H30" i="45"/>
  <c r="H31" i="45"/>
  <c r="H32" i="45"/>
  <c r="H33" i="45"/>
  <c r="H34" i="45"/>
  <c r="H35" i="45"/>
  <c r="H36" i="45"/>
  <c r="H37" i="45"/>
  <c r="H38" i="45"/>
  <c r="H39" i="45"/>
  <c r="H40" i="45"/>
  <c r="H41" i="45"/>
  <c r="H42" i="45"/>
  <c r="H43" i="45"/>
  <c r="H44" i="45"/>
  <c r="H45" i="45"/>
  <c r="H46" i="45"/>
  <c r="H47" i="45"/>
  <c r="H48" i="45"/>
  <c r="H49" i="45"/>
  <c r="H50" i="45"/>
  <c r="H51" i="45"/>
  <c r="H52" i="45"/>
  <c r="H53" i="45"/>
  <c r="H54" i="45"/>
  <c r="H55" i="45"/>
  <c r="H56" i="45"/>
  <c r="H57" i="45"/>
  <c r="H58" i="45"/>
  <c r="H59" i="45"/>
  <c r="I59" i="45" s="1"/>
  <c r="K59" i="45" s="1"/>
  <c r="H60" i="45"/>
  <c r="I60" i="45" s="1"/>
  <c r="K60" i="45" s="1"/>
  <c r="H8" i="45"/>
  <c r="H9" i="50"/>
  <c r="H10" i="50"/>
  <c r="H11" i="50"/>
  <c r="H12" i="50"/>
  <c r="H13" i="50"/>
  <c r="H14" i="50"/>
  <c r="H15" i="50"/>
  <c r="H16" i="50"/>
  <c r="H17" i="50"/>
  <c r="H18" i="50"/>
  <c r="H19" i="50"/>
  <c r="H20" i="50"/>
  <c r="H21" i="50"/>
  <c r="H22" i="50"/>
  <c r="H23" i="50"/>
  <c r="H24" i="50"/>
  <c r="H25" i="50"/>
  <c r="H26" i="50"/>
  <c r="H27" i="50"/>
  <c r="H28" i="50"/>
  <c r="H29" i="50"/>
  <c r="H30" i="50"/>
  <c r="H31" i="50"/>
  <c r="H32" i="50"/>
  <c r="H33" i="50"/>
  <c r="H34" i="50"/>
  <c r="H35" i="50"/>
  <c r="H36" i="50"/>
  <c r="H37" i="50"/>
  <c r="H38" i="50"/>
  <c r="H39" i="50"/>
  <c r="H40" i="50"/>
  <c r="H41" i="50"/>
  <c r="H42" i="50"/>
  <c r="H43" i="50"/>
  <c r="H44" i="50"/>
  <c r="H45" i="50"/>
  <c r="H46" i="50"/>
  <c r="H8" i="50"/>
  <c r="H9" i="51"/>
  <c r="H10" i="51"/>
  <c r="H11" i="51"/>
  <c r="H12" i="51"/>
  <c r="H13" i="51"/>
  <c r="H14" i="51"/>
  <c r="H15" i="51"/>
  <c r="H16" i="51"/>
  <c r="H17" i="51"/>
  <c r="H18" i="51"/>
  <c r="H19" i="51"/>
  <c r="H20" i="51"/>
  <c r="H21" i="51"/>
  <c r="H22" i="51"/>
  <c r="H23" i="51"/>
  <c r="H24" i="51"/>
  <c r="H25" i="51"/>
  <c r="H26" i="51"/>
  <c r="H27" i="51"/>
  <c r="H28" i="51"/>
  <c r="H29" i="51"/>
  <c r="H30" i="51"/>
  <c r="H31" i="51"/>
  <c r="H32" i="51"/>
  <c r="H33" i="51"/>
  <c r="H34" i="51"/>
  <c r="H35" i="51"/>
  <c r="H36" i="51"/>
  <c r="H37" i="51"/>
  <c r="H38" i="51"/>
  <c r="H39" i="51"/>
  <c r="H40" i="51"/>
  <c r="H41" i="51"/>
  <c r="H42" i="51"/>
  <c r="H43" i="51"/>
  <c r="H44" i="51"/>
  <c r="H45" i="51"/>
  <c r="H46" i="51"/>
  <c r="H47" i="51"/>
  <c r="H48" i="51"/>
  <c r="H49" i="51"/>
  <c r="H50" i="51"/>
  <c r="H51" i="51"/>
  <c r="H52" i="51"/>
  <c r="H53" i="51"/>
  <c r="H54" i="51"/>
  <c r="H55" i="51"/>
  <c r="H56" i="51"/>
  <c r="H57" i="51"/>
  <c r="H58" i="51"/>
  <c r="H59" i="51"/>
  <c r="H60" i="51"/>
  <c r="H61" i="51"/>
  <c r="I61" i="51" s="1"/>
  <c r="H62" i="51"/>
  <c r="I62" i="51" s="1"/>
  <c r="H63" i="51"/>
  <c r="I63" i="51" s="1"/>
  <c r="H64" i="51"/>
  <c r="I64" i="51" s="1"/>
  <c r="H8" i="51"/>
  <c r="H44" i="52"/>
  <c r="H49" i="52"/>
  <c r="H29" i="52"/>
  <c r="H15" i="52"/>
  <c r="H16" i="52"/>
  <c r="H39" i="52"/>
  <c r="H25" i="52"/>
  <c r="H63" i="52"/>
  <c r="H10" i="52"/>
  <c r="H47" i="52"/>
  <c r="H59" i="52"/>
  <c r="H43" i="52"/>
  <c r="H8" i="52"/>
  <c r="H23" i="52"/>
  <c r="H62" i="52"/>
  <c r="H21" i="52"/>
  <c r="H9" i="52"/>
  <c r="H57" i="52"/>
  <c r="H64" i="52"/>
  <c r="H24" i="52"/>
  <c r="H11" i="52"/>
  <c r="H36" i="52"/>
  <c r="H27" i="52"/>
  <c r="H40" i="52"/>
  <c r="H41" i="52"/>
  <c r="H26" i="52"/>
  <c r="H60" i="52"/>
  <c r="H18" i="52"/>
  <c r="H20" i="52"/>
  <c r="H32" i="52"/>
  <c r="H14" i="52"/>
  <c r="H12" i="52"/>
  <c r="H46" i="52"/>
  <c r="H55" i="52"/>
  <c r="H52" i="52"/>
  <c r="H42" i="52"/>
  <c r="H65" i="52"/>
  <c r="H34" i="52"/>
  <c r="H56" i="52"/>
  <c r="H61" i="52"/>
  <c r="H30" i="52"/>
  <c r="H58" i="52"/>
  <c r="H35" i="52"/>
  <c r="H13" i="52"/>
  <c r="H33" i="52"/>
  <c r="H17" i="52"/>
  <c r="H45" i="52"/>
  <c r="H19" i="52"/>
  <c r="H66" i="52"/>
  <c r="H54" i="52"/>
  <c r="H37" i="52"/>
  <c r="I37" i="52" s="1"/>
  <c r="H38" i="52"/>
  <c r="I38" i="52" s="1"/>
  <c r="H28" i="52"/>
  <c r="I28" i="52" s="1"/>
  <c r="H53" i="52"/>
  <c r="I53" i="52" s="1"/>
  <c r="H31" i="52"/>
  <c r="H22" i="52"/>
  <c r="H51" i="52"/>
  <c r="H50" i="52"/>
  <c r="I50" i="52" s="1"/>
  <c r="K50" i="52" s="1"/>
  <c r="H48" i="52"/>
  <c r="H9" i="53"/>
  <c r="H10" i="53"/>
  <c r="H11" i="53"/>
  <c r="H12" i="53"/>
  <c r="H13" i="53"/>
  <c r="H14" i="53"/>
  <c r="H15" i="53"/>
  <c r="H16" i="53"/>
  <c r="H17" i="53"/>
  <c r="H18" i="53"/>
  <c r="H19" i="53"/>
  <c r="H20" i="53"/>
  <c r="H21" i="53"/>
  <c r="H22" i="53"/>
  <c r="H23" i="53"/>
  <c r="H24" i="53"/>
  <c r="H25" i="53"/>
  <c r="H26" i="53"/>
  <c r="H27" i="53"/>
  <c r="H28" i="53"/>
  <c r="H29" i="53"/>
  <c r="H30" i="53"/>
  <c r="H31" i="53"/>
  <c r="H32" i="53"/>
  <c r="H33" i="53"/>
  <c r="H34" i="53"/>
  <c r="H35" i="53"/>
  <c r="H36" i="53"/>
  <c r="H37" i="53"/>
  <c r="H38" i="53"/>
  <c r="H39" i="53"/>
  <c r="H40" i="53"/>
  <c r="H41" i="53"/>
  <c r="H42" i="53"/>
  <c r="H43" i="53"/>
  <c r="H44" i="53"/>
  <c r="H45" i="53"/>
  <c r="H46" i="53"/>
  <c r="H47" i="53"/>
  <c r="H48" i="53"/>
  <c r="H49" i="53"/>
  <c r="H50" i="53"/>
  <c r="H51" i="53"/>
  <c r="H52" i="53"/>
  <c r="H53" i="53"/>
  <c r="H54" i="53"/>
  <c r="H55" i="53"/>
  <c r="H56" i="53"/>
  <c r="H57" i="53"/>
  <c r="H58" i="53"/>
  <c r="H59" i="53"/>
  <c r="I59" i="53" s="1"/>
  <c r="H60" i="53"/>
  <c r="I60" i="53" s="1"/>
  <c r="H61" i="53"/>
  <c r="I61" i="53" s="1"/>
  <c r="H62" i="53"/>
  <c r="I62" i="53" s="1"/>
  <c r="H63" i="53"/>
  <c r="I63" i="53" s="1"/>
  <c r="H64" i="53"/>
  <c r="I64" i="53" s="1"/>
  <c r="H65" i="53"/>
  <c r="H8" i="53"/>
  <c r="H9" i="54"/>
  <c r="H10" i="54"/>
  <c r="H11" i="54"/>
  <c r="H12" i="54"/>
  <c r="H13" i="54"/>
  <c r="H14" i="54"/>
  <c r="H15" i="54"/>
  <c r="H16" i="54"/>
  <c r="H17" i="54"/>
  <c r="H18" i="54"/>
  <c r="H19" i="54"/>
  <c r="H20" i="54"/>
  <c r="H21" i="54"/>
  <c r="H22" i="54"/>
  <c r="H23" i="54"/>
  <c r="H24" i="54"/>
  <c r="H25" i="54"/>
  <c r="H26" i="54"/>
  <c r="H27" i="54"/>
  <c r="H28" i="54"/>
  <c r="H29" i="54"/>
  <c r="H30" i="54"/>
  <c r="H31" i="54"/>
  <c r="H32" i="54"/>
  <c r="H33" i="54"/>
  <c r="H34" i="54"/>
  <c r="H35" i="54"/>
  <c r="H36" i="54"/>
  <c r="H37" i="54"/>
  <c r="H38" i="54"/>
  <c r="H39" i="54"/>
  <c r="H40" i="54"/>
  <c r="H41" i="54"/>
  <c r="H42" i="54"/>
  <c r="H43" i="54"/>
  <c r="H44" i="54"/>
  <c r="H45" i="54"/>
  <c r="H46" i="54"/>
  <c r="H47" i="54"/>
  <c r="H48" i="54"/>
  <c r="H49" i="54"/>
  <c r="H50" i="54"/>
  <c r="H51" i="54"/>
  <c r="H52" i="54"/>
  <c r="H53" i="54"/>
  <c r="H54" i="54"/>
  <c r="H55" i="54"/>
  <c r="H56" i="54"/>
  <c r="H57" i="54"/>
  <c r="H58" i="54"/>
  <c r="H59" i="54"/>
  <c r="I59" i="54" s="1"/>
  <c r="H8" i="54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I59" i="55" s="1"/>
  <c r="H60" i="55"/>
  <c r="I60" i="55" s="1"/>
  <c r="H61" i="55"/>
  <c r="I61" i="55" s="1"/>
  <c r="H62" i="55"/>
  <c r="H63" i="55"/>
  <c r="I63" i="55" s="1"/>
  <c r="H64" i="55"/>
  <c r="I64" i="55" s="1"/>
  <c r="H65" i="55"/>
  <c r="I65" i="55" s="1"/>
  <c r="K65" i="55" s="1"/>
  <c r="H66" i="55"/>
  <c r="I66" i="55" s="1"/>
  <c r="K66" i="55" s="1"/>
  <c r="H67" i="55"/>
  <c r="I67" i="55" s="1"/>
  <c r="K67" i="55" s="1"/>
  <c r="H68" i="55"/>
  <c r="I68" i="55" s="1"/>
  <c r="K68" i="55" s="1"/>
  <c r="H69" i="55"/>
  <c r="I69" i="55" s="1"/>
  <c r="K69" i="55" s="1"/>
  <c r="H8" i="55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I59" i="56" s="1"/>
  <c r="H60" i="56"/>
  <c r="I60" i="56" s="1"/>
  <c r="H61" i="56"/>
  <c r="H62" i="56"/>
  <c r="H63" i="56"/>
  <c r="I63" i="56" s="1"/>
  <c r="H64" i="56"/>
  <c r="I64" i="56" s="1"/>
  <c r="H65" i="56"/>
  <c r="I65" i="56" s="1"/>
  <c r="K65" i="56" s="1"/>
  <c r="H66" i="56"/>
  <c r="I66" i="56" s="1"/>
  <c r="K66" i="56" s="1"/>
  <c r="H8" i="56"/>
  <c r="H9" i="60"/>
  <c r="H10" i="60"/>
  <c r="H11" i="60"/>
  <c r="H12" i="60"/>
  <c r="H13" i="60"/>
  <c r="H14" i="60"/>
  <c r="H15" i="60"/>
  <c r="H16" i="60"/>
  <c r="H17" i="60"/>
  <c r="H18" i="60"/>
  <c r="H19" i="60"/>
  <c r="H20" i="60"/>
  <c r="H21" i="60"/>
  <c r="H22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8" i="60"/>
  <c r="H8" i="61"/>
  <c r="H9" i="62"/>
  <c r="H10" i="62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27" i="62"/>
  <c r="H28" i="62"/>
  <c r="H29" i="62"/>
  <c r="H30" i="62"/>
  <c r="H31" i="62"/>
  <c r="H32" i="62"/>
  <c r="H33" i="62"/>
  <c r="H34" i="62"/>
  <c r="H35" i="62"/>
  <c r="H36" i="62"/>
  <c r="H37" i="62"/>
  <c r="H38" i="62"/>
  <c r="H39" i="62"/>
  <c r="H40" i="62"/>
  <c r="H41" i="62"/>
  <c r="H42" i="62"/>
  <c r="H43" i="62"/>
  <c r="H44" i="62"/>
  <c r="H45" i="62"/>
  <c r="H8" i="62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H35" i="57"/>
  <c r="H36" i="57"/>
  <c r="H37" i="57"/>
  <c r="H38" i="57"/>
  <c r="H39" i="57"/>
  <c r="H40" i="57"/>
  <c r="H41" i="57"/>
  <c r="H42" i="57"/>
  <c r="H43" i="57"/>
  <c r="H44" i="57"/>
  <c r="H45" i="57"/>
  <c r="H46" i="57"/>
  <c r="H47" i="57"/>
  <c r="H8" i="57"/>
  <c r="H9" i="59"/>
  <c r="H10" i="59"/>
  <c r="H11" i="59"/>
  <c r="H12" i="59"/>
  <c r="H13" i="59"/>
  <c r="H14" i="59"/>
  <c r="H15" i="59"/>
  <c r="H16" i="59"/>
  <c r="H17" i="59"/>
  <c r="H18" i="59"/>
  <c r="H19" i="59"/>
  <c r="H20" i="59"/>
  <c r="H21" i="59"/>
  <c r="H22" i="59"/>
  <c r="H23" i="59"/>
  <c r="H24" i="59"/>
  <c r="H25" i="59"/>
  <c r="H26" i="59"/>
  <c r="H27" i="59"/>
  <c r="H28" i="59"/>
  <c r="H29" i="59"/>
  <c r="H30" i="59"/>
  <c r="H31" i="59"/>
  <c r="H32" i="59"/>
  <c r="H33" i="59"/>
  <c r="H34" i="59"/>
  <c r="H35" i="59"/>
  <c r="H36" i="59"/>
  <c r="H37" i="59"/>
  <c r="H38" i="59"/>
  <c r="H39" i="59"/>
  <c r="H40" i="59"/>
  <c r="H41" i="59"/>
  <c r="H42" i="59"/>
  <c r="H43" i="59"/>
  <c r="H44" i="59"/>
  <c r="H45" i="59"/>
  <c r="H46" i="59"/>
  <c r="H47" i="59"/>
  <c r="H48" i="59"/>
  <c r="H49" i="59"/>
  <c r="H50" i="59"/>
  <c r="H51" i="59"/>
  <c r="H52" i="59"/>
  <c r="H53" i="59"/>
  <c r="H54" i="59"/>
  <c r="H8" i="59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24" i="58"/>
  <c r="H25" i="58"/>
  <c r="H26" i="58"/>
  <c r="H27" i="58"/>
  <c r="H28" i="58"/>
  <c r="H29" i="58"/>
  <c r="H30" i="58"/>
  <c r="H31" i="58"/>
  <c r="H32" i="58"/>
  <c r="H33" i="58"/>
  <c r="H34" i="58"/>
  <c r="H35" i="58"/>
  <c r="H36" i="58"/>
  <c r="H37" i="58"/>
  <c r="H38" i="58"/>
  <c r="H39" i="58"/>
  <c r="H40" i="58"/>
  <c r="H41" i="58"/>
  <c r="H42" i="58"/>
  <c r="H43" i="58"/>
  <c r="H44" i="58"/>
  <c r="H45" i="58"/>
  <c r="H46" i="58"/>
  <c r="H47" i="58"/>
  <c r="H48" i="58"/>
  <c r="H49" i="58"/>
  <c r="H50" i="58"/>
  <c r="H51" i="58"/>
  <c r="H52" i="58"/>
  <c r="H8" i="58"/>
  <c r="I65" i="53"/>
  <c r="K65" i="53" s="1"/>
  <c r="I31" i="52"/>
  <c r="I22" i="52"/>
  <c r="I51" i="52"/>
  <c r="K51" i="52" s="1"/>
  <c r="I59" i="51"/>
  <c r="N59" i="51" s="1"/>
  <c r="I60" i="51"/>
  <c r="K62" i="51" l="1"/>
  <c r="N62" i="51"/>
  <c r="K64" i="55"/>
  <c r="N64" i="55"/>
  <c r="K64" i="51"/>
  <c r="N64" i="51"/>
  <c r="K63" i="56"/>
  <c r="N63" i="56"/>
  <c r="K61" i="55"/>
  <c r="N61" i="55"/>
  <c r="K63" i="51"/>
  <c r="N63" i="51"/>
  <c r="K61" i="53"/>
  <c r="N61" i="53"/>
  <c r="K61" i="51"/>
  <c r="N61" i="51"/>
  <c r="K63" i="55"/>
  <c r="N63" i="55"/>
  <c r="K60" i="55"/>
  <c r="N60" i="55"/>
  <c r="K60" i="51"/>
  <c r="N60" i="51"/>
  <c r="K62" i="53"/>
  <c r="N62" i="53"/>
  <c r="K60" i="53"/>
  <c r="N60" i="53"/>
  <c r="K60" i="56"/>
  <c r="N60" i="56"/>
  <c r="K22" i="52"/>
  <c r="N64" i="52"/>
  <c r="K53" i="52"/>
  <c r="K28" i="52"/>
  <c r="K38" i="52"/>
  <c r="K64" i="53"/>
  <c r="N64" i="53"/>
  <c r="K64" i="56"/>
  <c r="N64" i="56"/>
  <c r="K31" i="52"/>
  <c r="K63" i="53"/>
  <c r="N63" i="53"/>
  <c r="K59" i="55"/>
  <c r="N59" i="55"/>
  <c r="K59" i="53"/>
  <c r="N59" i="53"/>
  <c r="K59" i="51"/>
  <c r="K59" i="56"/>
  <c r="N59" i="56"/>
  <c r="K59" i="54"/>
  <c r="N59" i="54"/>
  <c r="K37" i="52"/>
  <c r="J60" i="49"/>
  <c r="J59" i="44"/>
  <c r="J60" i="44"/>
  <c r="J36" i="61"/>
  <c r="J44" i="61"/>
  <c r="J11" i="61"/>
  <c r="J28" i="61"/>
  <c r="J37" i="61"/>
  <c r="J21" i="61"/>
  <c r="I15" i="61"/>
  <c r="J25" i="61"/>
  <c r="J40" i="61"/>
  <c r="J38" i="61"/>
  <c r="J22" i="61"/>
  <c r="J24" i="61"/>
  <c r="J68" i="55"/>
  <c r="J61" i="51"/>
  <c r="J61" i="53"/>
  <c r="J61" i="49"/>
  <c r="J66" i="56"/>
  <c r="J53" i="52"/>
  <c r="J20" i="61"/>
  <c r="J35" i="61"/>
  <c r="J19" i="61"/>
  <c r="I37" i="61"/>
  <c r="I21" i="61"/>
  <c r="J33" i="61"/>
  <c r="J16" i="61"/>
  <c r="J17" i="61"/>
  <c r="J47" i="61"/>
  <c r="J15" i="61"/>
  <c r="J32" i="61"/>
  <c r="J14" i="61"/>
  <c r="J18" i="61"/>
  <c r="J45" i="61"/>
  <c r="J29" i="61"/>
  <c r="J13" i="61"/>
  <c r="J31" i="61"/>
  <c r="J46" i="61"/>
  <c r="J30" i="61"/>
  <c r="J12" i="61"/>
  <c r="I14" i="61"/>
  <c r="J48" i="61"/>
  <c r="J43" i="61"/>
  <c r="J27" i="61"/>
  <c r="J9" i="61"/>
  <c r="J34" i="61"/>
  <c r="I40" i="61"/>
  <c r="I24" i="61"/>
  <c r="J49" i="61"/>
  <c r="J42" i="61"/>
  <c r="J26" i="61"/>
  <c r="J10" i="61"/>
  <c r="J41" i="61"/>
  <c r="J39" i="61"/>
  <c r="J23" i="61"/>
  <c r="H45" i="36"/>
  <c r="J45" i="36" s="1"/>
  <c r="H61" i="36"/>
  <c r="J61" i="36" s="1"/>
  <c r="H24" i="36"/>
  <c r="J24" i="36" s="1"/>
  <c r="H21" i="36"/>
  <c r="J21" i="36" s="1"/>
  <c r="J62" i="51"/>
  <c r="J28" i="52"/>
  <c r="J38" i="52"/>
  <c r="J50" i="52"/>
  <c r="J51" i="52"/>
  <c r="J22" i="52"/>
  <c r="J66" i="55"/>
  <c r="J62" i="56"/>
  <c r="J61" i="56"/>
  <c r="J60" i="56"/>
  <c r="I62" i="56"/>
  <c r="J64" i="56"/>
  <c r="J65" i="56"/>
  <c r="I61" i="56"/>
  <c r="J63" i="56"/>
  <c r="J59" i="56"/>
  <c r="J61" i="55"/>
  <c r="J62" i="55"/>
  <c r="J64" i="55"/>
  <c r="J65" i="55"/>
  <c r="J69" i="55"/>
  <c r="J67" i="55"/>
  <c r="J63" i="55"/>
  <c r="J59" i="55"/>
  <c r="I62" i="55"/>
  <c r="J60" i="55"/>
  <c r="J59" i="54"/>
  <c r="J62" i="53"/>
  <c r="J65" i="53"/>
  <c r="J64" i="53"/>
  <c r="J63" i="53"/>
  <c r="J59" i="53"/>
  <c r="J60" i="53"/>
  <c r="J31" i="52"/>
  <c r="J37" i="52"/>
  <c r="J60" i="51"/>
  <c r="J64" i="51"/>
  <c r="J59" i="51"/>
  <c r="J63" i="51"/>
  <c r="J60" i="45"/>
  <c r="J59" i="45"/>
  <c r="I60" i="49"/>
  <c r="K60" i="49" s="1"/>
  <c r="I61" i="49"/>
  <c r="K61" i="49" s="1"/>
  <c r="J59" i="49"/>
  <c r="J60" i="47"/>
  <c r="J59" i="47"/>
  <c r="I45" i="62"/>
  <c r="J45" i="62"/>
  <c r="J44" i="62"/>
  <c r="J43" i="62"/>
  <c r="I42" i="62"/>
  <c r="I41" i="62"/>
  <c r="J41" i="62"/>
  <c r="J40" i="62"/>
  <c r="J39" i="62"/>
  <c r="I38" i="62"/>
  <c r="I37" i="62"/>
  <c r="J37" i="62"/>
  <c r="J36" i="62"/>
  <c r="J35" i="62"/>
  <c r="I34" i="62"/>
  <c r="I33" i="62"/>
  <c r="J33" i="62"/>
  <c r="J32" i="62"/>
  <c r="J31" i="62"/>
  <c r="I30" i="62"/>
  <c r="I29" i="62"/>
  <c r="J29" i="62"/>
  <c r="J28" i="62"/>
  <c r="J27" i="62"/>
  <c r="I26" i="62"/>
  <c r="I25" i="62"/>
  <c r="J25" i="62"/>
  <c r="J24" i="62"/>
  <c r="J23" i="62"/>
  <c r="I22" i="62"/>
  <c r="I21" i="62"/>
  <c r="J21" i="62"/>
  <c r="J20" i="62"/>
  <c r="J19" i="62"/>
  <c r="I18" i="62"/>
  <c r="I17" i="62"/>
  <c r="J17" i="62"/>
  <c r="J16" i="62"/>
  <c r="J15" i="62"/>
  <c r="I14" i="62"/>
  <c r="I13" i="62"/>
  <c r="J13" i="62"/>
  <c r="J12" i="62"/>
  <c r="J11" i="62"/>
  <c r="I10" i="62"/>
  <c r="I9" i="62"/>
  <c r="J9" i="62"/>
  <c r="I8" i="61"/>
  <c r="J8" i="61"/>
  <c r="I44" i="60"/>
  <c r="I43" i="60"/>
  <c r="J43" i="60"/>
  <c r="J42" i="60"/>
  <c r="J41" i="60"/>
  <c r="I40" i="60"/>
  <c r="I39" i="60"/>
  <c r="J39" i="60"/>
  <c r="J38" i="60"/>
  <c r="J37" i="60"/>
  <c r="I36" i="60"/>
  <c r="I35" i="60"/>
  <c r="J35" i="60"/>
  <c r="J34" i="60"/>
  <c r="J33" i="60"/>
  <c r="I32" i="60"/>
  <c r="I31" i="60"/>
  <c r="J31" i="60"/>
  <c r="J30" i="60"/>
  <c r="J29" i="60"/>
  <c r="I28" i="60"/>
  <c r="I27" i="60"/>
  <c r="J27" i="60"/>
  <c r="J26" i="60"/>
  <c r="J25" i="60"/>
  <c r="I24" i="60"/>
  <c r="I23" i="60"/>
  <c r="J23" i="60"/>
  <c r="J22" i="60"/>
  <c r="J21" i="60"/>
  <c r="I20" i="60"/>
  <c r="I19" i="60"/>
  <c r="J19" i="60"/>
  <c r="J18" i="60"/>
  <c r="J17" i="60"/>
  <c r="I16" i="60"/>
  <c r="I15" i="60"/>
  <c r="J15" i="60"/>
  <c r="J14" i="60"/>
  <c r="J13" i="60"/>
  <c r="I12" i="60"/>
  <c r="I11" i="60"/>
  <c r="J11" i="60"/>
  <c r="J10" i="60"/>
  <c r="I8" i="60"/>
  <c r="J44" i="59"/>
  <c r="J28" i="59"/>
  <c r="J12" i="59"/>
  <c r="I29" i="57"/>
  <c r="K29" i="57" s="1"/>
  <c r="I25" i="57"/>
  <c r="K25" i="57" s="1"/>
  <c r="J56" i="56"/>
  <c r="I52" i="56"/>
  <c r="I48" i="56"/>
  <c r="I44" i="56"/>
  <c r="J44" i="56"/>
  <c r="J40" i="56"/>
  <c r="J36" i="56"/>
  <c r="J32" i="56"/>
  <c r="J28" i="56"/>
  <c r="J24" i="56"/>
  <c r="J20" i="56"/>
  <c r="I16" i="56"/>
  <c r="I12" i="56"/>
  <c r="J12" i="56"/>
  <c r="J48" i="56"/>
  <c r="J55" i="55"/>
  <c r="J51" i="55"/>
  <c r="J47" i="55"/>
  <c r="J43" i="55"/>
  <c r="J39" i="55"/>
  <c r="J35" i="55"/>
  <c r="J31" i="55"/>
  <c r="J27" i="55"/>
  <c r="J23" i="55"/>
  <c r="J19" i="55"/>
  <c r="J15" i="55"/>
  <c r="J11" i="55"/>
  <c r="I8" i="55"/>
  <c r="J58" i="54"/>
  <c r="J55" i="54"/>
  <c r="I54" i="54"/>
  <c r="J51" i="54"/>
  <c r="J50" i="54"/>
  <c r="I47" i="54"/>
  <c r="J46" i="54"/>
  <c r="J43" i="54"/>
  <c r="J42" i="54"/>
  <c r="J39" i="54"/>
  <c r="I38" i="54"/>
  <c r="J35" i="54"/>
  <c r="I34" i="54"/>
  <c r="I31" i="54"/>
  <c r="J30" i="54"/>
  <c r="I27" i="54"/>
  <c r="J26" i="54"/>
  <c r="J23" i="54"/>
  <c r="I22" i="54"/>
  <c r="J19" i="54"/>
  <c r="J18" i="54"/>
  <c r="I15" i="54"/>
  <c r="J14" i="54"/>
  <c r="J11" i="54"/>
  <c r="J22" i="54"/>
  <c r="J58" i="53"/>
  <c r="I57" i="53"/>
  <c r="I54" i="53"/>
  <c r="J54" i="53"/>
  <c r="J53" i="53"/>
  <c r="J50" i="53"/>
  <c r="J49" i="53"/>
  <c r="J46" i="53"/>
  <c r="I45" i="53"/>
  <c r="J45" i="53"/>
  <c r="I42" i="53"/>
  <c r="J41" i="53"/>
  <c r="J38" i="53"/>
  <c r="I37" i="53"/>
  <c r="J37" i="53"/>
  <c r="I34" i="53"/>
  <c r="J34" i="53"/>
  <c r="J33" i="53"/>
  <c r="J30" i="53"/>
  <c r="I29" i="53"/>
  <c r="J29" i="53"/>
  <c r="I26" i="53"/>
  <c r="J26" i="53"/>
  <c r="J25" i="53"/>
  <c r="I24" i="53"/>
  <c r="J24" i="53"/>
  <c r="J23" i="53"/>
  <c r="I22" i="53"/>
  <c r="J22" i="53"/>
  <c r="J21" i="53"/>
  <c r="I20" i="53"/>
  <c r="J20" i="53"/>
  <c r="J19" i="53"/>
  <c r="I18" i="53"/>
  <c r="J18" i="53"/>
  <c r="J17" i="53"/>
  <c r="I16" i="53"/>
  <c r="J16" i="53"/>
  <c r="J15" i="53"/>
  <c r="I14" i="53"/>
  <c r="J14" i="53"/>
  <c r="J13" i="53"/>
  <c r="I12" i="53"/>
  <c r="J12" i="53"/>
  <c r="J11" i="53"/>
  <c r="I10" i="53"/>
  <c r="J57" i="53"/>
  <c r="J9" i="53"/>
  <c r="I8" i="53"/>
  <c r="J8" i="53"/>
  <c r="J54" i="52"/>
  <c r="I66" i="52"/>
  <c r="N66" i="52" s="1"/>
  <c r="J66" i="52"/>
  <c r="J19" i="52"/>
  <c r="I45" i="52"/>
  <c r="J45" i="52"/>
  <c r="J17" i="52"/>
  <c r="I33" i="52"/>
  <c r="J33" i="52"/>
  <c r="J13" i="52"/>
  <c r="I35" i="52"/>
  <c r="J35" i="52"/>
  <c r="J58" i="52"/>
  <c r="I30" i="52"/>
  <c r="J30" i="52"/>
  <c r="J61" i="52"/>
  <c r="I56" i="52"/>
  <c r="J56" i="52"/>
  <c r="J34" i="52"/>
  <c r="I65" i="52"/>
  <c r="N65" i="52" s="1"/>
  <c r="J65" i="52"/>
  <c r="J42" i="52"/>
  <c r="I52" i="52"/>
  <c r="J52" i="52"/>
  <c r="J55" i="52"/>
  <c r="I46" i="52"/>
  <c r="J46" i="52"/>
  <c r="J12" i="52"/>
  <c r="I14" i="52"/>
  <c r="J14" i="52"/>
  <c r="J32" i="52"/>
  <c r="I20" i="52"/>
  <c r="J20" i="52"/>
  <c r="J18" i="52"/>
  <c r="I60" i="52"/>
  <c r="N60" i="52" s="1"/>
  <c r="J60" i="52"/>
  <c r="J26" i="52"/>
  <c r="I41" i="52"/>
  <c r="J41" i="52"/>
  <c r="J40" i="52"/>
  <c r="I27" i="52"/>
  <c r="J27" i="52"/>
  <c r="J36" i="52"/>
  <c r="I11" i="52"/>
  <c r="J11" i="52"/>
  <c r="J24" i="52"/>
  <c r="I64" i="52"/>
  <c r="J64" i="52"/>
  <c r="J57" i="52"/>
  <c r="I9" i="52"/>
  <c r="J9" i="52"/>
  <c r="J21" i="52"/>
  <c r="I62" i="52"/>
  <c r="N62" i="52" s="1"/>
  <c r="J62" i="52"/>
  <c r="J23" i="52"/>
  <c r="I8" i="52"/>
  <c r="J8" i="52"/>
  <c r="J43" i="52"/>
  <c r="I59" i="52"/>
  <c r="N59" i="52" s="1"/>
  <c r="J59" i="52"/>
  <c r="J47" i="52"/>
  <c r="I10" i="52"/>
  <c r="J10" i="52"/>
  <c r="J63" i="52"/>
  <c r="I25" i="52"/>
  <c r="J25" i="52"/>
  <c r="J39" i="52"/>
  <c r="I16" i="52"/>
  <c r="J16" i="52"/>
  <c r="J15" i="52"/>
  <c r="I29" i="52"/>
  <c r="J29" i="52"/>
  <c r="J49" i="52"/>
  <c r="I44" i="52"/>
  <c r="J44" i="52"/>
  <c r="J48" i="52"/>
  <c r="J46" i="51"/>
  <c r="I38" i="51"/>
  <c r="J33" i="51"/>
  <c r="I24" i="51"/>
  <c r="J19" i="51"/>
  <c r="I8" i="51"/>
  <c r="I39" i="50"/>
  <c r="K39" i="50" s="1"/>
  <c r="I31" i="50"/>
  <c r="K31" i="50" s="1"/>
  <c r="I27" i="50"/>
  <c r="K27" i="50" s="1"/>
  <c r="I23" i="50"/>
  <c r="K23" i="50" s="1"/>
  <c r="I19" i="50"/>
  <c r="K19" i="50" s="1"/>
  <c r="I15" i="50"/>
  <c r="K15" i="50" s="1"/>
  <c r="I11" i="50"/>
  <c r="K11" i="50" s="1"/>
  <c r="I57" i="45"/>
  <c r="K57" i="45" s="1"/>
  <c r="I53" i="45"/>
  <c r="K53" i="45" s="1"/>
  <c r="I49" i="45"/>
  <c r="K49" i="45" s="1"/>
  <c r="I45" i="45"/>
  <c r="K45" i="45" s="1"/>
  <c r="I41" i="45"/>
  <c r="K41" i="45" s="1"/>
  <c r="I37" i="45"/>
  <c r="K37" i="45" s="1"/>
  <c r="I35" i="45"/>
  <c r="K35" i="45" s="1"/>
  <c r="I33" i="45"/>
  <c r="K33" i="45" s="1"/>
  <c r="I29" i="45"/>
  <c r="K29" i="45" s="1"/>
  <c r="I27" i="45"/>
  <c r="K27" i="45" s="1"/>
  <c r="I25" i="45"/>
  <c r="K25" i="45" s="1"/>
  <c r="I23" i="45"/>
  <c r="K23" i="45" s="1"/>
  <c r="I21" i="45"/>
  <c r="K21" i="45" s="1"/>
  <c r="I17" i="45"/>
  <c r="K17" i="45" s="1"/>
  <c r="I13" i="45"/>
  <c r="K13" i="45" s="1"/>
  <c r="I9" i="45"/>
  <c r="K9" i="45" s="1"/>
  <c r="I58" i="44"/>
  <c r="K58" i="44" s="1"/>
  <c r="I56" i="44"/>
  <c r="K56" i="44" s="1"/>
  <c r="I54" i="44"/>
  <c r="K54" i="44" s="1"/>
  <c r="I52" i="44"/>
  <c r="K52" i="44" s="1"/>
  <c r="I48" i="44"/>
  <c r="K48" i="44" s="1"/>
  <c r="I46" i="44"/>
  <c r="K46" i="44" s="1"/>
  <c r="I44" i="44"/>
  <c r="K44" i="44" s="1"/>
  <c r="I42" i="44"/>
  <c r="K42" i="44" s="1"/>
  <c r="I40" i="44"/>
  <c r="K40" i="44" s="1"/>
  <c r="I36" i="44"/>
  <c r="K36" i="44" s="1"/>
  <c r="I32" i="44"/>
  <c r="K32" i="44" s="1"/>
  <c r="I30" i="44"/>
  <c r="K30" i="44" s="1"/>
  <c r="I28" i="44"/>
  <c r="K28" i="44" s="1"/>
  <c r="I24" i="44"/>
  <c r="K24" i="44" s="1"/>
  <c r="I20" i="44"/>
  <c r="K20" i="44" s="1"/>
  <c r="I18" i="44"/>
  <c r="K18" i="44" s="1"/>
  <c r="I16" i="44"/>
  <c r="K16" i="44" s="1"/>
  <c r="I12" i="44"/>
  <c r="K12" i="44" s="1"/>
  <c r="I8" i="44"/>
  <c r="K8" i="44" s="1"/>
  <c r="I58" i="43"/>
  <c r="K58" i="43" s="1"/>
  <c r="I54" i="43"/>
  <c r="K54" i="43" s="1"/>
  <c r="I51" i="43"/>
  <c r="K51" i="43" s="1"/>
  <c r="I50" i="43"/>
  <c r="K50" i="43" s="1"/>
  <c r="I47" i="43"/>
  <c r="K47" i="43" s="1"/>
  <c r="I46" i="43"/>
  <c r="K46" i="43" s="1"/>
  <c r="I42" i="43"/>
  <c r="K42" i="43" s="1"/>
  <c r="I38" i="43"/>
  <c r="K38" i="43" s="1"/>
  <c r="I35" i="43"/>
  <c r="K35" i="43" s="1"/>
  <c r="I34" i="43"/>
  <c r="K34" i="43" s="1"/>
  <c r="I30" i="43"/>
  <c r="K30" i="43" s="1"/>
  <c r="I26" i="43"/>
  <c r="K26" i="43" s="1"/>
  <c r="I23" i="43"/>
  <c r="K23" i="43" s="1"/>
  <c r="I22" i="43"/>
  <c r="K22" i="43" s="1"/>
  <c r="I19" i="43"/>
  <c r="K19" i="43" s="1"/>
  <c r="I18" i="43"/>
  <c r="K18" i="43" s="1"/>
  <c r="I14" i="43"/>
  <c r="K14" i="43" s="1"/>
  <c r="I11" i="43"/>
  <c r="K11" i="43" s="1"/>
  <c r="I10" i="43"/>
  <c r="K10" i="43" s="1"/>
  <c r="G47" i="42"/>
  <c r="H47" i="42" s="1"/>
  <c r="J47" i="42" s="1"/>
  <c r="G48" i="42"/>
  <c r="H48" i="42" s="1"/>
  <c r="J48" i="42" s="1"/>
  <c r="G49" i="42"/>
  <c r="H49" i="42" s="1"/>
  <c r="J49" i="42" s="1"/>
  <c r="G50" i="42"/>
  <c r="H50" i="42" s="1"/>
  <c r="J50" i="42" s="1"/>
  <c r="G51" i="42"/>
  <c r="H51" i="42" s="1"/>
  <c r="J51" i="42" s="1"/>
  <c r="G52" i="42"/>
  <c r="H52" i="42" s="1"/>
  <c r="J52" i="42" s="1"/>
  <c r="G53" i="42"/>
  <c r="H53" i="42" s="1"/>
  <c r="J53" i="42" s="1"/>
  <c r="G54" i="42"/>
  <c r="H54" i="42" s="1"/>
  <c r="J54" i="42" s="1"/>
  <c r="G55" i="42"/>
  <c r="H55" i="42" s="1"/>
  <c r="J55" i="42" s="1"/>
  <c r="G56" i="42"/>
  <c r="H56" i="42"/>
  <c r="J56" i="42" s="1"/>
  <c r="G57" i="42"/>
  <c r="H57" i="42" s="1"/>
  <c r="J57" i="42" s="1"/>
  <c r="G58" i="42"/>
  <c r="H58" i="42" s="1"/>
  <c r="J58" i="42" s="1"/>
  <c r="G59" i="42"/>
  <c r="H59" i="42" s="1"/>
  <c r="J59" i="42" s="1"/>
  <c r="G47" i="41"/>
  <c r="G48" i="41"/>
  <c r="G49" i="41"/>
  <c r="G50" i="41"/>
  <c r="G51" i="41"/>
  <c r="G52" i="41"/>
  <c r="G53" i="41"/>
  <c r="G54" i="41"/>
  <c r="G55" i="41"/>
  <c r="G56" i="41"/>
  <c r="G57" i="41"/>
  <c r="G58" i="41"/>
  <c r="H58" i="41" s="1"/>
  <c r="J58" i="41" s="1"/>
  <c r="G59" i="41"/>
  <c r="G60" i="41"/>
  <c r="G47" i="40"/>
  <c r="G48" i="40"/>
  <c r="G49" i="40"/>
  <c r="H49" i="40"/>
  <c r="J49" i="40" s="1"/>
  <c r="G50" i="40"/>
  <c r="H50" i="40"/>
  <c r="J50" i="40" s="1"/>
  <c r="G51" i="40"/>
  <c r="H51" i="40"/>
  <c r="J51" i="40" s="1"/>
  <c r="G52" i="40"/>
  <c r="G53" i="40"/>
  <c r="G54" i="40"/>
  <c r="H54" i="40"/>
  <c r="J54" i="40" s="1"/>
  <c r="G55" i="40"/>
  <c r="G56" i="40"/>
  <c r="G57" i="40"/>
  <c r="H57" i="40"/>
  <c r="J57" i="40" s="1"/>
  <c r="G58" i="40"/>
  <c r="H58" i="40"/>
  <c r="J58" i="40" s="1"/>
  <c r="G59" i="40"/>
  <c r="H59" i="40"/>
  <c r="J59" i="40" s="1"/>
  <c r="G60" i="40"/>
  <c r="G61" i="40"/>
  <c r="H61" i="40"/>
  <c r="J61" i="40" s="1"/>
  <c r="G62" i="40"/>
  <c r="G47" i="39"/>
  <c r="H47" i="39" s="1"/>
  <c r="J47" i="39" s="1"/>
  <c r="G48" i="39"/>
  <c r="H48" i="39" s="1"/>
  <c r="J48" i="39" s="1"/>
  <c r="G49" i="39"/>
  <c r="H49" i="39" s="1"/>
  <c r="J49" i="39" s="1"/>
  <c r="G50" i="39"/>
  <c r="H50" i="39" s="1"/>
  <c r="J50" i="39" s="1"/>
  <c r="G51" i="39"/>
  <c r="H51" i="39" s="1"/>
  <c r="J51" i="39" s="1"/>
  <c r="G52" i="39"/>
  <c r="H52" i="39" s="1"/>
  <c r="J52" i="39" s="1"/>
  <c r="G53" i="39"/>
  <c r="H53" i="39" s="1"/>
  <c r="J53" i="39" s="1"/>
  <c r="G54" i="39"/>
  <c r="H54" i="39" s="1"/>
  <c r="J54" i="39" s="1"/>
  <c r="G55" i="39"/>
  <c r="H55" i="39" s="1"/>
  <c r="J55" i="39" s="1"/>
  <c r="G56" i="39"/>
  <c r="H56" i="39" s="1"/>
  <c r="J56" i="39" s="1"/>
  <c r="G57" i="39"/>
  <c r="H57" i="39" s="1"/>
  <c r="J57" i="39" s="1"/>
  <c r="G58" i="39"/>
  <c r="H58" i="39" s="1"/>
  <c r="J58" i="39" s="1"/>
  <c r="G59" i="39"/>
  <c r="H59" i="39" s="1"/>
  <c r="J59" i="39" s="1"/>
  <c r="G60" i="39"/>
  <c r="H60" i="39" s="1"/>
  <c r="J60" i="39" s="1"/>
  <c r="G61" i="39"/>
  <c r="H61" i="39" s="1"/>
  <c r="J61" i="39" s="1"/>
  <c r="G59" i="34"/>
  <c r="G60" i="34"/>
  <c r="G61" i="34"/>
  <c r="G62" i="34"/>
  <c r="G63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47" i="35"/>
  <c r="H47" i="35" s="1"/>
  <c r="J47" i="35" s="1"/>
  <c r="G48" i="35"/>
  <c r="H48" i="35" s="1"/>
  <c r="J48" i="35" s="1"/>
  <c r="G49" i="35"/>
  <c r="H49" i="35" s="1"/>
  <c r="J49" i="35" s="1"/>
  <c r="G50" i="35"/>
  <c r="H50" i="35" s="1"/>
  <c r="J50" i="35" s="1"/>
  <c r="G51" i="35"/>
  <c r="H51" i="35" s="1"/>
  <c r="J51" i="35" s="1"/>
  <c r="G52" i="35"/>
  <c r="H52" i="35" s="1"/>
  <c r="J52" i="35" s="1"/>
  <c r="G53" i="35"/>
  <c r="H53" i="35" s="1"/>
  <c r="J53" i="35" s="1"/>
  <c r="G54" i="35"/>
  <c r="H54" i="35" s="1"/>
  <c r="J54" i="35" s="1"/>
  <c r="G55" i="35"/>
  <c r="H55" i="35" s="1"/>
  <c r="J55" i="35" s="1"/>
  <c r="G56" i="35"/>
  <c r="H56" i="35" s="1"/>
  <c r="J56" i="35" s="1"/>
  <c r="G57" i="35"/>
  <c r="H57" i="35" s="1"/>
  <c r="J57" i="35" s="1"/>
  <c r="K62" i="55" l="1"/>
  <c r="N62" i="55"/>
  <c r="K62" i="56"/>
  <c r="N62" i="56"/>
  <c r="K61" i="56"/>
  <c r="N61" i="56"/>
  <c r="K24" i="51"/>
  <c r="N24" i="51"/>
  <c r="K20" i="52"/>
  <c r="N37" i="52"/>
  <c r="K18" i="53"/>
  <c r="N18" i="53"/>
  <c r="K57" i="53"/>
  <c r="N57" i="53"/>
  <c r="K38" i="54"/>
  <c r="N38" i="54"/>
  <c r="K38" i="51"/>
  <c r="N38" i="51"/>
  <c r="K14" i="52"/>
  <c r="K20" i="53"/>
  <c r="N20" i="53"/>
  <c r="K44" i="56"/>
  <c r="N44" i="56"/>
  <c r="K54" i="53"/>
  <c r="N54" i="53"/>
  <c r="K37" i="53"/>
  <c r="N37" i="53"/>
  <c r="K48" i="56"/>
  <c r="N48" i="56"/>
  <c r="K30" i="52"/>
  <c r="K59" i="52"/>
  <c r="K35" i="52"/>
  <c r="N51" i="52"/>
  <c r="K15" i="54"/>
  <c r="N15" i="54"/>
  <c r="K47" i="54"/>
  <c r="N47" i="54"/>
  <c r="K52" i="56"/>
  <c r="N52" i="56"/>
  <c r="K10" i="52"/>
  <c r="K44" i="52"/>
  <c r="N9" i="52"/>
  <c r="K27" i="52"/>
  <c r="N31" i="52"/>
  <c r="K12" i="53"/>
  <c r="N12" i="53"/>
  <c r="K42" i="53"/>
  <c r="N42" i="53"/>
  <c r="K34" i="53"/>
  <c r="N34" i="53"/>
  <c r="K10" i="53"/>
  <c r="N10" i="53"/>
  <c r="K8" i="52"/>
  <c r="K33" i="52"/>
  <c r="N53" i="52"/>
  <c r="K22" i="54"/>
  <c r="N22" i="54"/>
  <c r="K54" i="54"/>
  <c r="N54" i="54"/>
  <c r="K25" i="52"/>
  <c r="K11" i="52"/>
  <c r="N29" i="52"/>
  <c r="K52" i="52"/>
  <c r="K24" i="53"/>
  <c r="N24" i="53"/>
  <c r="K45" i="53"/>
  <c r="N45" i="53"/>
  <c r="K64" i="52"/>
  <c r="N27" i="52"/>
  <c r="K14" i="53"/>
  <c r="N14" i="53"/>
  <c r="K12" i="56"/>
  <c r="N12" i="56"/>
  <c r="K8" i="53"/>
  <c r="N8" i="53"/>
  <c r="K46" i="52"/>
  <c r="N41" i="52"/>
  <c r="K29" i="52"/>
  <c r="N10" i="52"/>
  <c r="K41" i="52"/>
  <c r="N33" i="52"/>
  <c r="K62" i="52"/>
  <c r="K45" i="52"/>
  <c r="N55" i="52"/>
  <c r="K27" i="54"/>
  <c r="N27" i="54"/>
  <c r="K8" i="55"/>
  <c r="N8" i="55"/>
  <c r="K16" i="56"/>
  <c r="N16" i="56"/>
  <c r="K26" i="53"/>
  <c r="N26" i="53"/>
  <c r="K56" i="52"/>
  <c r="K65" i="52"/>
  <c r="N45" i="52"/>
  <c r="K60" i="52"/>
  <c r="N35" i="52"/>
  <c r="K16" i="53"/>
  <c r="N16" i="53"/>
  <c r="K31" i="54"/>
  <c r="N31" i="54"/>
  <c r="K22" i="53"/>
  <c r="N22" i="53"/>
  <c r="K16" i="52"/>
  <c r="N8" i="51"/>
  <c r="K8" i="51"/>
  <c r="K9" i="52"/>
  <c r="K66" i="52"/>
  <c r="N57" i="52"/>
  <c r="K29" i="53"/>
  <c r="N29" i="53"/>
  <c r="K34" i="54"/>
  <c r="N34" i="54"/>
  <c r="H55" i="41"/>
  <c r="J55" i="41" s="1"/>
  <c r="H48" i="41"/>
  <c r="J48" i="41" s="1"/>
  <c r="H52" i="41"/>
  <c r="J52" i="41" s="1"/>
  <c r="H50" i="41"/>
  <c r="J50" i="41" s="1"/>
  <c r="H47" i="41"/>
  <c r="J47" i="41" s="1"/>
  <c r="H54" i="41"/>
  <c r="J54" i="41" s="1"/>
  <c r="H60" i="41"/>
  <c r="J60" i="41" s="1"/>
  <c r="H51" i="41"/>
  <c r="J51" i="41" s="1"/>
  <c r="H59" i="41"/>
  <c r="J59" i="41" s="1"/>
  <c r="H49" i="41"/>
  <c r="J49" i="41" s="1"/>
  <c r="H53" i="41"/>
  <c r="J53" i="41" s="1"/>
  <c r="H57" i="41"/>
  <c r="J57" i="41" s="1"/>
  <c r="H56" i="41"/>
  <c r="J56" i="41" s="1"/>
  <c r="H60" i="40"/>
  <c r="J60" i="40" s="1"/>
  <c r="H47" i="40"/>
  <c r="J47" i="40" s="1"/>
  <c r="H62" i="40"/>
  <c r="J62" i="40" s="1"/>
  <c r="H52" i="40"/>
  <c r="J52" i="40" s="1"/>
  <c r="H48" i="40"/>
  <c r="J48" i="40" s="1"/>
  <c r="H56" i="40"/>
  <c r="J56" i="40" s="1"/>
  <c r="H55" i="40"/>
  <c r="J55" i="40" s="1"/>
  <c r="H53" i="40"/>
  <c r="J53" i="40" s="1"/>
  <c r="H59" i="34"/>
  <c r="J59" i="34" s="1"/>
  <c r="H62" i="34"/>
  <c r="J62" i="34" s="1"/>
  <c r="H55" i="34"/>
  <c r="J55" i="34" s="1"/>
  <c r="H53" i="34"/>
  <c r="J53" i="34" s="1"/>
  <c r="H63" i="34"/>
  <c r="J63" i="34" s="1"/>
  <c r="H57" i="34"/>
  <c r="J57" i="34" s="1"/>
  <c r="H52" i="34"/>
  <c r="J52" i="34" s="1"/>
  <c r="H47" i="34"/>
  <c r="J47" i="34" s="1"/>
  <c r="H56" i="34"/>
  <c r="J56" i="34" s="1"/>
  <c r="H54" i="34"/>
  <c r="J54" i="34" s="1"/>
  <c r="H51" i="34"/>
  <c r="J51" i="34" s="1"/>
  <c r="H61" i="34"/>
  <c r="J61" i="34" s="1"/>
  <c r="H60" i="34"/>
  <c r="J60" i="34" s="1"/>
  <c r="H58" i="34"/>
  <c r="J58" i="34" s="1"/>
  <c r="H50" i="34"/>
  <c r="J50" i="34" s="1"/>
  <c r="H49" i="34"/>
  <c r="J49" i="34" s="1"/>
  <c r="H48" i="34"/>
  <c r="J48" i="34" s="1"/>
  <c r="J20" i="51"/>
  <c r="J21" i="51"/>
  <c r="J35" i="51"/>
  <c r="J47" i="51"/>
  <c r="J34" i="51"/>
  <c r="J22" i="51"/>
  <c r="J36" i="51"/>
  <c r="J48" i="51"/>
  <c r="I46" i="51"/>
  <c r="J8" i="51"/>
  <c r="J23" i="51"/>
  <c r="J37" i="51"/>
  <c r="J49" i="51"/>
  <c r="J50" i="51"/>
  <c r="J9" i="51"/>
  <c r="J51" i="51"/>
  <c r="J52" i="51"/>
  <c r="J39" i="51"/>
  <c r="J11" i="51"/>
  <c r="J26" i="51"/>
  <c r="J40" i="51"/>
  <c r="J53" i="51"/>
  <c r="J24" i="51"/>
  <c r="J10" i="51"/>
  <c r="J12" i="51"/>
  <c r="J27" i="51"/>
  <c r="J41" i="51"/>
  <c r="J54" i="51"/>
  <c r="J25" i="51"/>
  <c r="J13" i="51"/>
  <c r="J28" i="51"/>
  <c r="J42" i="51"/>
  <c r="J55" i="51"/>
  <c r="J38" i="51"/>
  <c r="J14" i="51"/>
  <c r="I28" i="51"/>
  <c r="I42" i="51"/>
  <c r="J56" i="51"/>
  <c r="J15" i="51"/>
  <c r="J29" i="51"/>
  <c r="J43" i="51"/>
  <c r="J57" i="51"/>
  <c r="J16" i="51"/>
  <c r="J30" i="51"/>
  <c r="J44" i="51"/>
  <c r="J58" i="51"/>
  <c r="J17" i="51"/>
  <c r="J31" i="51"/>
  <c r="I44" i="51"/>
  <c r="J18" i="51"/>
  <c r="J32" i="51"/>
  <c r="J45" i="51"/>
  <c r="I40" i="51"/>
  <c r="I30" i="51"/>
  <c r="I50" i="51"/>
  <c r="I52" i="51"/>
  <c r="I20" i="51"/>
  <c r="I32" i="51"/>
  <c r="I54" i="51"/>
  <c r="I34" i="51"/>
  <c r="I56" i="51"/>
  <c r="I16" i="51"/>
  <c r="I12" i="51"/>
  <c r="I36" i="51"/>
  <c r="I58" i="51"/>
  <c r="I48" i="51"/>
  <c r="I9" i="60"/>
  <c r="I13" i="60"/>
  <c r="I17" i="60"/>
  <c r="I21" i="60"/>
  <c r="I25" i="60"/>
  <c r="I29" i="60"/>
  <c r="I33" i="60"/>
  <c r="I37" i="60"/>
  <c r="I41" i="60"/>
  <c r="I11" i="62"/>
  <c r="I15" i="62"/>
  <c r="I19" i="62"/>
  <c r="I23" i="62"/>
  <c r="I27" i="62"/>
  <c r="I31" i="62"/>
  <c r="I35" i="62"/>
  <c r="I39" i="62"/>
  <c r="I43" i="62"/>
  <c r="J9" i="60"/>
  <c r="I10" i="60"/>
  <c r="I14" i="60"/>
  <c r="I18" i="60"/>
  <c r="I22" i="60"/>
  <c r="I26" i="60"/>
  <c r="I30" i="60"/>
  <c r="I34" i="60"/>
  <c r="I38" i="60"/>
  <c r="I42" i="60"/>
  <c r="I8" i="62"/>
  <c r="I12" i="62"/>
  <c r="I16" i="62"/>
  <c r="I20" i="62"/>
  <c r="I24" i="62"/>
  <c r="I28" i="62"/>
  <c r="I32" i="62"/>
  <c r="I36" i="62"/>
  <c r="I40" i="62"/>
  <c r="I44" i="62"/>
  <c r="J8" i="62"/>
  <c r="J8" i="60"/>
  <c r="J12" i="60"/>
  <c r="J16" i="60"/>
  <c r="J20" i="60"/>
  <c r="J24" i="60"/>
  <c r="J28" i="60"/>
  <c r="J32" i="60"/>
  <c r="J36" i="60"/>
  <c r="J40" i="60"/>
  <c r="J44" i="60"/>
  <c r="J10" i="62"/>
  <c r="J14" i="62"/>
  <c r="J18" i="62"/>
  <c r="J22" i="62"/>
  <c r="J26" i="62"/>
  <c r="J30" i="62"/>
  <c r="J34" i="62"/>
  <c r="J38" i="62"/>
  <c r="J42" i="62"/>
  <c r="J31" i="53"/>
  <c r="I31" i="53"/>
  <c r="J48" i="53"/>
  <c r="I48" i="53"/>
  <c r="J9" i="54"/>
  <c r="I9" i="54"/>
  <c r="J41" i="54"/>
  <c r="I41" i="54"/>
  <c r="J58" i="55"/>
  <c r="I58" i="55"/>
  <c r="J34" i="56"/>
  <c r="I34" i="56"/>
  <c r="J52" i="56"/>
  <c r="I10" i="57"/>
  <c r="K10" i="57" s="1"/>
  <c r="J14" i="58"/>
  <c r="I14" i="58"/>
  <c r="J30" i="58"/>
  <c r="I30" i="58"/>
  <c r="J46" i="58"/>
  <c r="I46" i="58"/>
  <c r="J11" i="59"/>
  <c r="I11" i="59"/>
  <c r="J27" i="59"/>
  <c r="I27" i="59"/>
  <c r="J43" i="59"/>
  <c r="J42" i="53"/>
  <c r="J9" i="55"/>
  <c r="I9" i="55"/>
  <c r="J33" i="55"/>
  <c r="I33" i="55"/>
  <c r="J49" i="55"/>
  <c r="I49" i="55"/>
  <c r="J16" i="56"/>
  <c r="J10" i="53"/>
  <c r="J32" i="53"/>
  <c r="I32" i="53"/>
  <c r="I49" i="53"/>
  <c r="I10" i="54"/>
  <c r="J29" i="54"/>
  <c r="I29" i="54"/>
  <c r="I35" i="54"/>
  <c r="I42" i="54"/>
  <c r="J10" i="55"/>
  <c r="I10" i="55"/>
  <c r="J18" i="55"/>
  <c r="I18" i="55"/>
  <c r="J26" i="55"/>
  <c r="I26" i="55"/>
  <c r="J34" i="55"/>
  <c r="I34" i="55"/>
  <c r="J42" i="55"/>
  <c r="I42" i="55"/>
  <c r="J50" i="55"/>
  <c r="I50" i="55"/>
  <c r="I8" i="56"/>
  <c r="J26" i="56"/>
  <c r="I26" i="56"/>
  <c r="J53" i="56"/>
  <c r="I53" i="56"/>
  <c r="I21" i="57"/>
  <c r="K21" i="57" s="1"/>
  <c r="I39" i="57"/>
  <c r="K39" i="57" s="1"/>
  <c r="J16" i="58"/>
  <c r="J32" i="58"/>
  <c r="J48" i="58"/>
  <c r="J13" i="59"/>
  <c r="J29" i="59"/>
  <c r="J45" i="59"/>
  <c r="J41" i="55"/>
  <c r="I41" i="55"/>
  <c r="J43" i="53"/>
  <c r="I43" i="53"/>
  <c r="J10" i="54"/>
  <c r="J16" i="54"/>
  <c r="I16" i="54"/>
  <c r="J48" i="54"/>
  <c r="I48" i="54"/>
  <c r="J8" i="56"/>
  <c r="J17" i="56"/>
  <c r="I17" i="56"/>
  <c r="J27" i="56"/>
  <c r="I27" i="56"/>
  <c r="I36" i="56"/>
  <c r="J54" i="56"/>
  <c r="I54" i="56"/>
  <c r="I30" i="57"/>
  <c r="K30" i="57" s="1"/>
  <c r="J17" i="58"/>
  <c r="J33" i="58"/>
  <c r="J49" i="58"/>
  <c r="J14" i="59"/>
  <c r="J30" i="59"/>
  <c r="J46" i="59"/>
  <c r="J27" i="53"/>
  <c r="I27" i="53"/>
  <c r="J55" i="53"/>
  <c r="I55" i="53"/>
  <c r="J17" i="54"/>
  <c r="I17" i="54"/>
  <c r="I23" i="54"/>
  <c r="I30" i="54"/>
  <c r="J49" i="54"/>
  <c r="I49" i="54"/>
  <c r="I55" i="54"/>
  <c r="I11" i="55"/>
  <c r="I19" i="55"/>
  <c r="I27" i="55"/>
  <c r="I35" i="55"/>
  <c r="I43" i="55"/>
  <c r="I51" i="55"/>
  <c r="J18" i="56"/>
  <c r="I18" i="56"/>
  <c r="J45" i="56"/>
  <c r="I45" i="56"/>
  <c r="J55" i="56"/>
  <c r="I13" i="57"/>
  <c r="K13" i="57" s="1"/>
  <c r="I31" i="57"/>
  <c r="K31" i="57" s="1"/>
  <c r="I41" i="57"/>
  <c r="K41" i="57" s="1"/>
  <c r="J18" i="58"/>
  <c r="I18" i="58"/>
  <c r="J34" i="58"/>
  <c r="I34" i="58"/>
  <c r="J50" i="58"/>
  <c r="I50" i="58"/>
  <c r="J15" i="59"/>
  <c r="I15" i="59"/>
  <c r="J31" i="59"/>
  <c r="I31" i="59"/>
  <c r="J47" i="59"/>
  <c r="J31" i="58"/>
  <c r="I31" i="58"/>
  <c r="I9" i="51"/>
  <c r="I13" i="51"/>
  <c r="I17" i="51"/>
  <c r="I21" i="51"/>
  <c r="I25" i="51"/>
  <c r="I29" i="51"/>
  <c r="I33" i="51"/>
  <c r="I37" i="51"/>
  <c r="I41" i="51"/>
  <c r="I45" i="51"/>
  <c r="I49" i="51"/>
  <c r="I53" i="51"/>
  <c r="I57" i="51"/>
  <c r="I49" i="52"/>
  <c r="N49" i="52" s="1"/>
  <c r="I39" i="52"/>
  <c r="N39" i="52" s="1"/>
  <c r="I47" i="52"/>
  <c r="N47" i="52" s="1"/>
  <c r="I23" i="52"/>
  <c r="N23" i="52" s="1"/>
  <c r="I57" i="52"/>
  <c r="I36" i="52"/>
  <c r="I26" i="52"/>
  <c r="I32" i="52"/>
  <c r="I55" i="52"/>
  <c r="I34" i="52"/>
  <c r="I58" i="52"/>
  <c r="I17" i="52"/>
  <c r="N17" i="52" s="1"/>
  <c r="I54" i="52"/>
  <c r="I11" i="53"/>
  <c r="I15" i="53"/>
  <c r="I19" i="53"/>
  <c r="I23" i="53"/>
  <c r="I33" i="53"/>
  <c r="I38" i="53"/>
  <c r="J44" i="53"/>
  <c r="I44" i="53"/>
  <c r="J36" i="54"/>
  <c r="I36" i="54"/>
  <c r="J9" i="56"/>
  <c r="I9" i="56"/>
  <c r="J19" i="56"/>
  <c r="I19" i="56"/>
  <c r="I28" i="56"/>
  <c r="J46" i="56"/>
  <c r="I46" i="56"/>
  <c r="I22" i="57"/>
  <c r="K22" i="57" s="1"/>
  <c r="J19" i="58"/>
  <c r="I19" i="58"/>
  <c r="J35" i="58"/>
  <c r="I35" i="58"/>
  <c r="J51" i="58"/>
  <c r="J16" i="59"/>
  <c r="J32" i="59"/>
  <c r="J48" i="59"/>
  <c r="J28" i="54"/>
  <c r="I28" i="54"/>
  <c r="I38" i="57"/>
  <c r="K38" i="57" s="1"/>
  <c r="J28" i="53"/>
  <c r="I28" i="53"/>
  <c r="I50" i="53"/>
  <c r="J56" i="53"/>
  <c r="I56" i="53"/>
  <c r="I11" i="54"/>
  <c r="I18" i="54"/>
  <c r="J37" i="54"/>
  <c r="I37" i="54"/>
  <c r="I43" i="54"/>
  <c r="I50" i="54"/>
  <c r="J10" i="56"/>
  <c r="I10" i="56"/>
  <c r="J37" i="56"/>
  <c r="I37" i="56"/>
  <c r="J47" i="56"/>
  <c r="I47" i="56"/>
  <c r="I56" i="56"/>
  <c r="I23" i="57"/>
  <c r="K23" i="57" s="1"/>
  <c r="I42" i="57"/>
  <c r="K42" i="57" s="1"/>
  <c r="J20" i="58"/>
  <c r="J36" i="58"/>
  <c r="J52" i="58"/>
  <c r="J17" i="59"/>
  <c r="J33" i="59"/>
  <c r="J49" i="59"/>
  <c r="J24" i="54"/>
  <c r="I24" i="54"/>
  <c r="J56" i="54"/>
  <c r="I56" i="54"/>
  <c r="J12" i="55"/>
  <c r="I12" i="55"/>
  <c r="J20" i="55"/>
  <c r="I20" i="55"/>
  <c r="J28" i="55"/>
  <c r="I28" i="55"/>
  <c r="J36" i="55"/>
  <c r="I36" i="55"/>
  <c r="J44" i="55"/>
  <c r="I44" i="55"/>
  <c r="J52" i="55"/>
  <c r="I52" i="55"/>
  <c r="J11" i="56"/>
  <c r="I11" i="56"/>
  <c r="I20" i="56"/>
  <c r="J38" i="56"/>
  <c r="I38" i="56"/>
  <c r="I14" i="57"/>
  <c r="K14" i="57" s="1"/>
  <c r="I33" i="57"/>
  <c r="K33" i="57" s="1"/>
  <c r="I43" i="57"/>
  <c r="K43" i="57" s="1"/>
  <c r="J21" i="58"/>
  <c r="J37" i="58"/>
  <c r="J18" i="59"/>
  <c r="J34" i="59"/>
  <c r="J50" i="59"/>
  <c r="J47" i="54"/>
  <c r="J47" i="58"/>
  <c r="J39" i="53"/>
  <c r="I39" i="53"/>
  <c r="J25" i="54"/>
  <c r="I25" i="54"/>
  <c r="J57" i="54"/>
  <c r="I57" i="54"/>
  <c r="J53" i="55"/>
  <c r="I53" i="55"/>
  <c r="J29" i="56"/>
  <c r="I29" i="56"/>
  <c r="J39" i="56"/>
  <c r="I39" i="56"/>
  <c r="I15" i="57"/>
  <c r="K15" i="57" s="1"/>
  <c r="J22" i="58"/>
  <c r="I22" i="58"/>
  <c r="J38" i="58"/>
  <c r="I38" i="58"/>
  <c r="J19" i="59"/>
  <c r="I19" i="59"/>
  <c r="J35" i="59"/>
  <c r="I35" i="59"/>
  <c r="J51" i="59"/>
  <c r="I10" i="51"/>
  <c r="I14" i="51"/>
  <c r="I18" i="51"/>
  <c r="I22" i="51"/>
  <c r="I26" i="51"/>
  <c r="J51" i="53"/>
  <c r="I51" i="53"/>
  <c r="J12" i="54"/>
  <c r="I12" i="54"/>
  <c r="J31" i="54"/>
  <c r="J38" i="54"/>
  <c r="J44" i="54"/>
  <c r="I44" i="54"/>
  <c r="J13" i="55"/>
  <c r="I13" i="55"/>
  <c r="J21" i="55"/>
  <c r="I21" i="55"/>
  <c r="J29" i="55"/>
  <c r="I29" i="55"/>
  <c r="J37" i="55"/>
  <c r="I37" i="55"/>
  <c r="J45" i="55"/>
  <c r="I45" i="55"/>
  <c r="J54" i="55"/>
  <c r="I54" i="55"/>
  <c r="J30" i="56"/>
  <c r="I30" i="56"/>
  <c r="J57" i="56"/>
  <c r="I57" i="56"/>
  <c r="I45" i="57"/>
  <c r="K45" i="57" s="1"/>
  <c r="J23" i="58"/>
  <c r="I23" i="58"/>
  <c r="J39" i="58"/>
  <c r="I39" i="58"/>
  <c r="J20" i="59"/>
  <c r="J36" i="59"/>
  <c r="J52" i="59"/>
  <c r="J25" i="55"/>
  <c r="I25" i="55"/>
  <c r="J40" i="53"/>
  <c r="I40" i="53"/>
  <c r="J13" i="54"/>
  <c r="I13" i="54"/>
  <c r="I19" i="54"/>
  <c r="I26" i="54"/>
  <c r="J45" i="54"/>
  <c r="I45" i="54"/>
  <c r="I51" i="54"/>
  <c r="I58" i="54"/>
  <c r="J14" i="55"/>
  <c r="I14" i="55"/>
  <c r="J22" i="55"/>
  <c r="I22" i="55"/>
  <c r="J30" i="55"/>
  <c r="I30" i="55"/>
  <c r="J38" i="55"/>
  <c r="I38" i="55"/>
  <c r="J46" i="55"/>
  <c r="I46" i="55"/>
  <c r="J21" i="56"/>
  <c r="I21" i="56"/>
  <c r="J31" i="56"/>
  <c r="I31" i="56"/>
  <c r="I40" i="56"/>
  <c r="J58" i="56"/>
  <c r="I58" i="56"/>
  <c r="I34" i="57"/>
  <c r="K34" i="57" s="1"/>
  <c r="J8" i="58"/>
  <c r="J24" i="58"/>
  <c r="J40" i="58"/>
  <c r="J21" i="59"/>
  <c r="J37" i="59"/>
  <c r="J53" i="59"/>
  <c r="J35" i="56"/>
  <c r="I35" i="56"/>
  <c r="I46" i="53"/>
  <c r="J52" i="53"/>
  <c r="I52" i="53"/>
  <c r="J32" i="54"/>
  <c r="I32" i="54"/>
  <c r="I55" i="55"/>
  <c r="J22" i="56"/>
  <c r="I22" i="56"/>
  <c r="J49" i="56"/>
  <c r="I49" i="56"/>
  <c r="I17" i="57"/>
  <c r="K17" i="57" s="1"/>
  <c r="I35" i="57"/>
  <c r="K35" i="57" s="1"/>
  <c r="I46" i="57"/>
  <c r="K46" i="57" s="1"/>
  <c r="J9" i="58"/>
  <c r="J25" i="58"/>
  <c r="J41" i="58"/>
  <c r="J22" i="59"/>
  <c r="J38" i="59"/>
  <c r="J54" i="59"/>
  <c r="J15" i="54"/>
  <c r="J15" i="58"/>
  <c r="I15" i="58"/>
  <c r="J35" i="53"/>
  <c r="I35" i="53"/>
  <c r="I41" i="53"/>
  <c r="I58" i="53"/>
  <c r="I14" i="54"/>
  <c r="J33" i="54"/>
  <c r="I33" i="54"/>
  <c r="I39" i="54"/>
  <c r="I46" i="54"/>
  <c r="I15" i="55"/>
  <c r="I23" i="55"/>
  <c r="I31" i="55"/>
  <c r="I39" i="55"/>
  <c r="I47" i="55"/>
  <c r="J13" i="56"/>
  <c r="I13" i="56"/>
  <c r="J23" i="56"/>
  <c r="I23" i="56"/>
  <c r="I32" i="56"/>
  <c r="J50" i="56"/>
  <c r="I50" i="56"/>
  <c r="I26" i="57"/>
  <c r="K26" i="57" s="1"/>
  <c r="I47" i="57"/>
  <c r="K47" i="57" s="1"/>
  <c r="J10" i="58"/>
  <c r="I10" i="58"/>
  <c r="J26" i="58"/>
  <c r="I26" i="58"/>
  <c r="J42" i="58"/>
  <c r="I42" i="58"/>
  <c r="J23" i="59"/>
  <c r="I23" i="59"/>
  <c r="J39" i="59"/>
  <c r="J54" i="54"/>
  <c r="I11" i="57"/>
  <c r="K11" i="57" s="1"/>
  <c r="I11" i="51"/>
  <c r="I15" i="51"/>
  <c r="I19" i="51"/>
  <c r="I23" i="51"/>
  <c r="I27" i="51"/>
  <c r="I31" i="51"/>
  <c r="I35" i="51"/>
  <c r="I39" i="51"/>
  <c r="I43" i="51"/>
  <c r="I47" i="51"/>
  <c r="I51" i="51"/>
  <c r="I55" i="51"/>
  <c r="I48" i="52"/>
  <c r="I15" i="52"/>
  <c r="N15" i="52" s="1"/>
  <c r="I63" i="52"/>
  <c r="N63" i="52" s="1"/>
  <c r="I43" i="52"/>
  <c r="N43" i="52" s="1"/>
  <c r="I21" i="52"/>
  <c r="N21" i="52" s="1"/>
  <c r="I24" i="52"/>
  <c r="N24" i="52" s="1"/>
  <c r="I40" i="52"/>
  <c r="I18" i="52"/>
  <c r="I12" i="52"/>
  <c r="I42" i="52"/>
  <c r="I61" i="52"/>
  <c r="N61" i="52" s="1"/>
  <c r="I13" i="52"/>
  <c r="N13" i="52" s="1"/>
  <c r="I19" i="52"/>
  <c r="N19" i="52" s="1"/>
  <c r="I9" i="53"/>
  <c r="I13" i="53"/>
  <c r="I17" i="53"/>
  <c r="I21" i="53"/>
  <c r="I25" i="53"/>
  <c r="I30" i="53"/>
  <c r="I53" i="53"/>
  <c r="J20" i="54"/>
  <c r="I20" i="54"/>
  <c r="J52" i="54"/>
  <c r="I52" i="54"/>
  <c r="J14" i="56"/>
  <c r="I14" i="56"/>
  <c r="J41" i="56"/>
  <c r="I41" i="56"/>
  <c r="J51" i="56"/>
  <c r="I51" i="56"/>
  <c r="I9" i="57"/>
  <c r="K9" i="57" s="1"/>
  <c r="I27" i="57"/>
  <c r="K27" i="57" s="1"/>
  <c r="J11" i="58"/>
  <c r="I11" i="58"/>
  <c r="J27" i="58"/>
  <c r="I27" i="58"/>
  <c r="J43" i="58"/>
  <c r="J8" i="59"/>
  <c r="J24" i="59"/>
  <c r="J40" i="59"/>
  <c r="J25" i="56"/>
  <c r="I25" i="56"/>
  <c r="J36" i="53"/>
  <c r="I36" i="53"/>
  <c r="J47" i="53"/>
  <c r="I47" i="53"/>
  <c r="J21" i="54"/>
  <c r="I21" i="54"/>
  <c r="J53" i="54"/>
  <c r="I53" i="54"/>
  <c r="J56" i="55"/>
  <c r="I56" i="55"/>
  <c r="J15" i="56"/>
  <c r="I15" i="56"/>
  <c r="I24" i="56"/>
  <c r="J42" i="56"/>
  <c r="I42" i="56"/>
  <c r="I18" i="57"/>
  <c r="K18" i="57" s="1"/>
  <c r="I37" i="57"/>
  <c r="K37" i="57" s="1"/>
  <c r="J12" i="58"/>
  <c r="J28" i="58"/>
  <c r="J44" i="58"/>
  <c r="J9" i="59"/>
  <c r="J25" i="59"/>
  <c r="J41" i="59"/>
  <c r="J17" i="55"/>
  <c r="I17" i="55"/>
  <c r="J8" i="54"/>
  <c r="I8" i="54"/>
  <c r="J27" i="54"/>
  <c r="J34" i="54"/>
  <c r="J40" i="54"/>
  <c r="I40" i="54"/>
  <c r="J8" i="55"/>
  <c r="J16" i="55"/>
  <c r="I16" i="55"/>
  <c r="J24" i="55"/>
  <c r="I24" i="55"/>
  <c r="J32" i="55"/>
  <c r="I32" i="55"/>
  <c r="J40" i="55"/>
  <c r="I40" i="55"/>
  <c r="J48" i="55"/>
  <c r="I48" i="55"/>
  <c r="J57" i="55"/>
  <c r="I57" i="55"/>
  <c r="J33" i="56"/>
  <c r="I33" i="56"/>
  <c r="J43" i="56"/>
  <c r="I43" i="56"/>
  <c r="I19" i="57"/>
  <c r="K19" i="57" s="1"/>
  <c r="J13" i="58"/>
  <c r="J29" i="58"/>
  <c r="J45" i="58"/>
  <c r="J10" i="59"/>
  <c r="J26" i="59"/>
  <c r="J42" i="59"/>
  <c r="I39" i="59"/>
  <c r="I43" i="59"/>
  <c r="I47" i="59"/>
  <c r="I51" i="59"/>
  <c r="I43" i="58"/>
  <c r="I47" i="58"/>
  <c r="I51" i="58"/>
  <c r="I8" i="59"/>
  <c r="I12" i="59"/>
  <c r="I16" i="59"/>
  <c r="I20" i="59"/>
  <c r="I24" i="59"/>
  <c r="I28" i="59"/>
  <c r="I32" i="59"/>
  <c r="I36" i="59"/>
  <c r="I40" i="59"/>
  <c r="I44" i="59"/>
  <c r="I48" i="59"/>
  <c r="I52" i="59"/>
  <c r="I8" i="58"/>
  <c r="I12" i="58"/>
  <c r="I16" i="58"/>
  <c r="I20" i="58"/>
  <c r="I24" i="58"/>
  <c r="I28" i="58"/>
  <c r="I32" i="58"/>
  <c r="I36" i="58"/>
  <c r="I40" i="58"/>
  <c r="I44" i="58"/>
  <c r="I48" i="58"/>
  <c r="I52" i="58"/>
  <c r="I9" i="59"/>
  <c r="I13" i="59"/>
  <c r="I17" i="59"/>
  <c r="I21" i="59"/>
  <c r="I25" i="59"/>
  <c r="I29" i="59"/>
  <c r="I33" i="59"/>
  <c r="I37" i="59"/>
  <c r="I41" i="59"/>
  <c r="I45" i="59"/>
  <c r="I49" i="59"/>
  <c r="I53" i="59"/>
  <c r="I55" i="56"/>
  <c r="I8" i="57"/>
  <c r="K8" i="57" s="1"/>
  <c r="I12" i="57"/>
  <c r="K12" i="57" s="1"/>
  <c r="I16" i="57"/>
  <c r="K16" i="57" s="1"/>
  <c r="I20" i="57"/>
  <c r="K20" i="57" s="1"/>
  <c r="I24" i="57"/>
  <c r="K24" i="57" s="1"/>
  <c r="I28" i="57"/>
  <c r="K28" i="57" s="1"/>
  <c r="I32" i="57"/>
  <c r="K32" i="57" s="1"/>
  <c r="I36" i="57"/>
  <c r="K36" i="57" s="1"/>
  <c r="I40" i="57"/>
  <c r="K40" i="57" s="1"/>
  <c r="I44" i="57"/>
  <c r="K44" i="57" s="1"/>
  <c r="I9" i="58"/>
  <c r="I13" i="58"/>
  <c r="I17" i="58"/>
  <c r="I21" i="58"/>
  <c r="I25" i="58"/>
  <c r="I29" i="58"/>
  <c r="I33" i="58"/>
  <c r="I37" i="58"/>
  <c r="I41" i="58"/>
  <c r="I45" i="58"/>
  <c r="I49" i="58"/>
  <c r="I10" i="59"/>
  <c r="I14" i="59"/>
  <c r="I18" i="59"/>
  <c r="I22" i="59"/>
  <c r="I26" i="59"/>
  <c r="I30" i="59"/>
  <c r="I34" i="59"/>
  <c r="I38" i="59"/>
  <c r="I42" i="59"/>
  <c r="I46" i="59"/>
  <c r="I50" i="59"/>
  <c r="I54" i="59"/>
  <c r="J15" i="46"/>
  <c r="J12" i="47"/>
  <c r="J44" i="47"/>
  <c r="J9" i="48"/>
  <c r="J22" i="49"/>
  <c r="J38" i="49"/>
  <c r="J54" i="49"/>
  <c r="J34" i="50"/>
  <c r="J31" i="46"/>
  <c r="J11" i="44"/>
  <c r="J27" i="44"/>
  <c r="J43" i="44"/>
  <c r="J57" i="45"/>
  <c r="J13" i="43"/>
  <c r="J29" i="43"/>
  <c r="J45" i="43"/>
  <c r="J48" i="44"/>
  <c r="J26" i="44"/>
  <c r="J39" i="45"/>
  <c r="J51" i="45"/>
  <c r="J14" i="46"/>
  <c r="J30" i="46"/>
  <c r="J46" i="46"/>
  <c r="J11" i="47"/>
  <c r="J27" i="47"/>
  <c r="J43" i="47"/>
  <c r="J8" i="48"/>
  <c r="J24" i="48"/>
  <c r="J40" i="48"/>
  <c r="J56" i="48"/>
  <c r="J21" i="49"/>
  <c r="J37" i="49"/>
  <c r="J53" i="49"/>
  <c r="J18" i="50"/>
  <c r="J33" i="50"/>
  <c r="J46" i="50"/>
  <c r="J16" i="46"/>
  <c r="J32" i="46"/>
  <c r="J48" i="46"/>
  <c r="J13" i="47"/>
  <c r="J29" i="47"/>
  <c r="J45" i="47"/>
  <c r="J10" i="48"/>
  <c r="J26" i="48"/>
  <c r="J42" i="48"/>
  <c r="J23" i="49"/>
  <c r="J39" i="49"/>
  <c r="J55" i="49"/>
  <c r="J20" i="50"/>
  <c r="J35" i="50"/>
  <c r="J16" i="43"/>
  <c r="J32" i="43"/>
  <c r="J48" i="43"/>
  <c r="J13" i="44"/>
  <c r="J29" i="44"/>
  <c r="J45" i="44"/>
  <c r="J10" i="45"/>
  <c r="J26" i="45"/>
  <c r="J42" i="45"/>
  <c r="J17" i="46"/>
  <c r="J33" i="46"/>
  <c r="J49" i="46"/>
  <c r="J14" i="47"/>
  <c r="J30" i="47"/>
  <c r="J46" i="47"/>
  <c r="J11" i="48"/>
  <c r="J27" i="48"/>
  <c r="J43" i="48"/>
  <c r="J8" i="49"/>
  <c r="J24" i="49"/>
  <c r="J40" i="49"/>
  <c r="J56" i="49"/>
  <c r="J21" i="50"/>
  <c r="I35" i="50"/>
  <c r="K35" i="50" s="1"/>
  <c r="J25" i="48"/>
  <c r="J49" i="43"/>
  <c r="J14" i="44"/>
  <c r="J9" i="45"/>
  <c r="J43" i="45"/>
  <c r="J18" i="46"/>
  <c r="J34" i="46"/>
  <c r="J50" i="46"/>
  <c r="J15" i="47"/>
  <c r="J31" i="47"/>
  <c r="J47" i="47"/>
  <c r="J12" i="48"/>
  <c r="J28" i="48"/>
  <c r="J44" i="48"/>
  <c r="J9" i="49"/>
  <c r="J25" i="49"/>
  <c r="J41" i="49"/>
  <c r="J57" i="49"/>
  <c r="J22" i="50"/>
  <c r="J36" i="50"/>
  <c r="J15" i="43"/>
  <c r="J15" i="44"/>
  <c r="J31" i="44"/>
  <c r="J47" i="44"/>
  <c r="J12" i="45"/>
  <c r="J28" i="45"/>
  <c r="J44" i="45"/>
  <c r="J54" i="45"/>
  <c r="J19" i="46"/>
  <c r="J35" i="46"/>
  <c r="J51" i="46"/>
  <c r="J16" i="47"/>
  <c r="J32" i="47"/>
  <c r="J48" i="47"/>
  <c r="J13" i="48"/>
  <c r="J29" i="48"/>
  <c r="J45" i="48"/>
  <c r="J10" i="49"/>
  <c r="J26" i="49"/>
  <c r="J42" i="49"/>
  <c r="J58" i="49"/>
  <c r="J37" i="50"/>
  <c r="J52" i="45"/>
  <c r="J41" i="48"/>
  <c r="J55" i="45"/>
  <c r="J20" i="46"/>
  <c r="J36" i="46"/>
  <c r="J52" i="46"/>
  <c r="J17" i="47"/>
  <c r="J33" i="47"/>
  <c r="J49" i="47"/>
  <c r="J14" i="48"/>
  <c r="J30" i="48"/>
  <c r="J46" i="48"/>
  <c r="J11" i="49"/>
  <c r="J27" i="49"/>
  <c r="J43" i="49"/>
  <c r="J8" i="50"/>
  <c r="J24" i="50"/>
  <c r="J38" i="50"/>
  <c r="J40" i="45"/>
  <c r="J28" i="47"/>
  <c r="J17" i="43"/>
  <c r="J20" i="43"/>
  <c r="J36" i="43"/>
  <c r="J52" i="43"/>
  <c r="J17" i="44"/>
  <c r="J33" i="44"/>
  <c r="J49" i="44"/>
  <c r="J14" i="45"/>
  <c r="J30" i="45"/>
  <c r="J56" i="45"/>
  <c r="J21" i="46"/>
  <c r="J37" i="46"/>
  <c r="J53" i="46"/>
  <c r="J18" i="47"/>
  <c r="J34" i="47"/>
  <c r="J50" i="47"/>
  <c r="J15" i="48"/>
  <c r="J31" i="48"/>
  <c r="J47" i="48"/>
  <c r="J12" i="49"/>
  <c r="J28" i="49"/>
  <c r="J44" i="49"/>
  <c r="J9" i="50"/>
  <c r="J25" i="50"/>
  <c r="J39" i="50"/>
  <c r="J24" i="45"/>
  <c r="J47" i="46"/>
  <c r="J21" i="43"/>
  <c r="J37" i="43"/>
  <c r="J53" i="43"/>
  <c r="J34" i="44"/>
  <c r="J50" i="44"/>
  <c r="J15" i="45"/>
  <c r="J31" i="45"/>
  <c r="J22" i="46"/>
  <c r="J38" i="46"/>
  <c r="J54" i="46"/>
  <c r="J19" i="47"/>
  <c r="J35" i="47"/>
  <c r="J51" i="47"/>
  <c r="J16" i="48"/>
  <c r="J32" i="48"/>
  <c r="J48" i="48"/>
  <c r="J13" i="49"/>
  <c r="J29" i="49"/>
  <c r="J45" i="49"/>
  <c r="J10" i="50"/>
  <c r="J26" i="50"/>
  <c r="J33" i="43"/>
  <c r="J19" i="44"/>
  <c r="J35" i="44"/>
  <c r="J51" i="44"/>
  <c r="J16" i="45"/>
  <c r="J32" i="45"/>
  <c r="J46" i="45"/>
  <c r="J58" i="45"/>
  <c r="J23" i="46"/>
  <c r="J39" i="46"/>
  <c r="J55" i="46"/>
  <c r="J20" i="47"/>
  <c r="J36" i="47"/>
  <c r="J52" i="47"/>
  <c r="J17" i="48"/>
  <c r="J33" i="48"/>
  <c r="J49" i="48"/>
  <c r="J14" i="49"/>
  <c r="J30" i="49"/>
  <c r="J46" i="49"/>
  <c r="J40" i="50"/>
  <c r="J39" i="43"/>
  <c r="J55" i="43"/>
  <c r="J47" i="45"/>
  <c r="J8" i="46"/>
  <c r="J24" i="46"/>
  <c r="J40" i="46"/>
  <c r="J56" i="46"/>
  <c r="J21" i="47"/>
  <c r="J37" i="47"/>
  <c r="J53" i="47"/>
  <c r="J18" i="48"/>
  <c r="J34" i="48"/>
  <c r="J50" i="48"/>
  <c r="J15" i="49"/>
  <c r="J31" i="49"/>
  <c r="J47" i="49"/>
  <c r="J12" i="50"/>
  <c r="J28" i="50"/>
  <c r="J41" i="50"/>
  <c r="J50" i="43"/>
  <c r="J56" i="43"/>
  <c r="J21" i="44"/>
  <c r="J37" i="44"/>
  <c r="J53" i="44"/>
  <c r="J18" i="45"/>
  <c r="J34" i="45"/>
  <c r="J48" i="45"/>
  <c r="J9" i="46"/>
  <c r="J25" i="46"/>
  <c r="J41" i="46"/>
  <c r="J57" i="46"/>
  <c r="J22" i="47"/>
  <c r="J38" i="47"/>
  <c r="J54" i="47"/>
  <c r="J19" i="48"/>
  <c r="J35" i="48"/>
  <c r="J51" i="48"/>
  <c r="J16" i="49"/>
  <c r="J32" i="49"/>
  <c r="J48" i="49"/>
  <c r="J13" i="50"/>
  <c r="J29" i="50"/>
  <c r="J42" i="50"/>
  <c r="J9" i="43"/>
  <c r="J25" i="43"/>
  <c r="J41" i="43"/>
  <c r="J57" i="43"/>
  <c r="J22" i="44"/>
  <c r="J38" i="44"/>
  <c r="J19" i="45"/>
  <c r="J10" i="46"/>
  <c r="J26" i="46"/>
  <c r="J42" i="46"/>
  <c r="J58" i="46"/>
  <c r="J23" i="47"/>
  <c r="J39" i="47"/>
  <c r="J55" i="47"/>
  <c r="J20" i="48"/>
  <c r="J36" i="48"/>
  <c r="J52" i="48"/>
  <c r="J17" i="49"/>
  <c r="J33" i="49"/>
  <c r="J49" i="49"/>
  <c r="J14" i="50"/>
  <c r="J30" i="50"/>
  <c r="J43" i="50"/>
  <c r="J31" i="43"/>
  <c r="J24" i="43"/>
  <c r="J23" i="44"/>
  <c r="J39" i="44"/>
  <c r="J55" i="44"/>
  <c r="J20" i="45"/>
  <c r="J36" i="45"/>
  <c r="J11" i="46"/>
  <c r="J27" i="46"/>
  <c r="J43" i="46"/>
  <c r="J8" i="47"/>
  <c r="J24" i="47"/>
  <c r="J40" i="47"/>
  <c r="J56" i="47"/>
  <c r="J21" i="48"/>
  <c r="J37" i="48"/>
  <c r="J53" i="48"/>
  <c r="J18" i="49"/>
  <c r="J34" i="49"/>
  <c r="J50" i="49"/>
  <c r="J31" i="50"/>
  <c r="I43" i="50"/>
  <c r="K43" i="50" s="1"/>
  <c r="J27" i="43"/>
  <c r="J12" i="46"/>
  <c r="J28" i="46"/>
  <c r="J44" i="46"/>
  <c r="J9" i="47"/>
  <c r="J25" i="47"/>
  <c r="J41" i="47"/>
  <c r="J57" i="47"/>
  <c r="J22" i="48"/>
  <c r="J38" i="48"/>
  <c r="J54" i="48"/>
  <c r="J19" i="49"/>
  <c r="J35" i="49"/>
  <c r="J51" i="49"/>
  <c r="J16" i="50"/>
  <c r="J44" i="50"/>
  <c r="J40" i="43"/>
  <c r="J43" i="43"/>
  <c r="J12" i="43"/>
  <c r="J28" i="43"/>
  <c r="J44" i="43"/>
  <c r="J9" i="44"/>
  <c r="J25" i="44"/>
  <c r="J41" i="44"/>
  <c r="J57" i="44"/>
  <c r="J22" i="45"/>
  <c r="J38" i="45"/>
  <c r="J50" i="45"/>
  <c r="J13" i="46"/>
  <c r="J29" i="46"/>
  <c r="J45" i="46"/>
  <c r="J10" i="47"/>
  <c r="J26" i="47"/>
  <c r="J42" i="47"/>
  <c r="J58" i="47"/>
  <c r="J23" i="48"/>
  <c r="J39" i="48"/>
  <c r="J55" i="48"/>
  <c r="J20" i="49"/>
  <c r="J36" i="49"/>
  <c r="J52" i="49"/>
  <c r="J17" i="50"/>
  <c r="J32" i="50"/>
  <c r="J45" i="50"/>
  <c r="J11" i="50"/>
  <c r="J15" i="50"/>
  <c r="J19" i="50"/>
  <c r="J23" i="50"/>
  <c r="J27" i="50"/>
  <c r="I8" i="50"/>
  <c r="K8" i="50" s="1"/>
  <c r="I12" i="50"/>
  <c r="K12" i="50" s="1"/>
  <c r="I16" i="50"/>
  <c r="K16" i="50" s="1"/>
  <c r="I20" i="50"/>
  <c r="K20" i="50" s="1"/>
  <c r="I24" i="50"/>
  <c r="K24" i="50" s="1"/>
  <c r="I28" i="50"/>
  <c r="K28" i="50" s="1"/>
  <c r="I32" i="50"/>
  <c r="K32" i="50" s="1"/>
  <c r="I36" i="50"/>
  <c r="K36" i="50" s="1"/>
  <c r="I40" i="50"/>
  <c r="K40" i="50" s="1"/>
  <c r="I44" i="50"/>
  <c r="K44" i="50" s="1"/>
  <c r="I9" i="50"/>
  <c r="K9" i="50" s="1"/>
  <c r="I13" i="50"/>
  <c r="K13" i="50" s="1"/>
  <c r="I17" i="50"/>
  <c r="K17" i="50" s="1"/>
  <c r="I21" i="50"/>
  <c r="K21" i="50" s="1"/>
  <c r="I25" i="50"/>
  <c r="K25" i="50" s="1"/>
  <c r="I29" i="50"/>
  <c r="K29" i="50" s="1"/>
  <c r="I33" i="50"/>
  <c r="K33" i="50" s="1"/>
  <c r="I37" i="50"/>
  <c r="K37" i="50" s="1"/>
  <c r="I41" i="50"/>
  <c r="K41" i="50" s="1"/>
  <c r="I45" i="50"/>
  <c r="K45" i="50" s="1"/>
  <c r="I10" i="50"/>
  <c r="K10" i="50" s="1"/>
  <c r="I14" i="50"/>
  <c r="K14" i="50" s="1"/>
  <c r="I18" i="50"/>
  <c r="K18" i="50" s="1"/>
  <c r="I22" i="50"/>
  <c r="K22" i="50" s="1"/>
  <c r="I26" i="50"/>
  <c r="K26" i="50" s="1"/>
  <c r="I30" i="50"/>
  <c r="K30" i="50" s="1"/>
  <c r="I34" i="50"/>
  <c r="K34" i="50" s="1"/>
  <c r="I38" i="50"/>
  <c r="K38" i="50" s="1"/>
  <c r="I42" i="50"/>
  <c r="K42" i="50" s="1"/>
  <c r="I46" i="50"/>
  <c r="K46" i="50" s="1"/>
  <c r="I8" i="46"/>
  <c r="K8" i="46" s="1"/>
  <c r="I12" i="46"/>
  <c r="K12" i="46" s="1"/>
  <c r="I16" i="46"/>
  <c r="K16" i="46" s="1"/>
  <c r="I20" i="46"/>
  <c r="K20" i="46" s="1"/>
  <c r="I24" i="46"/>
  <c r="K24" i="46" s="1"/>
  <c r="I32" i="46"/>
  <c r="K32" i="46" s="1"/>
  <c r="I36" i="46"/>
  <c r="K36" i="46" s="1"/>
  <c r="I40" i="46"/>
  <c r="K40" i="46" s="1"/>
  <c r="I44" i="46"/>
  <c r="K44" i="46" s="1"/>
  <c r="I48" i="46"/>
  <c r="K48" i="46" s="1"/>
  <c r="I52" i="46"/>
  <c r="K52" i="46" s="1"/>
  <c r="I56" i="46"/>
  <c r="K56" i="46" s="1"/>
  <c r="I9" i="47"/>
  <c r="K9" i="47" s="1"/>
  <c r="I13" i="47"/>
  <c r="K13" i="47" s="1"/>
  <c r="I17" i="47"/>
  <c r="K17" i="47" s="1"/>
  <c r="I21" i="47"/>
  <c r="K21" i="47" s="1"/>
  <c r="I25" i="47"/>
  <c r="K25" i="47" s="1"/>
  <c r="I29" i="47"/>
  <c r="K29" i="47" s="1"/>
  <c r="I33" i="47"/>
  <c r="K33" i="47" s="1"/>
  <c r="I37" i="47"/>
  <c r="K37" i="47" s="1"/>
  <c r="I41" i="47"/>
  <c r="K41" i="47" s="1"/>
  <c r="I45" i="47"/>
  <c r="K45" i="47" s="1"/>
  <c r="I49" i="47"/>
  <c r="K49" i="47" s="1"/>
  <c r="I53" i="47"/>
  <c r="K53" i="47" s="1"/>
  <c r="I57" i="47"/>
  <c r="K57" i="47" s="1"/>
  <c r="I10" i="48"/>
  <c r="K10" i="48" s="1"/>
  <c r="I14" i="48"/>
  <c r="K14" i="48" s="1"/>
  <c r="I18" i="48"/>
  <c r="K18" i="48" s="1"/>
  <c r="I22" i="48"/>
  <c r="K22" i="48" s="1"/>
  <c r="I26" i="48"/>
  <c r="K26" i="48" s="1"/>
  <c r="I30" i="48"/>
  <c r="K30" i="48" s="1"/>
  <c r="I34" i="48"/>
  <c r="K34" i="48" s="1"/>
  <c r="I38" i="48"/>
  <c r="K38" i="48" s="1"/>
  <c r="I42" i="48"/>
  <c r="K42" i="48" s="1"/>
  <c r="I46" i="48"/>
  <c r="K46" i="48" s="1"/>
  <c r="I50" i="48"/>
  <c r="K50" i="48" s="1"/>
  <c r="I54" i="48"/>
  <c r="K54" i="48" s="1"/>
  <c r="I11" i="49"/>
  <c r="K11" i="49" s="1"/>
  <c r="I15" i="49"/>
  <c r="K15" i="49" s="1"/>
  <c r="I19" i="49"/>
  <c r="K19" i="49" s="1"/>
  <c r="I23" i="49"/>
  <c r="K23" i="49" s="1"/>
  <c r="I27" i="49"/>
  <c r="K27" i="49" s="1"/>
  <c r="I31" i="49"/>
  <c r="K31" i="49" s="1"/>
  <c r="I35" i="49"/>
  <c r="K35" i="49" s="1"/>
  <c r="I39" i="49"/>
  <c r="K39" i="49" s="1"/>
  <c r="I43" i="49"/>
  <c r="K43" i="49" s="1"/>
  <c r="I47" i="49"/>
  <c r="K47" i="49" s="1"/>
  <c r="I51" i="49"/>
  <c r="K51" i="49" s="1"/>
  <c r="I55" i="49"/>
  <c r="K55" i="49" s="1"/>
  <c r="I28" i="46"/>
  <c r="K28" i="46" s="1"/>
  <c r="I9" i="46"/>
  <c r="K9" i="46" s="1"/>
  <c r="I13" i="46"/>
  <c r="K13" i="46" s="1"/>
  <c r="I17" i="46"/>
  <c r="K17" i="46" s="1"/>
  <c r="I21" i="46"/>
  <c r="K21" i="46" s="1"/>
  <c r="I25" i="46"/>
  <c r="K25" i="46" s="1"/>
  <c r="I29" i="46"/>
  <c r="K29" i="46" s="1"/>
  <c r="I33" i="46"/>
  <c r="K33" i="46" s="1"/>
  <c r="I37" i="46"/>
  <c r="K37" i="46" s="1"/>
  <c r="I41" i="46"/>
  <c r="K41" i="46" s="1"/>
  <c r="I45" i="46"/>
  <c r="K45" i="46" s="1"/>
  <c r="I49" i="46"/>
  <c r="K49" i="46" s="1"/>
  <c r="I53" i="46"/>
  <c r="K53" i="46" s="1"/>
  <c r="I57" i="46"/>
  <c r="K57" i="46" s="1"/>
  <c r="I10" i="47"/>
  <c r="K10" i="47" s="1"/>
  <c r="I14" i="47"/>
  <c r="K14" i="47" s="1"/>
  <c r="I18" i="47"/>
  <c r="K18" i="47" s="1"/>
  <c r="I22" i="47"/>
  <c r="K22" i="47" s="1"/>
  <c r="I26" i="47"/>
  <c r="K26" i="47" s="1"/>
  <c r="I30" i="47"/>
  <c r="K30" i="47" s="1"/>
  <c r="I34" i="47"/>
  <c r="K34" i="47" s="1"/>
  <c r="I38" i="47"/>
  <c r="K38" i="47" s="1"/>
  <c r="I42" i="47"/>
  <c r="K42" i="47" s="1"/>
  <c r="I46" i="47"/>
  <c r="K46" i="47" s="1"/>
  <c r="I50" i="47"/>
  <c r="K50" i="47" s="1"/>
  <c r="I54" i="47"/>
  <c r="K54" i="47" s="1"/>
  <c r="I58" i="47"/>
  <c r="K58" i="47" s="1"/>
  <c r="I11" i="48"/>
  <c r="K11" i="48" s="1"/>
  <c r="I15" i="48"/>
  <c r="K15" i="48" s="1"/>
  <c r="I19" i="48"/>
  <c r="K19" i="48" s="1"/>
  <c r="I23" i="48"/>
  <c r="K23" i="48" s="1"/>
  <c r="I27" i="48"/>
  <c r="K27" i="48" s="1"/>
  <c r="I31" i="48"/>
  <c r="K31" i="48" s="1"/>
  <c r="I35" i="48"/>
  <c r="K35" i="48" s="1"/>
  <c r="I39" i="48"/>
  <c r="K39" i="48" s="1"/>
  <c r="I43" i="48"/>
  <c r="K43" i="48" s="1"/>
  <c r="I47" i="48"/>
  <c r="K47" i="48" s="1"/>
  <c r="I51" i="48"/>
  <c r="K51" i="48" s="1"/>
  <c r="I55" i="48"/>
  <c r="K55" i="48" s="1"/>
  <c r="I8" i="49"/>
  <c r="K8" i="49" s="1"/>
  <c r="I12" i="49"/>
  <c r="K12" i="49" s="1"/>
  <c r="I16" i="49"/>
  <c r="K16" i="49" s="1"/>
  <c r="I20" i="49"/>
  <c r="K20" i="49" s="1"/>
  <c r="I24" i="49"/>
  <c r="K24" i="49" s="1"/>
  <c r="I28" i="49"/>
  <c r="K28" i="49" s="1"/>
  <c r="I32" i="49"/>
  <c r="K32" i="49" s="1"/>
  <c r="I36" i="49"/>
  <c r="K36" i="49" s="1"/>
  <c r="I40" i="49"/>
  <c r="K40" i="49" s="1"/>
  <c r="I44" i="49"/>
  <c r="K44" i="49" s="1"/>
  <c r="I48" i="49"/>
  <c r="K48" i="49" s="1"/>
  <c r="I52" i="49"/>
  <c r="K52" i="49" s="1"/>
  <c r="I56" i="49"/>
  <c r="K56" i="49" s="1"/>
  <c r="I10" i="46"/>
  <c r="K10" i="46" s="1"/>
  <c r="I14" i="46"/>
  <c r="K14" i="46" s="1"/>
  <c r="I18" i="46"/>
  <c r="K18" i="46" s="1"/>
  <c r="I22" i="46"/>
  <c r="K22" i="46" s="1"/>
  <c r="I26" i="46"/>
  <c r="K26" i="46" s="1"/>
  <c r="I30" i="46"/>
  <c r="K30" i="46" s="1"/>
  <c r="I34" i="46"/>
  <c r="K34" i="46" s="1"/>
  <c r="I38" i="46"/>
  <c r="K38" i="46" s="1"/>
  <c r="I42" i="46"/>
  <c r="K42" i="46" s="1"/>
  <c r="I46" i="46"/>
  <c r="K46" i="46" s="1"/>
  <c r="I50" i="46"/>
  <c r="K50" i="46" s="1"/>
  <c r="I54" i="46"/>
  <c r="K54" i="46" s="1"/>
  <c r="I58" i="46"/>
  <c r="K58" i="46" s="1"/>
  <c r="I11" i="47"/>
  <c r="K11" i="47" s="1"/>
  <c r="I15" i="47"/>
  <c r="K15" i="47" s="1"/>
  <c r="I19" i="47"/>
  <c r="K19" i="47" s="1"/>
  <c r="I23" i="47"/>
  <c r="K23" i="47" s="1"/>
  <c r="I27" i="47"/>
  <c r="K27" i="47" s="1"/>
  <c r="I31" i="47"/>
  <c r="K31" i="47" s="1"/>
  <c r="I35" i="47"/>
  <c r="K35" i="47" s="1"/>
  <c r="I39" i="47"/>
  <c r="K39" i="47" s="1"/>
  <c r="I43" i="47"/>
  <c r="K43" i="47" s="1"/>
  <c r="I47" i="47"/>
  <c r="K47" i="47" s="1"/>
  <c r="I51" i="47"/>
  <c r="K51" i="47" s="1"/>
  <c r="I55" i="47"/>
  <c r="K55" i="47" s="1"/>
  <c r="I8" i="48"/>
  <c r="K8" i="48" s="1"/>
  <c r="I12" i="48"/>
  <c r="K12" i="48" s="1"/>
  <c r="I16" i="48"/>
  <c r="K16" i="48" s="1"/>
  <c r="I20" i="48"/>
  <c r="K20" i="48" s="1"/>
  <c r="I24" i="48"/>
  <c r="K24" i="48" s="1"/>
  <c r="I28" i="48"/>
  <c r="K28" i="48" s="1"/>
  <c r="I32" i="48"/>
  <c r="K32" i="48" s="1"/>
  <c r="I36" i="48"/>
  <c r="K36" i="48" s="1"/>
  <c r="I40" i="48"/>
  <c r="K40" i="48" s="1"/>
  <c r="I44" i="48"/>
  <c r="K44" i="48" s="1"/>
  <c r="I48" i="48"/>
  <c r="K48" i="48" s="1"/>
  <c r="I52" i="48"/>
  <c r="K52" i="48" s="1"/>
  <c r="I56" i="48"/>
  <c r="K56" i="48" s="1"/>
  <c r="I9" i="49"/>
  <c r="K9" i="49" s="1"/>
  <c r="I13" i="49"/>
  <c r="K13" i="49" s="1"/>
  <c r="I17" i="49"/>
  <c r="K17" i="49" s="1"/>
  <c r="I21" i="49"/>
  <c r="K21" i="49" s="1"/>
  <c r="I25" i="49"/>
  <c r="K25" i="49" s="1"/>
  <c r="I29" i="49"/>
  <c r="K29" i="49" s="1"/>
  <c r="I33" i="49"/>
  <c r="K33" i="49" s="1"/>
  <c r="I37" i="49"/>
  <c r="K37" i="49" s="1"/>
  <c r="I41" i="49"/>
  <c r="K41" i="49" s="1"/>
  <c r="I45" i="49"/>
  <c r="K45" i="49" s="1"/>
  <c r="I49" i="49"/>
  <c r="K49" i="49" s="1"/>
  <c r="I53" i="49"/>
  <c r="K53" i="49" s="1"/>
  <c r="I57" i="49"/>
  <c r="K57" i="49" s="1"/>
  <c r="I11" i="46"/>
  <c r="K11" i="46" s="1"/>
  <c r="I15" i="46"/>
  <c r="K15" i="46" s="1"/>
  <c r="I19" i="46"/>
  <c r="K19" i="46" s="1"/>
  <c r="I23" i="46"/>
  <c r="K23" i="46" s="1"/>
  <c r="I27" i="46"/>
  <c r="K27" i="46" s="1"/>
  <c r="I31" i="46"/>
  <c r="K31" i="46" s="1"/>
  <c r="I35" i="46"/>
  <c r="K35" i="46" s="1"/>
  <c r="I39" i="46"/>
  <c r="K39" i="46" s="1"/>
  <c r="I43" i="46"/>
  <c r="K43" i="46" s="1"/>
  <c r="I47" i="46"/>
  <c r="K47" i="46" s="1"/>
  <c r="I51" i="46"/>
  <c r="K51" i="46" s="1"/>
  <c r="I55" i="46"/>
  <c r="K55" i="46" s="1"/>
  <c r="I8" i="47"/>
  <c r="K8" i="47" s="1"/>
  <c r="I12" i="47"/>
  <c r="K12" i="47" s="1"/>
  <c r="I16" i="47"/>
  <c r="K16" i="47" s="1"/>
  <c r="I20" i="47"/>
  <c r="K20" i="47" s="1"/>
  <c r="I24" i="47"/>
  <c r="K24" i="47" s="1"/>
  <c r="I28" i="47"/>
  <c r="K28" i="47" s="1"/>
  <c r="I32" i="47"/>
  <c r="K32" i="47" s="1"/>
  <c r="I36" i="47"/>
  <c r="K36" i="47" s="1"/>
  <c r="I40" i="47"/>
  <c r="K40" i="47" s="1"/>
  <c r="I44" i="47"/>
  <c r="K44" i="47" s="1"/>
  <c r="I48" i="47"/>
  <c r="K48" i="47" s="1"/>
  <c r="I52" i="47"/>
  <c r="K52" i="47" s="1"/>
  <c r="I56" i="47"/>
  <c r="K56" i="47" s="1"/>
  <c r="I9" i="48"/>
  <c r="K9" i="48" s="1"/>
  <c r="I13" i="48"/>
  <c r="K13" i="48" s="1"/>
  <c r="I17" i="48"/>
  <c r="K17" i="48" s="1"/>
  <c r="I21" i="48"/>
  <c r="K21" i="48" s="1"/>
  <c r="I25" i="48"/>
  <c r="K25" i="48" s="1"/>
  <c r="I29" i="48"/>
  <c r="K29" i="48" s="1"/>
  <c r="I33" i="48"/>
  <c r="K33" i="48" s="1"/>
  <c r="I37" i="48"/>
  <c r="K37" i="48" s="1"/>
  <c r="I41" i="48"/>
  <c r="K41" i="48" s="1"/>
  <c r="I45" i="48"/>
  <c r="K45" i="48" s="1"/>
  <c r="I49" i="48"/>
  <c r="K49" i="48" s="1"/>
  <c r="I53" i="48"/>
  <c r="K53" i="48" s="1"/>
  <c r="I10" i="49"/>
  <c r="K10" i="49" s="1"/>
  <c r="I14" i="49"/>
  <c r="K14" i="49" s="1"/>
  <c r="I18" i="49"/>
  <c r="K18" i="49" s="1"/>
  <c r="I22" i="49"/>
  <c r="K22" i="49" s="1"/>
  <c r="I26" i="49"/>
  <c r="K26" i="49" s="1"/>
  <c r="I30" i="49"/>
  <c r="K30" i="49" s="1"/>
  <c r="I34" i="49"/>
  <c r="K34" i="49" s="1"/>
  <c r="I38" i="49"/>
  <c r="K38" i="49" s="1"/>
  <c r="I42" i="49"/>
  <c r="K42" i="49" s="1"/>
  <c r="I46" i="49"/>
  <c r="K46" i="49" s="1"/>
  <c r="I50" i="49"/>
  <c r="K50" i="49" s="1"/>
  <c r="I54" i="49"/>
  <c r="K54" i="49" s="1"/>
  <c r="I58" i="49"/>
  <c r="K58" i="49" s="1"/>
  <c r="I14" i="44"/>
  <c r="K14" i="44" s="1"/>
  <c r="I22" i="44"/>
  <c r="K22" i="44" s="1"/>
  <c r="I26" i="44"/>
  <c r="K26" i="44" s="1"/>
  <c r="I34" i="44"/>
  <c r="K34" i="44" s="1"/>
  <c r="I38" i="44"/>
  <c r="K38" i="44" s="1"/>
  <c r="I50" i="44"/>
  <c r="K50" i="44" s="1"/>
  <c r="I11" i="45"/>
  <c r="K11" i="45" s="1"/>
  <c r="I15" i="45"/>
  <c r="K15" i="45" s="1"/>
  <c r="I19" i="45"/>
  <c r="K19" i="45" s="1"/>
  <c r="I31" i="45"/>
  <c r="K31" i="45" s="1"/>
  <c r="I39" i="45"/>
  <c r="K39" i="45" s="1"/>
  <c r="I43" i="45"/>
  <c r="K43" i="45" s="1"/>
  <c r="I47" i="45"/>
  <c r="K47" i="45" s="1"/>
  <c r="I51" i="45"/>
  <c r="K51" i="45" s="1"/>
  <c r="I55" i="45"/>
  <c r="K55" i="45" s="1"/>
  <c r="J10" i="44"/>
  <c r="J18" i="44"/>
  <c r="J30" i="44"/>
  <c r="J42" i="44"/>
  <c r="J46" i="44"/>
  <c r="J54" i="44"/>
  <c r="J58" i="44"/>
  <c r="J11" i="45"/>
  <c r="J23" i="45"/>
  <c r="J27" i="45"/>
  <c r="J35" i="45"/>
  <c r="I15" i="44"/>
  <c r="K15" i="44" s="1"/>
  <c r="I19" i="44"/>
  <c r="K19" i="44" s="1"/>
  <c r="I23" i="44"/>
  <c r="K23" i="44" s="1"/>
  <c r="I27" i="44"/>
  <c r="K27" i="44" s="1"/>
  <c r="I31" i="44"/>
  <c r="K31" i="44" s="1"/>
  <c r="I35" i="44"/>
  <c r="K35" i="44" s="1"/>
  <c r="I39" i="44"/>
  <c r="K39" i="44" s="1"/>
  <c r="I43" i="44"/>
  <c r="K43" i="44" s="1"/>
  <c r="I47" i="44"/>
  <c r="K47" i="44" s="1"/>
  <c r="I51" i="44"/>
  <c r="K51" i="44" s="1"/>
  <c r="I55" i="44"/>
  <c r="K55" i="44" s="1"/>
  <c r="I8" i="45"/>
  <c r="K8" i="45" s="1"/>
  <c r="I12" i="45"/>
  <c r="K12" i="45" s="1"/>
  <c r="I16" i="45"/>
  <c r="K16" i="45" s="1"/>
  <c r="I20" i="45"/>
  <c r="K20" i="45" s="1"/>
  <c r="I24" i="45"/>
  <c r="K24" i="45" s="1"/>
  <c r="I28" i="45"/>
  <c r="K28" i="45" s="1"/>
  <c r="I32" i="45"/>
  <c r="K32" i="45" s="1"/>
  <c r="I36" i="45"/>
  <c r="K36" i="45" s="1"/>
  <c r="I40" i="45"/>
  <c r="K40" i="45" s="1"/>
  <c r="I44" i="45"/>
  <c r="K44" i="45" s="1"/>
  <c r="I48" i="45"/>
  <c r="K48" i="45" s="1"/>
  <c r="I52" i="45"/>
  <c r="K52" i="45" s="1"/>
  <c r="I56" i="45"/>
  <c r="K56" i="45" s="1"/>
  <c r="I11" i="44"/>
  <c r="K11" i="44" s="1"/>
  <c r="J8" i="45"/>
  <c r="I10" i="44"/>
  <c r="K10" i="44" s="1"/>
  <c r="J8" i="44"/>
  <c r="J16" i="44"/>
  <c r="J20" i="44"/>
  <c r="J24" i="44"/>
  <c r="J32" i="44"/>
  <c r="J36" i="44"/>
  <c r="J52" i="44"/>
  <c r="J56" i="44"/>
  <c r="J13" i="45"/>
  <c r="J17" i="45"/>
  <c r="J21" i="45"/>
  <c r="J25" i="45"/>
  <c r="J29" i="45"/>
  <c r="J33" i="45"/>
  <c r="J37" i="45"/>
  <c r="J41" i="45"/>
  <c r="J45" i="45"/>
  <c r="J49" i="45"/>
  <c r="J53" i="45"/>
  <c r="J12" i="44"/>
  <c r="J28" i="44"/>
  <c r="J44" i="44"/>
  <c r="I9" i="44"/>
  <c r="K9" i="44" s="1"/>
  <c r="I13" i="44"/>
  <c r="K13" i="44" s="1"/>
  <c r="I17" i="44"/>
  <c r="K17" i="44" s="1"/>
  <c r="I21" i="44"/>
  <c r="K21" i="44" s="1"/>
  <c r="I25" i="44"/>
  <c r="K25" i="44" s="1"/>
  <c r="I29" i="44"/>
  <c r="K29" i="44" s="1"/>
  <c r="I33" i="44"/>
  <c r="K33" i="44" s="1"/>
  <c r="I37" i="44"/>
  <c r="K37" i="44" s="1"/>
  <c r="I41" i="44"/>
  <c r="K41" i="44" s="1"/>
  <c r="I45" i="44"/>
  <c r="K45" i="44" s="1"/>
  <c r="I49" i="44"/>
  <c r="K49" i="44" s="1"/>
  <c r="I53" i="44"/>
  <c r="K53" i="44" s="1"/>
  <c r="I57" i="44"/>
  <c r="K57" i="44" s="1"/>
  <c r="I10" i="45"/>
  <c r="K10" i="45" s="1"/>
  <c r="I14" i="45"/>
  <c r="K14" i="45" s="1"/>
  <c r="I18" i="45"/>
  <c r="K18" i="45" s="1"/>
  <c r="I22" i="45"/>
  <c r="K22" i="45" s="1"/>
  <c r="I26" i="45"/>
  <c r="K26" i="45" s="1"/>
  <c r="I30" i="45"/>
  <c r="K30" i="45" s="1"/>
  <c r="I34" i="45"/>
  <c r="K34" i="45" s="1"/>
  <c r="I38" i="45"/>
  <c r="K38" i="45" s="1"/>
  <c r="I42" i="45"/>
  <c r="K42" i="45" s="1"/>
  <c r="I46" i="45"/>
  <c r="K46" i="45" s="1"/>
  <c r="I50" i="45"/>
  <c r="K50" i="45" s="1"/>
  <c r="I54" i="45"/>
  <c r="K54" i="45" s="1"/>
  <c r="I58" i="45"/>
  <c r="K58" i="45" s="1"/>
  <c r="J40" i="44"/>
  <c r="J23" i="43"/>
  <c r="I43" i="43"/>
  <c r="K43" i="43" s="1"/>
  <c r="J11" i="43"/>
  <c r="J51" i="43"/>
  <c r="I8" i="43"/>
  <c r="K8" i="43" s="1"/>
  <c r="I12" i="43"/>
  <c r="K12" i="43" s="1"/>
  <c r="I16" i="43"/>
  <c r="K16" i="43" s="1"/>
  <c r="I20" i="43"/>
  <c r="K20" i="43" s="1"/>
  <c r="I24" i="43"/>
  <c r="K24" i="43" s="1"/>
  <c r="I28" i="43"/>
  <c r="K28" i="43" s="1"/>
  <c r="I32" i="43"/>
  <c r="K32" i="43" s="1"/>
  <c r="I36" i="43"/>
  <c r="K36" i="43" s="1"/>
  <c r="I40" i="43"/>
  <c r="K40" i="43" s="1"/>
  <c r="I44" i="43"/>
  <c r="K44" i="43" s="1"/>
  <c r="I48" i="43"/>
  <c r="K48" i="43" s="1"/>
  <c r="I52" i="43"/>
  <c r="K52" i="43" s="1"/>
  <c r="I56" i="43"/>
  <c r="K56" i="43" s="1"/>
  <c r="J8" i="43"/>
  <c r="I39" i="43"/>
  <c r="K39" i="43" s="1"/>
  <c r="J19" i="43"/>
  <c r="J35" i="43"/>
  <c r="I9" i="43"/>
  <c r="K9" i="43" s="1"/>
  <c r="I13" i="43"/>
  <c r="K13" i="43" s="1"/>
  <c r="I17" i="43"/>
  <c r="K17" i="43" s="1"/>
  <c r="I21" i="43"/>
  <c r="K21" i="43" s="1"/>
  <c r="I25" i="43"/>
  <c r="K25" i="43" s="1"/>
  <c r="I29" i="43"/>
  <c r="K29" i="43" s="1"/>
  <c r="I33" i="43"/>
  <c r="K33" i="43" s="1"/>
  <c r="I37" i="43"/>
  <c r="K37" i="43" s="1"/>
  <c r="I41" i="43"/>
  <c r="K41" i="43" s="1"/>
  <c r="I45" i="43"/>
  <c r="K45" i="43" s="1"/>
  <c r="I49" i="43"/>
  <c r="K49" i="43" s="1"/>
  <c r="I53" i="43"/>
  <c r="K53" i="43" s="1"/>
  <c r="I57" i="43"/>
  <c r="K57" i="43" s="1"/>
  <c r="I31" i="43"/>
  <c r="K31" i="43" s="1"/>
  <c r="J47" i="43"/>
  <c r="I15" i="43"/>
  <c r="K15" i="43" s="1"/>
  <c r="I27" i="43"/>
  <c r="K27" i="43" s="1"/>
  <c r="J14" i="43"/>
  <c r="J18" i="43"/>
  <c r="J26" i="43"/>
  <c r="J30" i="43"/>
  <c r="J34" i="43"/>
  <c r="J38" i="43"/>
  <c r="J42" i="43"/>
  <c r="J46" i="43"/>
  <c r="J54" i="43"/>
  <c r="J58" i="43"/>
  <c r="I55" i="43"/>
  <c r="K55" i="43" s="1"/>
  <c r="J10" i="43"/>
  <c r="J22" i="43"/>
  <c r="I9" i="15"/>
  <c r="K9" i="15" s="1"/>
  <c r="I10" i="15"/>
  <c r="K10" i="15" s="1"/>
  <c r="I11" i="15"/>
  <c r="K11" i="15" s="1"/>
  <c r="I12" i="15"/>
  <c r="K12" i="15" s="1"/>
  <c r="I13" i="15"/>
  <c r="K13" i="15" s="1"/>
  <c r="I14" i="15"/>
  <c r="K14" i="15" s="1"/>
  <c r="I15" i="15"/>
  <c r="K15" i="15" s="1"/>
  <c r="I16" i="15"/>
  <c r="K16" i="15" s="1"/>
  <c r="I17" i="15"/>
  <c r="K17" i="15" s="1"/>
  <c r="I18" i="15"/>
  <c r="K18" i="15" s="1"/>
  <c r="I19" i="15"/>
  <c r="K19" i="15" s="1"/>
  <c r="I20" i="15"/>
  <c r="K20" i="15" s="1"/>
  <c r="I21" i="15"/>
  <c r="K21" i="15" s="1"/>
  <c r="I22" i="15"/>
  <c r="K22" i="15" s="1"/>
  <c r="I23" i="15"/>
  <c r="K23" i="15" s="1"/>
  <c r="I24" i="15"/>
  <c r="K24" i="15" s="1"/>
  <c r="I25" i="15"/>
  <c r="K25" i="15" s="1"/>
  <c r="I26" i="15"/>
  <c r="K26" i="15" s="1"/>
  <c r="I27" i="15"/>
  <c r="K27" i="15" s="1"/>
  <c r="I28" i="15"/>
  <c r="K28" i="15" s="1"/>
  <c r="I29" i="15"/>
  <c r="K29" i="15" s="1"/>
  <c r="I30" i="15"/>
  <c r="K30" i="15" s="1"/>
  <c r="I31" i="15"/>
  <c r="K31" i="15" s="1"/>
  <c r="I32" i="15"/>
  <c r="K32" i="15" s="1"/>
  <c r="I33" i="15"/>
  <c r="K33" i="15" s="1"/>
  <c r="I34" i="15"/>
  <c r="K34" i="15" s="1"/>
  <c r="I35" i="15"/>
  <c r="K35" i="15" s="1"/>
  <c r="I36" i="15"/>
  <c r="K36" i="15" s="1"/>
  <c r="I37" i="15"/>
  <c r="K37" i="15" s="1"/>
  <c r="I38" i="15"/>
  <c r="K38" i="15" s="1"/>
  <c r="I39" i="15"/>
  <c r="K39" i="15" s="1"/>
  <c r="I40" i="15"/>
  <c r="K40" i="15" s="1"/>
  <c r="I41" i="15"/>
  <c r="K41" i="15" s="1"/>
  <c r="I42" i="15"/>
  <c r="K42" i="15" s="1"/>
  <c r="I43" i="15"/>
  <c r="K43" i="15" s="1"/>
  <c r="I44" i="15"/>
  <c r="K44" i="15" s="1"/>
  <c r="I45" i="15"/>
  <c r="K45" i="15" s="1"/>
  <c r="I46" i="15"/>
  <c r="K46" i="15" s="1"/>
  <c r="I47" i="15"/>
  <c r="K47" i="15" s="1"/>
  <c r="I48" i="15"/>
  <c r="K48" i="15" s="1"/>
  <c r="I49" i="15"/>
  <c r="K49" i="15" s="1"/>
  <c r="I50" i="15"/>
  <c r="K50" i="15" s="1"/>
  <c r="I51" i="15"/>
  <c r="K51" i="15" s="1"/>
  <c r="I52" i="15"/>
  <c r="K52" i="15" s="1"/>
  <c r="I53" i="15"/>
  <c r="K53" i="15" s="1"/>
  <c r="I54" i="15"/>
  <c r="K54" i="15" s="1"/>
  <c r="K40" i="55" l="1"/>
  <c r="N40" i="55"/>
  <c r="K13" i="56"/>
  <c r="N13" i="56"/>
  <c r="K10" i="51"/>
  <c r="N10" i="51"/>
  <c r="K29" i="54"/>
  <c r="N29" i="54"/>
  <c r="K21" i="53"/>
  <c r="N21" i="53"/>
  <c r="N8" i="52"/>
  <c r="K48" i="52"/>
  <c r="K32" i="54"/>
  <c r="N32" i="54"/>
  <c r="K40" i="56"/>
  <c r="N40" i="56"/>
  <c r="K51" i="54"/>
  <c r="N51" i="54"/>
  <c r="K57" i="54"/>
  <c r="N57" i="54"/>
  <c r="K38" i="56"/>
  <c r="N38" i="56"/>
  <c r="K37" i="56"/>
  <c r="N37" i="56"/>
  <c r="K28" i="54"/>
  <c r="N28" i="54"/>
  <c r="K9" i="56"/>
  <c r="N9" i="56"/>
  <c r="K55" i="52"/>
  <c r="N42" i="52"/>
  <c r="K29" i="51"/>
  <c r="N29" i="51"/>
  <c r="K11" i="55"/>
  <c r="N11" i="55"/>
  <c r="K43" i="53"/>
  <c r="N43" i="53"/>
  <c r="K8" i="56"/>
  <c r="N8" i="56"/>
  <c r="K58" i="54"/>
  <c r="N58" i="54"/>
  <c r="K21" i="54"/>
  <c r="N21" i="54"/>
  <c r="K17" i="53"/>
  <c r="N17" i="53"/>
  <c r="K55" i="51"/>
  <c r="N55" i="51"/>
  <c r="K47" i="55"/>
  <c r="N47" i="55"/>
  <c r="K31" i="56"/>
  <c r="N31" i="56"/>
  <c r="K45" i="54"/>
  <c r="N45" i="54"/>
  <c r="K13" i="55"/>
  <c r="N13" i="55"/>
  <c r="K56" i="54"/>
  <c r="N56" i="54"/>
  <c r="K32" i="52"/>
  <c r="N38" i="52"/>
  <c r="K25" i="51"/>
  <c r="N25" i="51"/>
  <c r="K55" i="54"/>
  <c r="N55" i="54"/>
  <c r="K50" i="55"/>
  <c r="N50" i="55"/>
  <c r="K10" i="54"/>
  <c r="N10" i="54"/>
  <c r="K9" i="54"/>
  <c r="N9" i="54"/>
  <c r="K48" i="51"/>
  <c r="N48" i="51"/>
  <c r="K53" i="54"/>
  <c r="N53" i="54"/>
  <c r="K25" i="54"/>
  <c r="N25" i="54"/>
  <c r="K20" i="56"/>
  <c r="N20" i="56"/>
  <c r="K10" i="56"/>
  <c r="N10" i="56"/>
  <c r="K36" i="54"/>
  <c r="N36" i="54"/>
  <c r="K26" i="52"/>
  <c r="N34" i="52"/>
  <c r="K21" i="51"/>
  <c r="N21" i="51"/>
  <c r="K49" i="54"/>
  <c r="N49" i="54"/>
  <c r="K41" i="55"/>
  <c r="N41" i="55"/>
  <c r="K49" i="53"/>
  <c r="N49" i="53"/>
  <c r="K58" i="51"/>
  <c r="N58" i="51"/>
  <c r="K44" i="51"/>
  <c r="N44" i="51"/>
  <c r="K13" i="53"/>
  <c r="N13" i="53"/>
  <c r="K51" i="51"/>
  <c r="N51" i="51"/>
  <c r="K39" i="55"/>
  <c r="N39" i="55"/>
  <c r="K52" i="53"/>
  <c r="N52" i="53"/>
  <c r="K24" i="55"/>
  <c r="N24" i="55"/>
  <c r="K47" i="53"/>
  <c r="N47" i="53"/>
  <c r="K51" i="56"/>
  <c r="N51" i="56"/>
  <c r="K9" i="53"/>
  <c r="N9" i="53"/>
  <c r="K47" i="51"/>
  <c r="N47" i="51"/>
  <c r="K31" i="55"/>
  <c r="N31" i="55"/>
  <c r="K21" i="56"/>
  <c r="N21" i="56"/>
  <c r="K26" i="54"/>
  <c r="N26" i="54"/>
  <c r="K57" i="56"/>
  <c r="N57" i="56"/>
  <c r="K44" i="54"/>
  <c r="N44" i="54"/>
  <c r="K11" i="56"/>
  <c r="N11" i="56"/>
  <c r="K24" i="54"/>
  <c r="N24" i="54"/>
  <c r="K36" i="52"/>
  <c r="N30" i="52"/>
  <c r="K17" i="51"/>
  <c r="N17" i="51"/>
  <c r="K54" i="56"/>
  <c r="N54" i="56"/>
  <c r="K42" i="55"/>
  <c r="N42" i="55"/>
  <c r="K32" i="53"/>
  <c r="N32" i="53"/>
  <c r="K48" i="53"/>
  <c r="N48" i="53"/>
  <c r="K36" i="51"/>
  <c r="N36" i="51"/>
  <c r="K55" i="56"/>
  <c r="N55" i="56"/>
  <c r="K43" i="51"/>
  <c r="N43" i="51"/>
  <c r="K23" i="55"/>
  <c r="N23" i="55"/>
  <c r="K46" i="53"/>
  <c r="N46" i="53"/>
  <c r="K50" i="54"/>
  <c r="N50" i="54"/>
  <c r="K44" i="53"/>
  <c r="N44" i="53"/>
  <c r="K57" i="52"/>
  <c r="N26" i="52"/>
  <c r="K13" i="51"/>
  <c r="N13" i="51"/>
  <c r="K12" i="51"/>
  <c r="N12" i="51"/>
  <c r="K21" i="55"/>
  <c r="N21" i="55"/>
  <c r="K33" i="51"/>
  <c r="N33" i="51"/>
  <c r="K19" i="55"/>
  <c r="N19" i="55"/>
  <c r="K19" i="52"/>
  <c r="N56" i="52"/>
  <c r="K19" i="54"/>
  <c r="N19" i="54"/>
  <c r="K39" i="53"/>
  <c r="N39" i="53"/>
  <c r="K30" i="54"/>
  <c r="N30" i="54"/>
  <c r="K16" i="55"/>
  <c r="N16" i="55"/>
  <c r="K36" i="53"/>
  <c r="N36" i="53"/>
  <c r="K41" i="56"/>
  <c r="N41" i="56"/>
  <c r="K13" i="52"/>
  <c r="N52" i="52"/>
  <c r="K39" i="51"/>
  <c r="N39" i="51"/>
  <c r="K15" i="55"/>
  <c r="N15" i="55"/>
  <c r="K35" i="56"/>
  <c r="N35" i="56"/>
  <c r="K46" i="55"/>
  <c r="N46" i="55"/>
  <c r="K13" i="54"/>
  <c r="N13" i="54"/>
  <c r="K30" i="56"/>
  <c r="N30" i="56"/>
  <c r="K52" i="55"/>
  <c r="N52" i="55"/>
  <c r="K43" i="54"/>
  <c r="N43" i="54"/>
  <c r="K23" i="52"/>
  <c r="N22" i="52"/>
  <c r="K9" i="51"/>
  <c r="N9" i="51"/>
  <c r="K23" i="54"/>
  <c r="N23" i="54"/>
  <c r="K36" i="56"/>
  <c r="N36" i="56"/>
  <c r="K34" i="55"/>
  <c r="N34" i="55"/>
  <c r="K31" i="53"/>
  <c r="N31" i="53"/>
  <c r="K16" i="51"/>
  <c r="N16" i="51"/>
  <c r="K46" i="54"/>
  <c r="N46" i="54"/>
  <c r="K37" i="54"/>
  <c r="N37" i="54"/>
  <c r="K38" i="53"/>
  <c r="N38" i="53"/>
  <c r="K47" i="52"/>
  <c r="N18" i="52"/>
  <c r="K17" i="54"/>
  <c r="N17" i="54"/>
  <c r="K27" i="56"/>
  <c r="N27" i="56"/>
  <c r="K56" i="51"/>
  <c r="N56" i="51"/>
  <c r="K12" i="55"/>
  <c r="N12" i="55"/>
  <c r="K61" i="52"/>
  <c r="N48" i="52"/>
  <c r="K35" i="51"/>
  <c r="N35" i="51"/>
  <c r="K43" i="56"/>
  <c r="N43" i="56"/>
  <c r="K25" i="56"/>
  <c r="N25" i="56"/>
  <c r="K14" i="56"/>
  <c r="N14" i="56"/>
  <c r="K42" i="52"/>
  <c r="N44" i="52"/>
  <c r="K31" i="51"/>
  <c r="N31" i="51"/>
  <c r="K39" i="54"/>
  <c r="N39" i="54"/>
  <c r="K38" i="55"/>
  <c r="N38" i="55"/>
  <c r="K40" i="53"/>
  <c r="N40" i="53"/>
  <c r="K54" i="55"/>
  <c r="N54" i="55"/>
  <c r="K12" i="54"/>
  <c r="N12" i="54"/>
  <c r="K44" i="55"/>
  <c r="N44" i="55"/>
  <c r="K33" i="53"/>
  <c r="N33" i="53"/>
  <c r="K39" i="52"/>
  <c r="N14" i="52"/>
  <c r="K45" i="56"/>
  <c r="N45" i="56"/>
  <c r="K26" i="55"/>
  <c r="N26" i="55"/>
  <c r="K49" i="55"/>
  <c r="N49" i="55"/>
  <c r="K34" i="51"/>
  <c r="N34" i="51"/>
  <c r="K25" i="53"/>
  <c r="N25" i="53"/>
  <c r="K41" i="54"/>
  <c r="N41" i="54"/>
  <c r="K28" i="51"/>
  <c r="N28" i="51"/>
  <c r="K42" i="56"/>
  <c r="N42" i="56"/>
  <c r="K12" i="52"/>
  <c r="N40" i="52"/>
  <c r="K27" i="51"/>
  <c r="N27" i="51"/>
  <c r="K33" i="54"/>
  <c r="N33" i="54"/>
  <c r="K18" i="54"/>
  <c r="N18" i="54"/>
  <c r="K23" i="53"/>
  <c r="N23" i="53"/>
  <c r="K49" i="52"/>
  <c r="N11" i="52"/>
  <c r="K55" i="53"/>
  <c r="N55" i="53"/>
  <c r="K17" i="56"/>
  <c r="N17" i="56"/>
  <c r="K54" i="51"/>
  <c r="N54" i="51"/>
  <c r="K32" i="55"/>
  <c r="N32" i="55"/>
  <c r="K40" i="54"/>
  <c r="N40" i="54"/>
  <c r="K33" i="56"/>
  <c r="N33" i="56"/>
  <c r="K52" i="54"/>
  <c r="N52" i="54"/>
  <c r="K18" i="52"/>
  <c r="N36" i="52"/>
  <c r="K23" i="51"/>
  <c r="N23" i="51"/>
  <c r="K30" i="55"/>
  <c r="N30" i="55"/>
  <c r="K25" i="55"/>
  <c r="N25" i="55"/>
  <c r="K45" i="55"/>
  <c r="N45" i="55"/>
  <c r="K51" i="53"/>
  <c r="N51" i="53"/>
  <c r="K36" i="55"/>
  <c r="N36" i="55"/>
  <c r="K11" i="54"/>
  <c r="N11" i="54"/>
  <c r="K19" i="53"/>
  <c r="N19" i="53"/>
  <c r="K57" i="51"/>
  <c r="N57" i="51"/>
  <c r="K18" i="56"/>
  <c r="N18" i="56"/>
  <c r="K18" i="55"/>
  <c r="N18" i="55"/>
  <c r="K33" i="55"/>
  <c r="N33" i="55"/>
  <c r="K32" i="51"/>
  <c r="N32" i="51"/>
  <c r="K39" i="56"/>
  <c r="N39" i="56"/>
  <c r="K56" i="53"/>
  <c r="N56" i="53"/>
  <c r="K15" i="53"/>
  <c r="N15" i="53"/>
  <c r="K53" i="51"/>
  <c r="N53" i="51"/>
  <c r="K27" i="53"/>
  <c r="N27" i="53"/>
  <c r="K20" i="51"/>
  <c r="N20" i="51"/>
  <c r="K46" i="51"/>
  <c r="N46" i="51"/>
  <c r="K24" i="56"/>
  <c r="N24" i="56"/>
  <c r="K40" i="52"/>
  <c r="N32" i="52"/>
  <c r="K19" i="51"/>
  <c r="N19" i="51"/>
  <c r="K50" i="56"/>
  <c r="N50" i="56"/>
  <c r="K14" i="54"/>
  <c r="N14" i="54"/>
  <c r="K57" i="55"/>
  <c r="N57" i="55"/>
  <c r="K15" i="56"/>
  <c r="N15" i="56"/>
  <c r="K20" i="54"/>
  <c r="N20" i="54"/>
  <c r="K24" i="52"/>
  <c r="N28" i="52"/>
  <c r="K15" i="51"/>
  <c r="N15" i="51"/>
  <c r="K58" i="53"/>
  <c r="N58" i="53"/>
  <c r="K49" i="56"/>
  <c r="N49" i="56"/>
  <c r="K22" i="55"/>
  <c r="N22" i="55"/>
  <c r="K37" i="55"/>
  <c r="N37" i="55"/>
  <c r="K26" i="51"/>
  <c r="N26" i="51"/>
  <c r="K28" i="55"/>
  <c r="N28" i="55"/>
  <c r="K46" i="56"/>
  <c r="N46" i="56"/>
  <c r="K11" i="53"/>
  <c r="N11" i="53"/>
  <c r="K49" i="51"/>
  <c r="N49" i="51"/>
  <c r="K51" i="55"/>
  <c r="N51" i="55"/>
  <c r="K48" i="54"/>
  <c r="N48" i="54"/>
  <c r="K10" i="55"/>
  <c r="N10" i="55"/>
  <c r="K9" i="55"/>
  <c r="N9" i="55"/>
  <c r="K34" i="56"/>
  <c r="N34" i="56"/>
  <c r="K52" i="51"/>
  <c r="N52" i="51"/>
  <c r="K55" i="55"/>
  <c r="N55" i="55"/>
  <c r="K11" i="51"/>
  <c r="N11" i="51"/>
  <c r="K41" i="53"/>
  <c r="N41" i="53"/>
  <c r="K22" i="51"/>
  <c r="N22" i="51"/>
  <c r="K29" i="56"/>
  <c r="N29" i="56"/>
  <c r="K50" i="53"/>
  <c r="N50" i="53"/>
  <c r="K54" i="52"/>
  <c r="N58" i="52"/>
  <c r="K45" i="51"/>
  <c r="N45" i="51"/>
  <c r="K43" i="55"/>
  <c r="N43" i="55"/>
  <c r="K53" i="56"/>
  <c r="N53" i="56"/>
  <c r="K50" i="51"/>
  <c r="N50" i="51"/>
  <c r="K15" i="52"/>
  <c r="N12" i="52"/>
  <c r="K34" i="52"/>
  <c r="N46" i="52"/>
  <c r="K8" i="54"/>
  <c r="N8" i="54"/>
  <c r="K21" i="52"/>
  <c r="N25" i="52"/>
  <c r="K32" i="56"/>
  <c r="N32" i="56"/>
  <c r="K48" i="55"/>
  <c r="N48" i="55"/>
  <c r="K56" i="55"/>
  <c r="N56" i="55"/>
  <c r="K53" i="53"/>
  <c r="N53" i="53"/>
  <c r="K43" i="52"/>
  <c r="N20" i="52"/>
  <c r="K23" i="56"/>
  <c r="N23" i="56"/>
  <c r="K35" i="53"/>
  <c r="N35" i="53"/>
  <c r="K22" i="56"/>
  <c r="N22" i="56"/>
  <c r="K14" i="55"/>
  <c r="N14" i="55"/>
  <c r="K29" i="55"/>
  <c r="N29" i="55"/>
  <c r="K18" i="51"/>
  <c r="N18" i="51"/>
  <c r="K20" i="55"/>
  <c r="N20" i="55"/>
  <c r="K56" i="56"/>
  <c r="N56" i="56"/>
  <c r="K28" i="53"/>
  <c r="N28" i="53"/>
  <c r="K28" i="56"/>
  <c r="N28" i="56"/>
  <c r="K17" i="52"/>
  <c r="N54" i="52"/>
  <c r="K41" i="51"/>
  <c r="N41" i="51"/>
  <c r="K35" i="55"/>
  <c r="N35" i="55"/>
  <c r="K16" i="54"/>
  <c r="N16" i="54"/>
  <c r="K42" i="54"/>
  <c r="N42" i="54"/>
  <c r="K58" i="55"/>
  <c r="N58" i="55"/>
  <c r="K30" i="51"/>
  <c r="N30" i="51"/>
  <c r="K17" i="55"/>
  <c r="N17" i="55"/>
  <c r="K30" i="53"/>
  <c r="N30" i="53"/>
  <c r="K63" i="52"/>
  <c r="N16" i="52"/>
  <c r="K58" i="56"/>
  <c r="N58" i="56"/>
  <c r="K14" i="51"/>
  <c r="N14" i="51"/>
  <c r="K53" i="55"/>
  <c r="N53" i="55"/>
  <c r="K47" i="56"/>
  <c r="N47" i="56"/>
  <c r="K19" i="56"/>
  <c r="N19" i="56"/>
  <c r="K58" i="52"/>
  <c r="N50" i="52"/>
  <c r="K37" i="51"/>
  <c r="N37" i="51"/>
  <c r="K27" i="55"/>
  <c r="N27" i="55"/>
  <c r="K26" i="56"/>
  <c r="N26" i="56"/>
  <c r="K35" i="54"/>
  <c r="N35" i="54"/>
  <c r="K40" i="51"/>
  <c r="N40" i="51"/>
  <c r="K42" i="51"/>
  <c r="N42" i="51"/>
  <c r="G46" i="42"/>
  <c r="G45" i="42"/>
  <c r="G44" i="42"/>
  <c r="G43" i="42"/>
  <c r="G42" i="42"/>
  <c r="G41" i="42"/>
  <c r="G40" i="42"/>
  <c r="G39" i="42"/>
  <c r="G38" i="42"/>
  <c r="G37" i="42"/>
  <c r="G36" i="42"/>
  <c r="G35" i="42"/>
  <c r="G34" i="42"/>
  <c r="G33" i="42"/>
  <c r="G32" i="42"/>
  <c r="G31" i="42"/>
  <c r="G30" i="42"/>
  <c r="G29" i="42"/>
  <c r="G28" i="42"/>
  <c r="G27" i="42"/>
  <c r="G26" i="42"/>
  <c r="G25" i="42"/>
  <c r="G24" i="42"/>
  <c r="G23" i="42"/>
  <c r="G22" i="42"/>
  <c r="H22" i="42" s="1"/>
  <c r="J22" i="42" s="1"/>
  <c r="G21" i="42"/>
  <c r="G20" i="42"/>
  <c r="G19" i="42"/>
  <c r="G18" i="42"/>
  <c r="H18" i="42" s="1"/>
  <c r="J18" i="42" s="1"/>
  <c r="G17" i="42"/>
  <c r="G16" i="42"/>
  <c r="G15" i="42"/>
  <c r="G14" i="42"/>
  <c r="H14" i="42" s="1"/>
  <c r="J14" i="42" s="1"/>
  <c r="G13" i="42"/>
  <c r="G12" i="42"/>
  <c r="G11" i="42"/>
  <c r="G10" i="42"/>
  <c r="G9" i="42"/>
  <c r="G8" i="42"/>
  <c r="G46" i="41"/>
  <c r="G45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46" i="40"/>
  <c r="G45" i="40"/>
  <c r="I45" i="40" s="1"/>
  <c r="G44" i="40"/>
  <c r="G43" i="40"/>
  <c r="G42" i="40"/>
  <c r="G41" i="40"/>
  <c r="G40" i="40"/>
  <c r="G39" i="40"/>
  <c r="G38" i="40"/>
  <c r="G37" i="40"/>
  <c r="G36" i="40"/>
  <c r="G35" i="40"/>
  <c r="G34" i="40"/>
  <c r="G33" i="40"/>
  <c r="G32" i="40"/>
  <c r="G31" i="40"/>
  <c r="G30" i="40"/>
  <c r="G29" i="40"/>
  <c r="I29" i="40" s="1"/>
  <c r="G28" i="40"/>
  <c r="G27" i="40"/>
  <c r="G26" i="40"/>
  <c r="G25" i="40"/>
  <c r="G24" i="40"/>
  <c r="G23" i="40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46" i="39"/>
  <c r="G45" i="39"/>
  <c r="G44" i="39"/>
  <c r="H44" i="39" s="1"/>
  <c r="J44" i="39" s="1"/>
  <c r="G43" i="39"/>
  <c r="G42" i="39"/>
  <c r="G41" i="39"/>
  <c r="G40" i="39"/>
  <c r="G39" i="39"/>
  <c r="G38" i="39"/>
  <c r="H38" i="39" s="1"/>
  <c r="J38" i="39" s="1"/>
  <c r="G37" i="39"/>
  <c r="H37" i="39" s="1"/>
  <c r="J37" i="39" s="1"/>
  <c r="G36" i="39"/>
  <c r="G35" i="39"/>
  <c r="G34" i="39"/>
  <c r="H34" i="39" s="1"/>
  <c r="J34" i="39" s="1"/>
  <c r="G33" i="39"/>
  <c r="H33" i="39" s="1"/>
  <c r="J33" i="39" s="1"/>
  <c r="G32" i="39"/>
  <c r="G31" i="39"/>
  <c r="G30" i="39"/>
  <c r="H30" i="39" s="1"/>
  <c r="J30" i="39" s="1"/>
  <c r="G29" i="39"/>
  <c r="G28" i="39"/>
  <c r="G27" i="39"/>
  <c r="G26" i="39"/>
  <c r="H26" i="39" s="1"/>
  <c r="J26" i="39" s="1"/>
  <c r="G25" i="39"/>
  <c r="G24" i="39"/>
  <c r="G23" i="39"/>
  <c r="G22" i="39"/>
  <c r="H22" i="39" s="1"/>
  <c r="J22" i="39" s="1"/>
  <c r="G21" i="39"/>
  <c r="G20" i="39"/>
  <c r="G19" i="39"/>
  <c r="G18" i="39"/>
  <c r="H18" i="39" s="1"/>
  <c r="J18" i="39" s="1"/>
  <c r="G17" i="39"/>
  <c r="G16" i="39"/>
  <c r="G15" i="39"/>
  <c r="G14" i="39"/>
  <c r="H14" i="39" s="1"/>
  <c r="J14" i="39" s="1"/>
  <c r="G13" i="39"/>
  <c r="G12" i="39"/>
  <c r="G11" i="39"/>
  <c r="G10" i="39"/>
  <c r="H10" i="39" s="1"/>
  <c r="J10" i="39" s="1"/>
  <c r="G9" i="39"/>
  <c r="G8" i="39"/>
  <c r="G62" i="38"/>
  <c r="G61" i="38"/>
  <c r="G60" i="38"/>
  <c r="G59" i="38"/>
  <c r="G58" i="38"/>
  <c r="G57" i="38"/>
  <c r="G56" i="38"/>
  <c r="G55" i="38"/>
  <c r="G54" i="38"/>
  <c r="G53" i="38"/>
  <c r="G52" i="38"/>
  <c r="G51" i="38"/>
  <c r="G50" i="38"/>
  <c r="G49" i="38"/>
  <c r="G48" i="38"/>
  <c r="G47" i="38"/>
  <c r="G46" i="38"/>
  <c r="G45" i="38"/>
  <c r="G44" i="38"/>
  <c r="G43" i="38"/>
  <c r="G42" i="38"/>
  <c r="G41" i="38"/>
  <c r="G40" i="38"/>
  <c r="G39" i="38"/>
  <c r="G38" i="38"/>
  <c r="G37" i="38"/>
  <c r="G36" i="38"/>
  <c r="G35" i="38"/>
  <c r="G34" i="38"/>
  <c r="G33" i="38"/>
  <c r="G32" i="38"/>
  <c r="G31" i="38"/>
  <c r="G30" i="38"/>
  <c r="G29" i="38"/>
  <c r="G28" i="38"/>
  <c r="G27" i="38"/>
  <c r="G26" i="38"/>
  <c r="G25" i="38"/>
  <c r="G24" i="38"/>
  <c r="G23" i="38"/>
  <c r="G22" i="38"/>
  <c r="G21" i="38"/>
  <c r="G20" i="38"/>
  <c r="G19" i="38"/>
  <c r="G18" i="38"/>
  <c r="G17" i="38"/>
  <c r="G16" i="38"/>
  <c r="G15" i="38"/>
  <c r="G14" i="38"/>
  <c r="G13" i="38"/>
  <c r="G12" i="38"/>
  <c r="G11" i="38"/>
  <c r="G10" i="38"/>
  <c r="G9" i="38"/>
  <c r="G8" i="38"/>
  <c r="G8" i="36"/>
  <c r="G46" i="35"/>
  <c r="H46" i="35" s="1"/>
  <c r="J46" i="35" s="1"/>
  <c r="G45" i="35"/>
  <c r="G44" i="35"/>
  <c r="G43" i="35"/>
  <c r="G42" i="35"/>
  <c r="H42" i="35" s="1"/>
  <c r="J42" i="35" s="1"/>
  <c r="G41" i="35"/>
  <c r="G40" i="35"/>
  <c r="G39" i="35"/>
  <c r="G38" i="35"/>
  <c r="H38" i="35" s="1"/>
  <c r="J38" i="35" s="1"/>
  <c r="G37" i="35"/>
  <c r="G36" i="35"/>
  <c r="G35" i="35"/>
  <c r="G34" i="35"/>
  <c r="H34" i="35" s="1"/>
  <c r="J34" i="35" s="1"/>
  <c r="G33" i="35"/>
  <c r="G32" i="35"/>
  <c r="G31" i="35"/>
  <c r="G30" i="35"/>
  <c r="H30" i="35" s="1"/>
  <c r="J30" i="35" s="1"/>
  <c r="G29" i="35"/>
  <c r="G28" i="35"/>
  <c r="G27" i="35"/>
  <c r="G26" i="35"/>
  <c r="H26" i="35" s="1"/>
  <c r="J26" i="35" s="1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G9" i="35"/>
  <c r="G8" i="35"/>
  <c r="G46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I19" i="42" l="1"/>
  <c r="I35" i="42"/>
  <c r="I51" i="42"/>
  <c r="I56" i="42"/>
  <c r="I57" i="42"/>
  <c r="I27" i="42"/>
  <c r="I12" i="42"/>
  <c r="I29" i="42"/>
  <c r="I30" i="42"/>
  <c r="I47" i="42"/>
  <c r="I33" i="42"/>
  <c r="I20" i="42"/>
  <c r="I36" i="42"/>
  <c r="I52" i="42"/>
  <c r="I24" i="42"/>
  <c r="I41" i="42"/>
  <c r="I42" i="42"/>
  <c r="I43" i="42"/>
  <c r="I44" i="42"/>
  <c r="I14" i="42"/>
  <c r="I15" i="42"/>
  <c r="I32" i="42"/>
  <c r="I21" i="42"/>
  <c r="I37" i="42"/>
  <c r="I53" i="42"/>
  <c r="I8" i="42"/>
  <c r="I25" i="42"/>
  <c r="I10" i="42"/>
  <c r="I11" i="42"/>
  <c r="I28" i="42"/>
  <c r="I46" i="42"/>
  <c r="I48" i="42"/>
  <c r="I18" i="42"/>
  <c r="I50" i="42"/>
  <c r="I22" i="42"/>
  <c r="I38" i="42"/>
  <c r="I54" i="42"/>
  <c r="I40" i="42"/>
  <c r="I58" i="42"/>
  <c r="I13" i="42"/>
  <c r="I31" i="42"/>
  <c r="I17" i="42"/>
  <c r="I34" i="42"/>
  <c r="I23" i="42"/>
  <c r="I39" i="42"/>
  <c r="I55" i="42"/>
  <c r="I9" i="42"/>
  <c r="I26" i="42"/>
  <c r="I59" i="42"/>
  <c r="I45" i="42"/>
  <c r="I16" i="42"/>
  <c r="I49" i="42"/>
  <c r="I22" i="41"/>
  <c r="I38" i="41"/>
  <c r="I23" i="41"/>
  <c r="I41" i="41"/>
  <c r="I40" i="41"/>
  <c r="I39" i="41"/>
  <c r="I26" i="41"/>
  <c r="I8" i="41"/>
  <c r="I55" i="41"/>
  <c r="I59" i="41"/>
  <c r="I48" i="41"/>
  <c r="I49" i="41"/>
  <c r="I52" i="41"/>
  <c r="I53" i="41"/>
  <c r="I58" i="41"/>
  <c r="I50" i="41"/>
  <c r="I57" i="41"/>
  <c r="I47" i="41"/>
  <c r="I56" i="41"/>
  <c r="I54" i="41"/>
  <c r="I60" i="41"/>
  <c r="I51" i="41"/>
  <c r="I44" i="41"/>
  <c r="I43" i="41"/>
  <c r="I14" i="41"/>
  <c r="I27" i="41"/>
  <c r="I32" i="41"/>
  <c r="I24" i="41"/>
  <c r="I10" i="41"/>
  <c r="I13" i="41"/>
  <c r="I33" i="41"/>
  <c r="I9" i="41"/>
  <c r="I42" i="41"/>
  <c r="I28" i="41"/>
  <c r="I29" i="41"/>
  <c r="I46" i="41"/>
  <c r="I31" i="41"/>
  <c r="H16" i="41"/>
  <c r="J16" i="41" s="1"/>
  <c r="I16" i="41"/>
  <c r="I18" i="41"/>
  <c r="I35" i="41"/>
  <c r="H20" i="41"/>
  <c r="J20" i="41" s="1"/>
  <c r="I20" i="41"/>
  <c r="I36" i="41"/>
  <c r="I25" i="41"/>
  <c r="I11" i="41"/>
  <c r="H12" i="41"/>
  <c r="J12" i="41" s="1"/>
  <c r="I12" i="41"/>
  <c r="I45" i="41"/>
  <c r="I30" i="41"/>
  <c r="I15" i="41"/>
  <c r="I17" i="41"/>
  <c r="I34" i="41"/>
  <c r="I19" i="41"/>
  <c r="I21" i="41"/>
  <c r="I37" i="41"/>
  <c r="I15" i="40"/>
  <c r="I17" i="40"/>
  <c r="I36" i="40"/>
  <c r="I16" i="40"/>
  <c r="I37" i="40"/>
  <c r="I33" i="40"/>
  <c r="I38" i="40"/>
  <c r="I32" i="40"/>
  <c r="I39" i="40"/>
  <c r="I8" i="40"/>
  <c r="I60" i="40"/>
  <c r="I48" i="40"/>
  <c r="I49" i="40"/>
  <c r="I61" i="40"/>
  <c r="I56" i="40"/>
  <c r="I59" i="40"/>
  <c r="I54" i="40"/>
  <c r="I50" i="40"/>
  <c r="I47" i="40"/>
  <c r="I58" i="40"/>
  <c r="I62" i="40"/>
  <c r="I53" i="40"/>
  <c r="I57" i="40"/>
  <c r="I55" i="40"/>
  <c r="I52" i="40"/>
  <c r="I51" i="40"/>
  <c r="I24" i="40"/>
  <c r="I40" i="40"/>
  <c r="H46" i="40"/>
  <c r="J46" i="40" s="1"/>
  <c r="I46" i="40"/>
  <c r="I19" i="40"/>
  <c r="I9" i="40"/>
  <c r="I25" i="40"/>
  <c r="I41" i="40"/>
  <c r="H14" i="40"/>
  <c r="J14" i="40" s="1"/>
  <c r="I14" i="40"/>
  <c r="I34" i="40"/>
  <c r="I35" i="40"/>
  <c r="I22" i="40"/>
  <c r="H10" i="40"/>
  <c r="J10" i="40" s="1"/>
  <c r="I10" i="40"/>
  <c r="I26" i="40"/>
  <c r="I42" i="40"/>
  <c r="I13" i="40"/>
  <c r="I31" i="40"/>
  <c r="H18" i="40"/>
  <c r="J18" i="40" s="1"/>
  <c r="I18" i="40"/>
  <c r="I20" i="40"/>
  <c r="I21" i="40"/>
  <c r="I11" i="40"/>
  <c r="I27" i="40"/>
  <c r="I43" i="40"/>
  <c r="I30" i="40"/>
  <c r="I23" i="40"/>
  <c r="I12" i="40"/>
  <c r="I28" i="40"/>
  <c r="I44" i="40"/>
  <c r="I13" i="34"/>
  <c r="I29" i="34"/>
  <c r="I45" i="34"/>
  <c r="I61" i="34"/>
  <c r="I32" i="34"/>
  <c r="I40" i="34"/>
  <c r="I26" i="34"/>
  <c r="I11" i="34"/>
  <c r="I60" i="34"/>
  <c r="I14" i="34"/>
  <c r="I30" i="34"/>
  <c r="I46" i="34"/>
  <c r="I62" i="34"/>
  <c r="I8" i="34"/>
  <c r="I15" i="34"/>
  <c r="I31" i="34"/>
  <c r="I47" i="34"/>
  <c r="I63" i="34"/>
  <c r="I48" i="34"/>
  <c r="I41" i="34"/>
  <c r="I16" i="34"/>
  <c r="I17" i="34"/>
  <c r="I33" i="34"/>
  <c r="I49" i="34"/>
  <c r="I25" i="34"/>
  <c r="I18" i="34"/>
  <c r="I34" i="34"/>
  <c r="I50" i="34"/>
  <c r="I53" i="34"/>
  <c r="I58" i="34"/>
  <c r="I43" i="34"/>
  <c r="I12" i="34"/>
  <c r="I19" i="34"/>
  <c r="I35" i="34"/>
  <c r="I51" i="34"/>
  <c r="I37" i="34"/>
  <c r="I20" i="34"/>
  <c r="I36" i="34"/>
  <c r="I52" i="34"/>
  <c r="I57" i="34"/>
  <c r="I21" i="34"/>
  <c r="I10" i="34"/>
  <c r="I27" i="34"/>
  <c r="I22" i="34"/>
  <c r="I38" i="34"/>
  <c r="I54" i="34"/>
  <c r="I39" i="34"/>
  <c r="I55" i="34"/>
  <c r="I56" i="34"/>
  <c r="I42" i="34"/>
  <c r="I59" i="34"/>
  <c r="I23" i="34"/>
  <c r="I44" i="34"/>
  <c r="I24" i="34"/>
  <c r="I9" i="34"/>
  <c r="I28" i="34"/>
  <c r="I17" i="35"/>
  <c r="I33" i="35"/>
  <c r="I49" i="35"/>
  <c r="I19" i="35"/>
  <c r="I35" i="35"/>
  <c r="I22" i="35"/>
  <c r="I38" i="35"/>
  <c r="I54" i="35"/>
  <c r="I23" i="35"/>
  <c r="I39" i="35"/>
  <c r="I55" i="35"/>
  <c r="I24" i="35"/>
  <c r="I40" i="35"/>
  <c r="I56" i="35"/>
  <c r="I57" i="35"/>
  <c r="I21" i="35"/>
  <c r="I8" i="35"/>
  <c r="I9" i="35"/>
  <c r="I25" i="35"/>
  <c r="I41" i="35"/>
  <c r="I10" i="35"/>
  <c r="I26" i="35"/>
  <c r="I42" i="35"/>
  <c r="I11" i="35"/>
  <c r="I27" i="35"/>
  <c r="I43" i="35"/>
  <c r="I50" i="35"/>
  <c r="I12" i="35"/>
  <c r="I28" i="35"/>
  <c r="I44" i="35"/>
  <c r="I34" i="35"/>
  <c r="I20" i="35"/>
  <c r="I53" i="35"/>
  <c r="I13" i="35"/>
  <c r="I29" i="35"/>
  <c r="I45" i="35"/>
  <c r="I36" i="35"/>
  <c r="I14" i="35"/>
  <c r="I30" i="35"/>
  <c r="I46" i="35"/>
  <c r="I15" i="35"/>
  <c r="I31" i="35"/>
  <c r="I47" i="35"/>
  <c r="I52" i="35"/>
  <c r="I16" i="35"/>
  <c r="I32" i="35"/>
  <c r="I48" i="35"/>
  <c r="I18" i="35"/>
  <c r="I51" i="35"/>
  <c r="I37" i="35"/>
  <c r="I12" i="39"/>
  <c r="I28" i="39"/>
  <c r="I44" i="39"/>
  <c r="I60" i="39"/>
  <c r="I46" i="39"/>
  <c r="I31" i="39"/>
  <c r="I48" i="39"/>
  <c r="I33" i="39"/>
  <c r="I50" i="39"/>
  <c r="I20" i="39"/>
  <c r="I21" i="39"/>
  <c r="I38" i="39"/>
  <c r="I23" i="39"/>
  <c r="I24" i="39"/>
  <c r="I56" i="39"/>
  <c r="I26" i="39"/>
  <c r="I43" i="39"/>
  <c r="I13" i="39"/>
  <c r="I29" i="39"/>
  <c r="I45" i="39"/>
  <c r="I61" i="39"/>
  <c r="I30" i="39"/>
  <c r="I15" i="39"/>
  <c r="I47" i="39"/>
  <c r="I16" i="39"/>
  <c r="I17" i="39"/>
  <c r="I18" i="39"/>
  <c r="I34" i="39"/>
  <c r="I19" i="39"/>
  <c r="I51" i="39"/>
  <c r="I52" i="39"/>
  <c r="I53" i="39"/>
  <c r="I54" i="39"/>
  <c r="I55" i="39"/>
  <c r="I40" i="39"/>
  <c r="I25" i="39"/>
  <c r="I58" i="39"/>
  <c r="I27" i="39"/>
  <c r="I14" i="39"/>
  <c r="I11" i="39"/>
  <c r="I32" i="39"/>
  <c r="I49" i="39"/>
  <c r="I35" i="39"/>
  <c r="I36" i="39"/>
  <c r="I37" i="39"/>
  <c r="I22" i="39"/>
  <c r="I39" i="39"/>
  <c r="I41" i="39"/>
  <c r="I59" i="39"/>
  <c r="I57" i="39"/>
  <c r="I42" i="39"/>
  <c r="H28" i="34"/>
  <c r="J28" i="34" s="1"/>
  <c r="H11" i="34"/>
  <c r="J11" i="34" s="1"/>
  <c r="H12" i="34"/>
  <c r="J12" i="34" s="1"/>
  <c r="H32" i="34"/>
  <c r="J32" i="34" s="1"/>
  <c r="H16" i="34"/>
  <c r="J16" i="34" s="1"/>
  <c r="H35" i="34"/>
  <c r="J35" i="34" s="1"/>
  <c r="H36" i="34"/>
  <c r="J36" i="34" s="1"/>
  <c r="H44" i="34"/>
  <c r="J44" i="34" s="1"/>
  <c r="H20" i="34"/>
  <c r="J20" i="34" s="1"/>
  <c r="H24" i="34"/>
  <c r="J24" i="34" s="1"/>
  <c r="H40" i="34"/>
  <c r="J40" i="34" s="1"/>
  <c r="I33" i="36"/>
  <c r="I41" i="36"/>
  <c r="I44" i="36"/>
  <c r="I49" i="36"/>
  <c r="I57" i="36"/>
  <c r="I60" i="36"/>
  <c r="I9" i="36"/>
  <c r="I12" i="36"/>
  <c r="I25" i="36"/>
  <c r="I28" i="36"/>
  <c r="I62" i="36"/>
  <c r="I24" i="36"/>
  <c r="I18" i="36"/>
  <c r="I46" i="36"/>
  <c r="I54" i="36"/>
  <c r="I30" i="36"/>
  <c r="I38" i="36"/>
  <c r="I17" i="36"/>
  <c r="I14" i="36"/>
  <c r="I22" i="36"/>
  <c r="I16" i="36"/>
  <c r="I61" i="36"/>
  <c r="I53" i="36"/>
  <c r="I15" i="36"/>
  <c r="I45" i="36"/>
  <c r="I59" i="36"/>
  <c r="I37" i="36"/>
  <c r="I51" i="36"/>
  <c r="I29" i="36"/>
  <c r="I43" i="36"/>
  <c r="I21" i="36"/>
  <c r="I47" i="36"/>
  <c r="I13" i="36"/>
  <c r="I27" i="36"/>
  <c r="I31" i="36"/>
  <c r="I48" i="36"/>
  <c r="I11" i="36"/>
  <c r="I52" i="36"/>
  <c r="I55" i="36"/>
  <c r="I58" i="36"/>
  <c r="I36" i="36"/>
  <c r="I20" i="36"/>
  <c r="I50" i="36"/>
  <c r="I39" i="36"/>
  <c r="I42" i="36"/>
  <c r="I40" i="36"/>
  <c r="I23" i="36"/>
  <c r="I26" i="36"/>
  <c r="I32" i="36"/>
  <c r="I10" i="36"/>
  <c r="I35" i="36"/>
  <c r="I56" i="36"/>
  <c r="I19" i="36"/>
  <c r="I34" i="36"/>
  <c r="H8" i="34"/>
  <c r="J8" i="34" s="1"/>
  <c r="I9" i="38"/>
  <c r="I25" i="38"/>
  <c r="I41" i="38"/>
  <c r="I8" i="38"/>
  <c r="I24" i="38"/>
  <c r="I40" i="38"/>
  <c r="I56" i="38"/>
  <c r="I10" i="38"/>
  <c r="I26" i="38"/>
  <c r="I42" i="38"/>
  <c r="I58" i="38"/>
  <c r="I11" i="38"/>
  <c r="I27" i="38"/>
  <c r="I43" i="38"/>
  <c r="I59" i="38"/>
  <c r="I12" i="38"/>
  <c r="I28" i="38"/>
  <c r="I44" i="38"/>
  <c r="I60" i="38"/>
  <c r="I13" i="38"/>
  <c r="I29" i="38"/>
  <c r="I45" i="38"/>
  <c r="I61" i="38"/>
  <c r="I14" i="38"/>
  <c r="I30" i="38"/>
  <c r="I46" i="38"/>
  <c r="I62" i="38"/>
  <c r="I15" i="38"/>
  <c r="I31" i="38"/>
  <c r="I47" i="38"/>
  <c r="I16" i="38"/>
  <c r="I32" i="38"/>
  <c r="I48" i="38"/>
  <c r="I57" i="38"/>
  <c r="I17" i="38"/>
  <c r="I33" i="38"/>
  <c r="I49" i="38"/>
  <c r="I18" i="38"/>
  <c r="I34" i="38"/>
  <c r="I50" i="38"/>
  <c r="I19" i="38"/>
  <c r="I35" i="38"/>
  <c r="I51" i="38"/>
  <c r="I20" i="38"/>
  <c r="I36" i="38"/>
  <c r="I52" i="38"/>
  <c r="I21" i="38"/>
  <c r="I37" i="38"/>
  <c r="I53" i="38"/>
  <c r="I22" i="38"/>
  <c r="I38" i="38"/>
  <c r="I54" i="38"/>
  <c r="I23" i="38"/>
  <c r="I39" i="38"/>
  <c r="I55" i="38"/>
  <c r="I9" i="39"/>
  <c r="I8" i="36"/>
  <c r="I10" i="39"/>
  <c r="H38" i="40"/>
  <c r="J38" i="40" s="1"/>
  <c r="H40" i="41"/>
  <c r="J40" i="41" s="1"/>
  <c r="H42" i="42"/>
  <c r="J42" i="42" s="1"/>
  <c r="H11" i="39"/>
  <c r="J11" i="39" s="1"/>
  <c r="H15" i="39"/>
  <c r="J15" i="39" s="1"/>
  <c r="H19" i="39"/>
  <c r="J19" i="39" s="1"/>
  <c r="H23" i="39"/>
  <c r="J23" i="39" s="1"/>
  <c r="H27" i="39"/>
  <c r="J27" i="39" s="1"/>
  <c r="H31" i="39"/>
  <c r="J31" i="39" s="1"/>
  <c r="H35" i="39"/>
  <c r="J35" i="39" s="1"/>
  <c r="H39" i="39"/>
  <c r="J39" i="39" s="1"/>
  <c r="H26" i="40"/>
  <c r="J26" i="40" s="1"/>
  <c r="H28" i="41"/>
  <c r="J28" i="41" s="1"/>
  <c r="H30" i="42"/>
  <c r="J30" i="42" s="1"/>
  <c r="H8" i="39"/>
  <c r="J8" i="39" s="1"/>
  <c r="H12" i="39"/>
  <c r="J12" i="39" s="1"/>
  <c r="H16" i="39"/>
  <c r="J16" i="39" s="1"/>
  <c r="H20" i="39"/>
  <c r="J20" i="39" s="1"/>
  <c r="H24" i="39"/>
  <c r="J24" i="39" s="1"/>
  <c r="H28" i="39"/>
  <c r="J28" i="39" s="1"/>
  <c r="H32" i="39"/>
  <c r="J32" i="39" s="1"/>
  <c r="H36" i="39"/>
  <c r="J36" i="39" s="1"/>
  <c r="H40" i="39"/>
  <c r="J40" i="39" s="1"/>
  <c r="H42" i="40"/>
  <c r="J42" i="40" s="1"/>
  <c r="H44" i="41"/>
  <c r="J44" i="41" s="1"/>
  <c r="H46" i="42"/>
  <c r="J46" i="42" s="1"/>
  <c r="I8" i="39"/>
  <c r="H30" i="40"/>
  <c r="J30" i="40" s="1"/>
  <c r="H32" i="41"/>
  <c r="J32" i="41" s="1"/>
  <c r="H34" i="42"/>
  <c r="J34" i="42" s="1"/>
  <c r="H8" i="41"/>
  <c r="J8" i="41" s="1"/>
  <c r="H10" i="42"/>
  <c r="J10" i="42" s="1"/>
  <c r="H9" i="39"/>
  <c r="J9" i="39" s="1"/>
  <c r="H13" i="39"/>
  <c r="J13" i="39" s="1"/>
  <c r="H17" i="39"/>
  <c r="J17" i="39" s="1"/>
  <c r="H21" i="39"/>
  <c r="J21" i="39" s="1"/>
  <c r="H25" i="39"/>
  <c r="J25" i="39" s="1"/>
  <c r="H29" i="39"/>
  <c r="J29" i="39" s="1"/>
  <c r="H34" i="40"/>
  <c r="J34" i="40" s="1"/>
  <c r="H36" i="41"/>
  <c r="J36" i="41" s="1"/>
  <c r="H38" i="42"/>
  <c r="J38" i="42" s="1"/>
  <c r="H22" i="40"/>
  <c r="J22" i="40" s="1"/>
  <c r="H24" i="41"/>
  <c r="J24" i="41" s="1"/>
  <c r="H26" i="42"/>
  <c r="J26" i="42" s="1"/>
  <c r="H41" i="39"/>
  <c r="J41" i="39" s="1"/>
  <c r="H45" i="39"/>
  <c r="J45" i="39" s="1"/>
  <c r="H11" i="40"/>
  <c r="J11" i="40" s="1"/>
  <c r="H15" i="40"/>
  <c r="J15" i="40" s="1"/>
  <c r="H19" i="40"/>
  <c r="J19" i="40" s="1"/>
  <c r="H23" i="40"/>
  <c r="J23" i="40" s="1"/>
  <c r="H27" i="40"/>
  <c r="J27" i="40" s="1"/>
  <c r="H31" i="40"/>
  <c r="J31" i="40" s="1"/>
  <c r="H35" i="40"/>
  <c r="J35" i="40" s="1"/>
  <c r="H39" i="40"/>
  <c r="J39" i="40" s="1"/>
  <c r="H43" i="40"/>
  <c r="J43" i="40" s="1"/>
  <c r="H9" i="41"/>
  <c r="J9" i="41" s="1"/>
  <c r="H13" i="41"/>
  <c r="J13" i="41" s="1"/>
  <c r="H17" i="41"/>
  <c r="J17" i="41" s="1"/>
  <c r="H21" i="41"/>
  <c r="J21" i="41" s="1"/>
  <c r="H25" i="41"/>
  <c r="J25" i="41" s="1"/>
  <c r="H29" i="41"/>
  <c r="J29" i="41" s="1"/>
  <c r="H33" i="41"/>
  <c r="J33" i="41" s="1"/>
  <c r="H37" i="41"/>
  <c r="J37" i="41" s="1"/>
  <c r="H41" i="41"/>
  <c r="J41" i="41" s="1"/>
  <c r="H45" i="41"/>
  <c r="J45" i="41" s="1"/>
  <c r="H11" i="42"/>
  <c r="J11" i="42" s="1"/>
  <c r="H15" i="42"/>
  <c r="J15" i="42" s="1"/>
  <c r="H19" i="42"/>
  <c r="J19" i="42" s="1"/>
  <c r="H23" i="42"/>
  <c r="J23" i="42" s="1"/>
  <c r="H27" i="42"/>
  <c r="J27" i="42" s="1"/>
  <c r="H31" i="42"/>
  <c r="J31" i="42" s="1"/>
  <c r="H35" i="42"/>
  <c r="J35" i="42" s="1"/>
  <c r="H39" i="42"/>
  <c r="J39" i="42" s="1"/>
  <c r="H43" i="42"/>
  <c r="J43" i="42" s="1"/>
  <c r="H42" i="39"/>
  <c r="J42" i="39" s="1"/>
  <c r="H46" i="39"/>
  <c r="J46" i="39" s="1"/>
  <c r="H8" i="40"/>
  <c r="J8" i="40" s="1"/>
  <c r="H12" i="40"/>
  <c r="J12" i="40" s="1"/>
  <c r="H16" i="40"/>
  <c r="J16" i="40" s="1"/>
  <c r="H20" i="40"/>
  <c r="J20" i="40" s="1"/>
  <c r="H24" i="40"/>
  <c r="J24" i="40" s="1"/>
  <c r="H28" i="40"/>
  <c r="J28" i="40" s="1"/>
  <c r="H32" i="40"/>
  <c r="J32" i="40" s="1"/>
  <c r="H36" i="40"/>
  <c r="J36" i="40" s="1"/>
  <c r="H40" i="40"/>
  <c r="J40" i="40" s="1"/>
  <c r="H44" i="40"/>
  <c r="J44" i="40" s="1"/>
  <c r="H10" i="41"/>
  <c r="J10" i="41" s="1"/>
  <c r="H14" i="41"/>
  <c r="J14" i="41" s="1"/>
  <c r="H18" i="41"/>
  <c r="J18" i="41" s="1"/>
  <c r="H22" i="41"/>
  <c r="J22" i="41" s="1"/>
  <c r="H26" i="41"/>
  <c r="J26" i="41" s="1"/>
  <c r="H30" i="41"/>
  <c r="J30" i="41" s="1"/>
  <c r="H34" i="41"/>
  <c r="J34" i="41" s="1"/>
  <c r="H38" i="41"/>
  <c r="J38" i="41" s="1"/>
  <c r="H42" i="41"/>
  <c r="J42" i="41" s="1"/>
  <c r="H46" i="41"/>
  <c r="J46" i="41" s="1"/>
  <c r="H8" i="42"/>
  <c r="J8" i="42" s="1"/>
  <c r="H12" i="42"/>
  <c r="J12" i="42" s="1"/>
  <c r="H16" i="42"/>
  <c r="J16" i="42" s="1"/>
  <c r="H20" i="42"/>
  <c r="J20" i="42" s="1"/>
  <c r="H24" i="42"/>
  <c r="J24" i="42" s="1"/>
  <c r="H28" i="42"/>
  <c r="J28" i="42" s="1"/>
  <c r="H32" i="42"/>
  <c r="J32" i="42" s="1"/>
  <c r="H36" i="42"/>
  <c r="J36" i="42" s="1"/>
  <c r="H40" i="42"/>
  <c r="J40" i="42" s="1"/>
  <c r="H44" i="42"/>
  <c r="J44" i="42" s="1"/>
  <c r="H43" i="39"/>
  <c r="J43" i="39" s="1"/>
  <c r="H9" i="40"/>
  <c r="J9" i="40" s="1"/>
  <c r="H13" i="40"/>
  <c r="J13" i="40" s="1"/>
  <c r="H17" i="40"/>
  <c r="J17" i="40" s="1"/>
  <c r="H21" i="40"/>
  <c r="J21" i="40" s="1"/>
  <c r="H25" i="40"/>
  <c r="J25" i="40" s="1"/>
  <c r="H29" i="40"/>
  <c r="J29" i="40" s="1"/>
  <c r="H33" i="40"/>
  <c r="J33" i="40" s="1"/>
  <c r="H37" i="40"/>
  <c r="J37" i="40" s="1"/>
  <c r="H41" i="40"/>
  <c r="J41" i="40" s="1"/>
  <c r="H45" i="40"/>
  <c r="J45" i="40" s="1"/>
  <c r="H11" i="41"/>
  <c r="J11" i="41" s="1"/>
  <c r="H15" i="41"/>
  <c r="J15" i="41" s="1"/>
  <c r="H19" i="41"/>
  <c r="J19" i="41" s="1"/>
  <c r="H23" i="41"/>
  <c r="J23" i="41" s="1"/>
  <c r="H27" i="41"/>
  <c r="J27" i="41" s="1"/>
  <c r="H31" i="41"/>
  <c r="J31" i="41" s="1"/>
  <c r="H35" i="41"/>
  <c r="J35" i="41" s="1"/>
  <c r="H39" i="41"/>
  <c r="J39" i="41" s="1"/>
  <c r="H43" i="41"/>
  <c r="J43" i="41" s="1"/>
  <c r="H9" i="42"/>
  <c r="J9" i="42" s="1"/>
  <c r="H13" i="42"/>
  <c r="J13" i="42" s="1"/>
  <c r="H17" i="42"/>
  <c r="J17" i="42" s="1"/>
  <c r="H21" i="42"/>
  <c r="J21" i="42" s="1"/>
  <c r="H25" i="42"/>
  <c r="J25" i="42" s="1"/>
  <c r="H29" i="42"/>
  <c r="J29" i="42" s="1"/>
  <c r="H33" i="42"/>
  <c r="J33" i="42" s="1"/>
  <c r="H37" i="42"/>
  <c r="J37" i="42" s="1"/>
  <c r="H41" i="42"/>
  <c r="J41" i="42" s="1"/>
  <c r="H45" i="42"/>
  <c r="J45" i="42" s="1"/>
  <c r="H10" i="38"/>
  <c r="H14" i="38"/>
  <c r="J14" i="38" s="1"/>
  <c r="H18" i="38"/>
  <c r="J18" i="38" s="1"/>
  <c r="H22" i="38"/>
  <c r="J22" i="38" s="1"/>
  <c r="H26" i="38"/>
  <c r="J26" i="38" s="1"/>
  <c r="H30" i="38"/>
  <c r="J30" i="38" s="1"/>
  <c r="H34" i="38"/>
  <c r="J34" i="38" s="1"/>
  <c r="H38" i="38"/>
  <c r="J38" i="38" s="1"/>
  <c r="H42" i="38"/>
  <c r="J42" i="38" s="1"/>
  <c r="H46" i="38"/>
  <c r="H50" i="38"/>
  <c r="J50" i="38" s="1"/>
  <c r="H54" i="38"/>
  <c r="J54" i="38" s="1"/>
  <c r="H58" i="38"/>
  <c r="J58" i="38" s="1"/>
  <c r="H62" i="38"/>
  <c r="J62" i="38" s="1"/>
  <c r="H11" i="38"/>
  <c r="J11" i="38" s="1"/>
  <c r="H15" i="38"/>
  <c r="J15" i="38" s="1"/>
  <c r="H19" i="38"/>
  <c r="J19" i="38" s="1"/>
  <c r="H23" i="38"/>
  <c r="J23" i="38" s="1"/>
  <c r="H27" i="38"/>
  <c r="J27" i="38" s="1"/>
  <c r="H31" i="38"/>
  <c r="J31" i="38" s="1"/>
  <c r="H35" i="38"/>
  <c r="J35" i="38" s="1"/>
  <c r="H39" i="38"/>
  <c r="J39" i="38" s="1"/>
  <c r="H43" i="38"/>
  <c r="J43" i="38" s="1"/>
  <c r="H47" i="38"/>
  <c r="J47" i="38" s="1"/>
  <c r="H51" i="38"/>
  <c r="J51" i="38" s="1"/>
  <c r="H55" i="38"/>
  <c r="J55" i="38" s="1"/>
  <c r="H59" i="38"/>
  <c r="J59" i="38" s="1"/>
  <c r="H8" i="36"/>
  <c r="J8" i="36" s="1"/>
  <c r="H8" i="38"/>
  <c r="J8" i="38" s="1"/>
  <c r="H12" i="38"/>
  <c r="J12" i="38" s="1"/>
  <c r="H16" i="38"/>
  <c r="J16" i="38" s="1"/>
  <c r="H20" i="38"/>
  <c r="J20" i="38" s="1"/>
  <c r="H24" i="38"/>
  <c r="J24" i="38" s="1"/>
  <c r="H28" i="38"/>
  <c r="J28" i="38" s="1"/>
  <c r="H32" i="38"/>
  <c r="J32" i="38" s="1"/>
  <c r="H36" i="38"/>
  <c r="J36" i="38" s="1"/>
  <c r="H40" i="38"/>
  <c r="J40" i="38" s="1"/>
  <c r="H44" i="38"/>
  <c r="J44" i="38" s="1"/>
  <c r="H48" i="38"/>
  <c r="J48" i="38" s="1"/>
  <c r="H52" i="38"/>
  <c r="J52" i="38" s="1"/>
  <c r="H56" i="38"/>
  <c r="J56" i="38" s="1"/>
  <c r="H60" i="38"/>
  <c r="J60" i="38" s="1"/>
  <c r="H9" i="38"/>
  <c r="J9" i="38" s="1"/>
  <c r="H13" i="38"/>
  <c r="J13" i="38" s="1"/>
  <c r="H17" i="38"/>
  <c r="J17" i="38" s="1"/>
  <c r="H21" i="38"/>
  <c r="J21" i="38" s="1"/>
  <c r="H25" i="38"/>
  <c r="J25" i="38" s="1"/>
  <c r="H29" i="38"/>
  <c r="J29" i="38" s="1"/>
  <c r="H33" i="38"/>
  <c r="J33" i="38" s="1"/>
  <c r="H37" i="38"/>
  <c r="J37" i="38" s="1"/>
  <c r="H41" i="38"/>
  <c r="J41" i="38" s="1"/>
  <c r="H45" i="38"/>
  <c r="J45" i="38" s="1"/>
  <c r="H49" i="38"/>
  <c r="J49" i="38" s="1"/>
  <c r="H53" i="38"/>
  <c r="J53" i="38" s="1"/>
  <c r="H57" i="38"/>
  <c r="J57" i="38" s="1"/>
  <c r="H61" i="38"/>
  <c r="J61" i="38" s="1"/>
  <c r="H10" i="35"/>
  <c r="J10" i="35" s="1"/>
  <c r="H14" i="35"/>
  <c r="J14" i="35" s="1"/>
  <c r="H18" i="35"/>
  <c r="J18" i="35" s="1"/>
  <c r="H22" i="35"/>
  <c r="J22" i="35" s="1"/>
  <c r="H11" i="35"/>
  <c r="J11" i="35" s="1"/>
  <c r="H15" i="35"/>
  <c r="J15" i="35" s="1"/>
  <c r="H19" i="35"/>
  <c r="J19" i="35" s="1"/>
  <c r="H23" i="35"/>
  <c r="J23" i="35" s="1"/>
  <c r="H27" i="35"/>
  <c r="J27" i="35" s="1"/>
  <c r="H31" i="35"/>
  <c r="J31" i="35" s="1"/>
  <c r="H35" i="35"/>
  <c r="J35" i="35" s="1"/>
  <c r="H39" i="35"/>
  <c r="J39" i="35" s="1"/>
  <c r="H43" i="35"/>
  <c r="J43" i="35" s="1"/>
  <c r="H8" i="35"/>
  <c r="J8" i="35" s="1"/>
  <c r="H12" i="35"/>
  <c r="J12" i="35" s="1"/>
  <c r="H16" i="35"/>
  <c r="J16" i="35" s="1"/>
  <c r="H20" i="35"/>
  <c r="J20" i="35" s="1"/>
  <c r="H24" i="35"/>
  <c r="J24" i="35" s="1"/>
  <c r="H28" i="35"/>
  <c r="J28" i="35" s="1"/>
  <c r="H32" i="35"/>
  <c r="J32" i="35" s="1"/>
  <c r="H36" i="35"/>
  <c r="J36" i="35" s="1"/>
  <c r="H40" i="35"/>
  <c r="J40" i="35" s="1"/>
  <c r="H44" i="35"/>
  <c r="J44" i="35" s="1"/>
  <c r="H9" i="35"/>
  <c r="J9" i="35" s="1"/>
  <c r="H13" i="35"/>
  <c r="J13" i="35" s="1"/>
  <c r="H17" i="35"/>
  <c r="J17" i="35" s="1"/>
  <c r="H21" i="35"/>
  <c r="J21" i="35" s="1"/>
  <c r="H25" i="35"/>
  <c r="J25" i="35" s="1"/>
  <c r="H29" i="35"/>
  <c r="J29" i="35" s="1"/>
  <c r="H33" i="35"/>
  <c r="J33" i="35" s="1"/>
  <c r="H37" i="35"/>
  <c r="J37" i="35" s="1"/>
  <c r="H41" i="35"/>
  <c r="J41" i="35" s="1"/>
  <c r="H45" i="35"/>
  <c r="J45" i="35" s="1"/>
  <c r="H10" i="34"/>
  <c r="J10" i="34" s="1"/>
  <c r="H14" i="34"/>
  <c r="J14" i="34" s="1"/>
  <c r="H18" i="34"/>
  <c r="J18" i="34" s="1"/>
  <c r="H22" i="34"/>
  <c r="J22" i="34" s="1"/>
  <c r="H26" i="34"/>
  <c r="J26" i="34" s="1"/>
  <c r="H30" i="34"/>
  <c r="J30" i="34" s="1"/>
  <c r="H34" i="34"/>
  <c r="J34" i="34" s="1"/>
  <c r="H38" i="34"/>
  <c r="J38" i="34" s="1"/>
  <c r="H42" i="34"/>
  <c r="J42" i="34" s="1"/>
  <c r="H46" i="34"/>
  <c r="J46" i="34" s="1"/>
  <c r="H23" i="34"/>
  <c r="J23" i="34" s="1"/>
  <c r="H15" i="34"/>
  <c r="J15" i="34" s="1"/>
  <c r="H19" i="34"/>
  <c r="J19" i="34" s="1"/>
  <c r="H27" i="34"/>
  <c r="J27" i="34" s="1"/>
  <c r="H31" i="34"/>
  <c r="J31" i="34" s="1"/>
  <c r="H39" i="34"/>
  <c r="J39" i="34" s="1"/>
  <c r="H43" i="34"/>
  <c r="J43" i="34" s="1"/>
  <c r="H9" i="34"/>
  <c r="J9" i="34" s="1"/>
  <c r="H13" i="34"/>
  <c r="J13" i="34" s="1"/>
  <c r="H17" i="34"/>
  <c r="J17" i="34" s="1"/>
  <c r="H21" i="34"/>
  <c r="J21" i="34" s="1"/>
  <c r="H25" i="34"/>
  <c r="J25" i="34" s="1"/>
  <c r="H29" i="34"/>
  <c r="J29" i="34" s="1"/>
  <c r="H33" i="34"/>
  <c r="J33" i="34" s="1"/>
  <c r="H37" i="34"/>
  <c r="J37" i="34" s="1"/>
  <c r="H41" i="34"/>
  <c r="J41" i="34" s="1"/>
  <c r="H45" i="34"/>
  <c r="J45" i="34" s="1"/>
  <c r="J26" i="6" l="1"/>
  <c r="J23" i="6"/>
  <c r="J39" i="6"/>
  <c r="J24" i="6"/>
  <c r="J14" i="6"/>
  <c r="J17" i="6"/>
  <c r="J31" i="6"/>
  <c r="J35" i="6"/>
  <c r="J52" i="6"/>
  <c r="J45" i="6"/>
  <c r="J18" i="6"/>
  <c r="J10" i="6"/>
  <c r="J11" i="6"/>
  <c r="J27" i="6"/>
  <c r="J28" i="6"/>
  <c r="J37" i="6"/>
  <c r="J46" i="6"/>
  <c r="J51" i="6"/>
  <c r="J13" i="6"/>
  <c r="J21" i="6"/>
  <c r="J22" i="6"/>
  <c r="I8" i="15"/>
  <c r="K8" i="15" s="1"/>
  <c r="I24" i="6" l="1"/>
  <c r="I27" i="6"/>
  <c r="I33" i="6"/>
  <c r="I21" i="6"/>
  <c r="I29" i="6"/>
  <c r="I51" i="6"/>
  <c r="I36" i="6"/>
  <c r="J15" i="6"/>
  <c r="I15" i="6"/>
  <c r="I26" i="6"/>
  <c r="I39" i="6"/>
  <c r="J32" i="6"/>
  <c r="I32" i="6"/>
  <c r="J9" i="6"/>
  <c r="I9" i="6"/>
  <c r="I37" i="6"/>
  <c r="I11" i="6"/>
  <c r="J30" i="6"/>
  <c r="I30" i="6"/>
  <c r="I20" i="6"/>
  <c r="J20" i="6"/>
  <c r="I18" i="6"/>
  <c r="J16" i="6"/>
  <c r="I16" i="6"/>
  <c r="I52" i="6"/>
  <c r="I31" i="6"/>
  <c r="I17" i="6"/>
  <c r="I10" i="6"/>
  <c r="I44" i="6"/>
  <c r="J44" i="6"/>
  <c r="I13" i="6"/>
  <c r="I35" i="6"/>
  <c r="I41" i="6"/>
  <c r="I8" i="6"/>
  <c r="H8" i="6"/>
  <c r="J8" i="6" s="1"/>
  <c r="J38" i="6"/>
  <c r="I38" i="6"/>
  <c r="J49" i="6"/>
  <c r="I49" i="6"/>
  <c r="J34" i="6"/>
  <c r="I34" i="6"/>
  <c r="I50" i="6"/>
  <c r="J29" i="6"/>
  <c r="I28" i="6"/>
  <c r="J48" i="6"/>
  <c r="I48" i="6"/>
  <c r="J12" i="6"/>
  <c r="I12" i="6"/>
  <c r="I46" i="6"/>
  <c r="I23" i="6"/>
  <c r="I19" i="6"/>
  <c r="J19" i="6"/>
  <c r="I14" i="6"/>
  <c r="J47" i="6"/>
  <c r="I47" i="6"/>
  <c r="J40" i="6"/>
  <c r="I40" i="6"/>
  <c r="J41" i="6"/>
  <c r="I43" i="6"/>
  <c r="I22" i="6"/>
  <c r="I45" i="6"/>
  <c r="J25" i="6"/>
  <c r="I25" i="6"/>
  <c r="J42" i="6"/>
  <c r="I42" i="6"/>
  <c r="J33" i="6"/>
  <c r="J50" i="6"/>
  <c r="J36" i="6"/>
  <c r="J43" i="6"/>
  <c r="J17" i="15"/>
  <c r="J54" i="15"/>
  <c r="J18" i="15"/>
  <c r="J32" i="15"/>
  <c r="J31" i="15"/>
  <c r="J15" i="15"/>
  <c r="J21" i="15"/>
  <c r="J35" i="15"/>
  <c r="J45" i="15"/>
  <c r="J48" i="15"/>
  <c r="J39" i="15"/>
  <c r="J16" i="15"/>
  <c r="J50" i="15"/>
  <c r="J10" i="15"/>
  <c r="J24" i="15"/>
  <c r="J8" i="15"/>
  <c r="J46" i="15"/>
  <c r="J43" i="15"/>
  <c r="J47" i="15"/>
  <c r="J41" i="15"/>
  <c r="J38" i="15"/>
  <c r="J9" i="15"/>
  <c r="J37" i="15"/>
  <c r="J19" i="15"/>
  <c r="J53" i="15"/>
  <c r="J44" i="15"/>
  <c r="J42" i="15"/>
  <c r="J23" i="15"/>
  <c r="J33" i="15"/>
  <c r="J25" i="15"/>
  <c r="J34" i="15"/>
  <c r="J49" i="15"/>
  <c r="J52" i="15"/>
  <c r="J51" i="15"/>
  <c r="J29" i="15"/>
  <c r="J40" i="15"/>
  <c r="J36" i="15"/>
  <c r="J28" i="15"/>
  <c r="J20" i="15"/>
  <c r="J12" i="15"/>
  <c r="J30" i="15"/>
  <c r="J22" i="15"/>
  <c r="J26" i="15"/>
  <c r="J13" i="15"/>
  <c r="J27" i="15"/>
  <c r="J11" i="15"/>
  <c r="J14" i="15"/>
  <c r="J12" i="57"/>
  <c r="J20" i="57"/>
  <c r="J47" i="57"/>
  <c r="J23" i="57"/>
  <c r="J10" i="57"/>
  <c r="J22" i="57"/>
  <c r="J30" i="57"/>
  <c r="J27" i="57"/>
  <c r="J34" i="57"/>
  <c r="J40" i="57" l="1"/>
  <c r="J18" i="57"/>
  <c r="J32" i="57"/>
  <c r="J43" i="57"/>
  <c r="J14" i="57"/>
  <c r="J16" i="57"/>
  <c r="J45" i="57"/>
  <c r="J17" i="57"/>
  <c r="J35" i="57"/>
  <c r="J9" i="57"/>
  <c r="J37" i="57"/>
  <c r="J25" i="57"/>
  <c r="J28" i="57"/>
  <c r="J36" i="57"/>
  <c r="J31" i="57"/>
  <c r="J8" i="57"/>
  <c r="J42" i="57"/>
  <c r="J33" i="57"/>
  <c r="J13" i="57"/>
  <c r="J38" i="57"/>
  <c r="J11" i="57"/>
  <c r="J29" i="57"/>
  <c r="J21" i="57"/>
  <c r="J39" i="57"/>
  <c r="J15" i="57"/>
  <c r="J19" i="57"/>
  <c r="J26" i="57"/>
  <c r="J41" i="57"/>
  <c r="J44" i="57"/>
  <c r="J24" i="57"/>
  <c r="J46" i="57"/>
</calcChain>
</file>

<file path=xl/sharedStrings.xml><?xml version="1.0" encoding="utf-8"?>
<sst xmlns="http://schemas.openxmlformats.org/spreadsheetml/2006/main" count="5449" uniqueCount="3318">
  <si>
    <t>NO</t>
  </si>
  <si>
    <t>NOPES</t>
  </si>
  <si>
    <t xml:space="preserve">NAMA </t>
  </si>
  <si>
    <t>ASR</t>
  </si>
  <si>
    <t>ASPEK PENILAIAN</t>
  </si>
  <si>
    <t>JML</t>
  </si>
  <si>
    <t>RT</t>
  </si>
  <si>
    <t>RANK</t>
  </si>
  <si>
    <t>Makna Mufrodat</t>
  </si>
  <si>
    <t>Makna Murad</t>
  </si>
  <si>
    <t>MAX 30</t>
  </si>
  <si>
    <t>MAX 5</t>
  </si>
  <si>
    <t xml:space="preserve">KKM </t>
  </si>
  <si>
    <t>KET.</t>
  </si>
  <si>
    <t>A 01</t>
  </si>
  <si>
    <t>A 03</t>
  </si>
  <si>
    <t>A 04</t>
  </si>
  <si>
    <t>A 05</t>
  </si>
  <si>
    <t>A 06</t>
  </si>
  <si>
    <t>A 07</t>
  </si>
  <si>
    <t>A 10</t>
  </si>
  <si>
    <t>Abdul Latif</t>
  </si>
  <si>
    <t>A 12</t>
  </si>
  <si>
    <t>A 14</t>
  </si>
  <si>
    <t>A 16</t>
  </si>
  <si>
    <t>B 03</t>
  </si>
  <si>
    <t>B 04</t>
  </si>
  <si>
    <t>B 06</t>
  </si>
  <si>
    <t>B 09</t>
  </si>
  <si>
    <t>B 11</t>
  </si>
  <si>
    <t>B 12</t>
  </si>
  <si>
    <t>C 03</t>
  </si>
  <si>
    <t>C 08</t>
  </si>
  <si>
    <t>C 11</t>
  </si>
  <si>
    <t>C 14</t>
  </si>
  <si>
    <t>C 16</t>
  </si>
  <si>
    <t>C 18</t>
  </si>
  <si>
    <t>D 02</t>
  </si>
  <si>
    <t>D 03</t>
  </si>
  <si>
    <t>D 04</t>
  </si>
  <si>
    <t>D 07</t>
  </si>
  <si>
    <t>D 12</t>
  </si>
  <si>
    <t>D 17</t>
  </si>
  <si>
    <t>D 19</t>
  </si>
  <si>
    <t>D 22</t>
  </si>
  <si>
    <t>D 25</t>
  </si>
  <si>
    <t>E 01</t>
  </si>
  <si>
    <t>E 03</t>
  </si>
  <si>
    <t>E 04</t>
  </si>
  <si>
    <t>E 08</t>
  </si>
  <si>
    <t>E 09</t>
  </si>
  <si>
    <t>E 10</t>
  </si>
  <si>
    <t>E 11</t>
  </si>
  <si>
    <t>E 12</t>
  </si>
  <si>
    <t>F 01</t>
  </si>
  <si>
    <t>F 02</t>
  </si>
  <si>
    <t>F 06</t>
  </si>
  <si>
    <t>F 08</t>
  </si>
  <si>
    <t>F 11</t>
  </si>
  <si>
    <t>Andika Pratama</t>
  </si>
  <si>
    <t>F 14</t>
  </si>
  <si>
    <t>F 16</t>
  </si>
  <si>
    <t>G 01</t>
  </si>
  <si>
    <t>G 03</t>
  </si>
  <si>
    <t>G 04</t>
  </si>
  <si>
    <t>G 05</t>
  </si>
  <si>
    <t>G 07</t>
  </si>
  <si>
    <t>G 10</t>
  </si>
  <si>
    <t>G 14</t>
  </si>
  <si>
    <t>G 16</t>
  </si>
  <si>
    <t>G 18</t>
  </si>
  <si>
    <t>G 20</t>
  </si>
  <si>
    <t>G 21</t>
  </si>
  <si>
    <t>PM</t>
  </si>
  <si>
    <t>KKM</t>
  </si>
  <si>
    <t>B 07</t>
  </si>
  <si>
    <t>B 10</t>
  </si>
  <si>
    <t>B 13</t>
  </si>
  <si>
    <t>C 04</t>
  </si>
  <si>
    <t>C 12</t>
  </si>
  <si>
    <t>D 05</t>
  </si>
  <si>
    <t>D 13</t>
  </si>
  <si>
    <t>D 18</t>
  </si>
  <si>
    <t>D 20</t>
  </si>
  <si>
    <t>D 23</t>
  </si>
  <si>
    <t>E 05</t>
  </si>
  <si>
    <t>G 02</t>
  </si>
  <si>
    <t>G 11</t>
  </si>
  <si>
    <t>G 06</t>
  </si>
  <si>
    <t>G 22</t>
  </si>
  <si>
    <t>A 11</t>
  </si>
  <si>
    <t>C 05</t>
  </si>
  <si>
    <t>C 09</t>
  </si>
  <si>
    <t>C 17</t>
  </si>
  <si>
    <t>F 03</t>
  </si>
  <si>
    <t>F 09</t>
  </si>
  <si>
    <t>F 12</t>
  </si>
  <si>
    <t>F 15</t>
  </si>
  <si>
    <t>G 08</t>
  </si>
  <si>
    <t>G 17</t>
  </si>
  <si>
    <t>A 02</t>
  </si>
  <si>
    <t>B 05</t>
  </si>
  <si>
    <t>C 01</t>
  </si>
  <si>
    <t>C 15</t>
  </si>
  <si>
    <t>Muhammad Fadil</t>
  </si>
  <si>
    <t>D 06</t>
  </si>
  <si>
    <t>D 15</t>
  </si>
  <si>
    <t>E 02</t>
  </si>
  <si>
    <t>E 07</t>
  </si>
  <si>
    <t>Irfan Maulana</t>
  </si>
  <si>
    <t>F 04</t>
  </si>
  <si>
    <t>Muhammad Farhan</t>
  </si>
  <si>
    <t>Ahmad Zaini</t>
  </si>
  <si>
    <t>G 09</t>
  </si>
  <si>
    <t>C 02</t>
  </si>
  <si>
    <t>Muhammad Syahroni</t>
  </si>
  <si>
    <t>D 26</t>
  </si>
  <si>
    <t>Muhammad Ridwan</t>
  </si>
  <si>
    <t>E 13</t>
  </si>
  <si>
    <t>F 17</t>
  </si>
  <si>
    <t>G 12</t>
  </si>
  <si>
    <t>G 15</t>
  </si>
  <si>
    <t>A 09</t>
  </si>
  <si>
    <t>A 13</t>
  </si>
  <si>
    <t>B 02</t>
  </si>
  <si>
    <t>C 10</t>
  </si>
  <si>
    <t>D 01</t>
  </si>
  <si>
    <t>D 09</t>
  </si>
  <si>
    <t>D 27</t>
  </si>
  <si>
    <t>F 07</t>
  </si>
  <si>
    <t>G 13</t>
  </si>
  <si>
    <t>G 19</t>
  </si>
  <si>
    <t>Muhammad Abdillah</t>
  </si>
  <si>
    <t>C 06</t>
  </si>
  <si>
    <t>Abdul Aziz</t>
  </si>
  <si>
    <t>D 21</t>
  </si>
  <si>
    <t>D 24</t>
  </si>
  <si>
    <t>Muhammad Ridho</t>
  </si>
  <si>
    <t>F 05</t>
  </si>
  <si>
    <t>F 10</t>
  </si>
  <si>
    <t>C 07</t>
  </si>
  <si>
    <t>D 10</t>
  </si>
  <si>
    <t>Achmad Farhan</t>
  </si>
  <si>
    <t>A 15</t>
  </si>
  <si>
    <t>D 16</t>
  </si>
  <si>
    <t>B 01</t>
  </si>
  <si>
    <t>B 08</t>
  </si>
  <si>
    <t>Helmi</t>
  </si>
  <si>
    <t>Ainul Yaqin</t>
  </si>
  <si>
    <t>04052</t>
  </si>
  <si>
    <t>04053</t>
  </si>
  <si>
    <t>04054</t>
  </si>
  <si>
    <t>Abdil Fairuz Daffa Abyantara</t>
  </si>
  <si>
    <t>04055</t>
  </si>
  <si>
    <t>04056</t>
  </si>
  <si>
    <t>A 08</t>
  </si>
  <si>
    <t>04057</t>
  </si>
  <si>
    <t>Raffa Zyah Niezam</t>
  </si>
  <si>
    <t>04058</t>
  </si>
  <si>
    <t>04059</t>
  </si>
  <si>
    <t>Ahmad Fausul Adim</t>
  </si>
  <si>
    <t>04060</t>
  </si>
  <si>
    <t>M. Farhan Abdullah</t>
  </si>
  <si>
    <t>04061</t>
  </si>
  <si>
    <t>Muhammad Darul Fikri</t>
  </si>
  <si>
    <t>04062</t>
  </si>
  <si>
    <t>Muhammad Iwan</t>
  </si>
  <si>
    <t>04063</t>
  </si>
  <si>
    <t>04064</t>
  </si>
  <si>
    <t>Mohammad Misharil</t>
  </si>
  <si>
    <t>04065</t>
  </si>
  <si>
    <t>Ahmad Fikri Ramahdan</t>
  </si>
  <si>
    <t>04066</t>
  </si>
  <si>
    <t>Ach Habibullah</t>
  </si>
  <si>
    <t>04067</t>
  </si>
  <si>
    <t>04068</t>
  </si>
  <si>
    <t>04069</t>
  </si>
  <si>
    <t>Firzul Ubaidillah Ahmad</t>
  </si>
  <si>
    <t>04070</t>
  </si>
  <si>
    <t>Ahmad Izzul Amin Al Giffari</t>
  </si>
  <si>
    <t>04071</t>
  </si>
  <si>
    <t>Rahmat Ali</t>
  </si>
  <si>
    <t>04072</t>
  </si>
  <si>
    <t>Helmi Al Husaini</t>
  </si>
  <si>
    <t>04073</t>
  </si>
  <si>
    <t>Muhamad Haikal</t>
  </si>
  <si>
    <t>04074</t>
  </si>
  <si>
    <t>Muhammad Fadhil</t>
  </si>
  <si>
    <t>04075</t>
  </si>
  <si>
    <t xml:space="preserve">M. Iqbal </t>
  </si>
  <si>
    <t>04076</t>
  </si>
  <si>
    <t>04077</t>
  </si>
  <si>
    <t>Achmad Farhan Ardiansyah</t>
  </si>
  <si>
    <t>04078</t>
  </si>
  <si>
    <t>Rofiki Rohman Samsul Rozak</t>
  </si>
  <si>
    <t>04079</t>
  </si>
  <si>
    <t>Dedy Andriyansyah</t>
  </si>
  <si>
    <t>04080</t>
  </si>
  <si>
    <t>Badrus Shodiq</t>
  </si>
  <si>
    <t>04081</t>
  </si>
  <si>
    <t>Ahmad Dani</t>
  </si>
  <si>
    <t>E 06</t>
  </si>
  <si>
    <t>04082</t>
  </si>
  <si>
    <t>Haris Alfin Nurin</t>
  </si>
  <si>
    <t>04083</t>
  </si>
  <si>
    <t>04084</t>
  </si>
  <si>
    <t>04085</t>
  </si>
  <si>
    <t>Muhammad Miry Fadly</t>
  </si>
  <si>
    <t>04086</t>
  </si>
  <si>
    <t>Wildan Abrori</t>
  </si>
  <si>
    <t>04087</t>
  </si>
  <si>
    <t>Vicky Hidayah</t>
  </si>
  <si>
    <t>04088</t>
  </si>
  <si>
    <t>Alfin Maulana</t>
  </si>
  <si>
    <t>04089</t>
  </si>
  <si>
    <t>Mohammad Khaly Gasam</t>
  </si>
  <si>
    <t>04090</t>
  </si>
  <si>
    <t>Muhammad Hasan Asyraf M.</t>
  </si>
  <si>
    <t>04091</t>
  </si>
  <si>
    <t>04092</t>
  </si>
  <si>
    <t>Muhammad Akmal Ilman Huda</t>
  </si>
  <si>
    <t>04093</t>
  </si>
  <si>
    <t>Nur Wahid H. Zahidi</t>
  </si>
  <si>
    <t>04094</t>
  </si>
  <si>
    <t>04095</t>
  </si>
  <si>
    <t>Gabriel Al Mustaqim</t>
  </si>
  <si>
    <t>04096</t>
  </si>
  <si>
    <t>Syaiful Jamil</t>
  </si>
  <si>
    <t>04097</t>
  </si>
  <si>
    <t>Muhammad Yunus</t>
  </si>
  <si>
    <t>04098</t>
  </si>
  <si>
    <t>Mohammad Salman Tobiby</t>
  </si>
  <si>
    <t>04099</t>
  </si>
  <si>
    <t>Romadhon Zainul Muttaqin</t>
  </si>
  <si>
    <t>04100</t>
  </si>
  <si>
    <t xml:space="preserve">Ikmal Abror </t>
  </si>
  <si>
    <t>04101</t>
  </si>
  <si>
    <t>Fathur Rozaq</t>
  </si>
  <si>
    <t>04102</t>
  </si>
  <si>
    <t>Safir Azam Al Muchlis</t>
  </si>
  <si>
    <t>04103</t>
  </si>
  <si>
    <t>Mohamad Rifa'I</t>
  </si>
  <si>
    <t>04104</t>
  </si>
  <si>
    <t>Alif Aslansah</t>
  </si>
  <si>
    <t>04105</t>
  </si>
  <si>
    <t>04106</t>
  </si>
  <si>
    <t>Muhammad Jiat Nawawi</t>
  </si>
  <si>
    <t>04107</t>
  </si>
  <si>
    <t>Wildan Afif Fahreza</t>
  </si>
  <si>
    <t>04108</t>
  </si>
  <si>
    <t>04109</t>
  </si>
  <si>
    <t>04110</t>
  </si>
  <si>
    <t>Abdurrahman Saleh</t>
  </si>
  <si>
    <t>04111</t>
  </si>
  <si>
    <t>04112</t>
  </si>
  <si>
    <t>M. Ainul Yakin</t>
  </si>
  <si>
    <t>04113</t>
  </si>
  <si>
    <t>Haidar Salim</t>
  </si>
  <si>
    <t>04114</t>
  </si>
  <si>
    <t>Kevin Rena Pratama</t>
  </si>
  <si>
    <t>04115</t>
  </si>
  <si>
    <t>Muhammad Reza</t>
  </si>
  <si>
    <t>04116</t>
  </si>
  <si>
    <t>Saiful Anam</t>
  </si>
  <si>
    <t>04117</t>
  </si>
  <si>
    <t>M. Nasrudin Ashari</t>
  </si>
  <si>
    <t>04118</t>
  </si>
  <si>
    <t>04119</t>
  </si>
  <si>
    <t>04120</t>
  </si>
  <si>
    <t>M. Alif Fahmi Junaidi</t>
  </si>
  <si>
    <t>04121</t>
  </si>
  <si>
    <t>04122</t>
  </si>
  <si>
    <t>Ahmad Dafi Afandi</t>
  </si>
  <si>
    <t>04123</t>
  </si>
  <si>
    <t xml:space="preserve">Arifin Ilham </t>
  </si>
  <si>
    <t>04124</t>
  </si>
  <si>
    <t>Muhammad Hilman Al Farizi</t>
  </si>
  <si>
    <t>04125</t>
  </si>
  <si>
    <t>04126</t>
  </si>
  <si>
    <t>04127</t>
  </si>
  <si>
    <t>Fahmi Sirrul Asror</t>
  </si>
  <si>
    <t>04128</t>
  </si>
  <si>
    <t>M Ba'its Syawqil Ilmi</t>
  </si>
  <si>
    <t>04129</t>
  </si>
  <si>
    <t>D 08</t>
  </si>
  <si>
    <t>04130</t>
  </si>
  <si>
    <t>Nafis Zainal Akbar</t>
  </si>
  <si>
    <t>D 11</t>
  </si>
  <si>
    <t>04131</t>
  </si>
  <si>
    <t>Ikbal Maulana</t>
  </si>
  <si>
    <t>D 14</t>
  </si>
  <si>
    <t>04132</t>
  </si>
  <si>
    <t>Yahya Aufa</t>
  </si>
  <si>
    <t>04133</t>
  </si>
  <si>
    <t>Achmad Ridho</t>
  </si>
  <si>
    <t>04134</t>
  </si>
  <si>
    <t>04135</t>
  </si>
  <si>
    <t>Andika Rafif Nuri</t>
  </si>
  <si>
    <t>04136</t>
  </si>
  <si>
    <t>Rizqi</t>
  </si>
  <si>
    <t>04137</t>
  </si>
  <si>
    <t>M. Dani</t>
  </si>
  <si>
    <t>04138</t>
  </si>
  <si>
    <t>Muhammad Ismail</t>
  </si>
  <si>
    <t>04139</t>
  </si>
  <si>
    <t>04140</t>
  </si>
  <si>
    <t>Kevin Al Ibad</t>
  </si>
  <si>
    <t>04141</t>
  </si>
  <si>
    <t>Ramadhani Putra Pratama</t>
  </si>
  <si>
    <t>04142</t>
  </si>
  <si>
    <t>Akhmad Faizul Haq</t>
  </si>
  <si>
    <t>04143</t>
  </si>
  <si>
    <t>Renaldi Agusta Pristanto</t>
  </si>
  <si>
    <t>04144</t>
  </si>
  <si>
    <t>A faiqul Anam</t>
  </si>
  <si>
    <t>04145</t>
  </si>
  <si>
    <t>Muhammad Imron Rosyadi</t>
  </si>
  <si>
    <t>04146</t>
  </si>
  <si>
    <t>Ibtisam Putra Dhiyaul Haq</t>
  </si>
  <si>
    <t>04147</t>
  </si>
  <si>
    <t>Habibi Ubaidillah</t>
  </si>
  <si>
    <t>04148</t>
  </si>
  <si>
    <t>Muhammad Badrus Shodiq</t>
  </si>
  <si>
    <t>04149</t>
  </si>
  <si>
    <t>Ahmad Hasim</t>
  </si>
  <si>
    <t>04150</t>
  </si>
  <si>
    <t>Alfin</t>
  </si>
  <si>
    <t>F 18</t>
  </si>
  <si>
    <t>04151</t>
  </si>
  <si>
    <t>Dimas Andreansyah</t>
  </si>
  <si>
    <t>04152</t>
  </si>
  <si>
    <t xml:space="preserve"> M. Afiqus Zahir</t>
  </si>
  <si>
    <t>04153</t>
  </si>
  <si>
    <t>Ahmad Farizi</t>
  </si>
  <si>
    <t>04154</t>
  </si>
  <si>
    <t>Muhammad Isrof Nabiyyil M.</t>
  </si>
  <si>
    <t>04155</t>
  </si>
  <si>
    <t>Moch. Ziqnil Mubarrok</t>
  </si>
  <si>
    <t>04156</t>
  </si>
  <si>
    <t>04157</t>
  </si>
  <si>
    <t>Muhammad Haizul Ma'aly</t>
  </si>
  <si>
    <t>04158</t>
  </si>
  <si>
    <t>04159</t>
  </si>
  <si>
    <t>Fahim Fatahillah</t>
  </si>
  <si>
    <t>04160</t>
  </si>
  <si>
    <t>Faruq Abdillah</t>
  </si>
  <si>
    <t>04161</t>
  </si>
  <si>
    <t>04162</t>
  </si>
  <si>
    <t>Sukron Hidayat</t>
  </si>
  <si>
    <t>LPBA</t>
  </si>
  <si>
    <t>04163</t>
  </si>
  <si>
    <t>Abdur Rofiudin</t>
  </si>
  <si>
    <t>04164</t>
  </si>
  <si>
    <t>Dimas Putra Pratama</t>
  </si>
  <si>
    <t>04165</t>
  </si>
  <si>
    <t>Ahmad Ridho</t>
  </si>
  <si>
    <t>04166</t>
  </si>
  <si>
    <t>Muhammad Muhsin</t>
  </si>
  <si>
    <t>04167</t>
  </si>
  <si>
    <t>Muhammad Ufron</t>
  </si>
  <si>
    <t>04168</t>
  </si>
  <si>
    <t>Ahmad Hibatullah Tajudin Firdaus</t>
  </si>
  <si>
    <t>04169</t>
  </si>
  <si>
    <t>Muhammad Sayrofi</t>
  </si>
  <si>
    <t>04170</t>
  </si>
  <si>
    <t>Zainal Arifin</t>
  </si>
  <si>
    <t>04171</t>
  </si>
  <si>
    <t>Zainal Abidhin</t>
  </si>
  <si>
    <t>04172</t>
  </si>
  <si>
    <t>Sofi Afiful Latif</t>
  </si>
  <si>
    <t>04173</t>
  </si>
  <si>
    <t>Gading Dwi Laksono</t>
  </si>
  <si>
    <t>04174</t>
  </si>
  <si>
    <t>Rafly Aulirah Januar</t>
  </si>
  <si>
    <t>04175</t>
  </si>
  <si>
    <t>04176</t>
  </si>
  <si>
    <t>Muhammad Hadi</t>
  </si>
  <si>
    <t>04177</t>
  </si>
  <si>
    <t>Ahmad Rafadrin Fahrozi</t>
  </si>
  <si>
    <t>04178</t>
  </si>
  <si>
    <t>Agel Anwar</t>
  </si>
  <si>
    <t>04179</t>
  </si>
  <si>
    <t>Muhamad Muhaimin I.</t>
  </si>
  <si>
    <t>04180</t>
  </si>
  <si>
    <t>Ahmad Asrorul Faizi</t>
  </si>
  <si>
    <t>04181</t>
  </si>
  <si>
    <t>Salman Alfarisi</t>
  </si>
  <si>
    <t>04182</t>
  </si>
  <si>
    <t>Muhammad Rendi</t>
  </si>
  <si>
    <t>04183</t>
  </si>
  <si>
    <t>Moch. Fahri Musthofa</t>
  </si>
  <si>
    <t>04184</t>
  </si>
  <si>
    <t>Habil Haidir Anwar</t>
  </si>
  <si>
    <t>04185</t>
  </si>
  <si>
    <t>Hafid Aziz</t>
  </si>
  <si>
    <t>04186</t>
  </si>
  <si>
    <t>04187</t>
  </si>
  <si>
    <t>04188</t>
  </si>
  <si>
    <t>Aufan Najah</t>
  </si>
  <si>
    <t>04189</t>
  </si>
  <si>
    <t>Abdul Basid</t>
  </si>
  <si>
    <t>04190</t>
  </si>
  <si>
    <t>Ahmad Fauzi</t>
  </si>
  <si>
    <t>04191</t>
  </si>
  <si>
    <t>Muhyiddin Ms</t>
  </si>
  <si>
    <t>04192</t>
  </si>
  <si>
    <t>Muhammad Thoriq Haqiqi</t>
  </si>
  <si>
    <t>04193</t>
  </si>
  <si>
    <t>04194</t>
  </si>
  <si>
    <t>Moch Hasan Huda</t>
  </si>
  <si>
    <t>04195</t>
  </si>
  <si>
    <t>Alfiansyah Maulana Azidan</t>
  </si>
  <si>
    <t>04196</t>
  </si>
  <si>
    <t>Ahmad Husen</t>
  </si>
  <si>
    <t>04197</t>
  </si>
  <si>
    <t>04198</t>
  </si>
  <si>
    <t>Mohammad Choiruddin M.</t>
  </si>
  <si>
    <t>04199</t>
  </si>
  <si>
    <t>04200</t>
  </si>
  <si>
    <t>Hilmy Azis</t>
  </si>
  <si>
    <t>04201</t>
  </si>
  <si>
    <t>Umar Baidowi</t>
  </si>
  <si>
    <t>04202</t>
  </si>
  <si>
    <t>Mohammad Abdur Rohman</t>
  </si>
  <si>
    <t>04203</t>
  </si>
  <si>
    <t>04204</t>
  </si>
  <si>
    <t>Muchammad Reza Aspiyak</t>
  </si>
  <si>
    <t>04205</t>
  </si>
  <si>
    <t>Rukim Rizaldi</t>
  </si>
  <si>
    <t>04206</t>
  </si>
  <si>
    <t>Ahmad Rofi'I</t>
  </si>
  <si>
    <t>04207</t>
  </si>
  <si>
    <t>04208</t>
  </si>
  <si>
    <t>Aditya Zyah Reza</t>
  </si>
  <si>
    <t>04209</t>
  </si>
  <si>
    <t>Muhammad Jibril Azkiya Qolbi</t>
  </si>
  <si>
    <t>04210</t>
  </si>
  <si>
    <t>04211</t>
  </si>
  <si>
    <t>04212</t>
  </si>
  <si>
    <t>Muhammad Saiful Ilham</t>
  </si>
  <si>
    <t>04213</t>
  </si>
  <si>
    <t>04214</t>
  </si>
  <si>
    <t>Ahmad Haidar Aly Husein</t>
  </si>
  <si>
    <t>04215</t>
  </si>
  <si>
    <t>Hazza Alfian Syah</t>
  </si>
  <si>
    <t>04216</t>
  </si>
  <si>
    <t>Muhammad Ma'ruf</t>
  </si>
  <si>
    <t>04217</t>
  </si>
  <si>
    <t>Zakil Mawardi Munip</t>
  </si>
  <si>
    <t>04218</t>
  </si>
  <si>
    <t>04219</t>
  </si>
  <si>
    <t>Akbarul Hammi</t>
  </si>
  <si>
    <t>04220</t>
  </si>
  <si>
    <t>Moh. Syaikhoni</t>
  </si>
  <si>
    <t>04221</t>
  </si>
  <si>
    <t>04222</t>
  </si>
  <si>
    <t>M. Rehan Hamdani</t>
  </si>
  <si>
    <t>04223</t>
  </si>
  <si>
    <t>Ferdy Hasan</t>
  </si>
  <si>
    <t>04224</t>
  </si>
  <si>
    <t>04225</t>
  </si>
  <si>
    <t>Hidayatul Munawwarullah</t>
  </si>
  <si>
    <t>04226</t>
  </si>
  <si>
    <t>Fais</t>
  </si>
  <si>
    <t>04227</t>
  </si>
  <si>
    <t>Alifal Mukhtar</t>
  </si>
  <si>
    <t>04228</t>
  </si>
  <si>
    <t>Muhammad Sahrul R.</t>
  </si>
  <si>
    <t>04229</t>
  </si>
  <si>
    <t>Hakimul Hasan</t>
  </si>
  <si>
    <t>04230</t>
  </si>
  <si>
    <t>Muhammad Fahri Najmustsaqib</t>
  </si>
  <si>
    <t>04231</t>
  </si>
  <si>
    <t>Muhammat Holilur Rohman</t>
  </si>
  <si>
    <t>04232</t>
  </si>
  <si>
    <t>Zeh Aqil</t>
  </si>
  <si>
    <t>04233</t>
  </si>
  <si>
    <t>Anwar Fajri</t>
  </si>
  <si>
    <t>04234</t>
  </si>
  <si>
    <t>Achmad Nur Haqiqi</t>
  </si>
  <si>
    <t>04235</t>
  </si>
  <si>
    <t>Ahmad Sani</t>
  </si>
  <si>
    <t>04236</t>
  </si>
  <si>
    <t>Nur Arif</t>
  </si>
  <si>
    <t>04237</t>
  </si>
  <si>
    <t>Muhammad Zainudin</t>
  </si>
  <si>
    <t>04238</t>
  </si>
  <si>
    <t>Hosni Mobarat</t>
  </si>
  <si>
    <t>04239</t>
  </si>
  <si>
    <t>04240</t>
  </si>
  <si>
    <t>04241</t>
  </si>
  <si>
    <t>04242</t>
  </si>
  <si>
    <t>Khoirul Anam</t>
  </si>
  <si>
    <t>04243</t>
  </si>
  <si>
    <t>Muhammad Yazid Bustomi</t>
  </si>
  <si>
    <t>04244</t>
  </si>
  <si>
    <t>04245</t>
  </si>
  <si>
    <t>04246</t>
  </si>
  <si>
    <t>Fathur Rosi</t>
  </si>
  <si>
    <t>04247</t>
  </si>
  <si>
    <t>04248</t>
  </si>
  <si>
    <t>Muhammad Adam Mustofa</t>
  </si>
  <si>
    <t>04249</t>
  </si>
  <si>
    <t>M. Asmaul Husna</t>
  </si>
  <si>
    <t>04250</t>
  </si>
  <si>
    <t>04251</t>
  </si>
  <si>
    <t>04252</t>
  </si>
  <si>
    <t>M. Qomaruddin</t>
  </si>
  <si>
    <t>04253</t>
  </si>
  <si>
    <t>Muhammad Faiz Kholidi</t>
  </si>
  <si>
    <t>04254</t>
  </si>
  <si>
    <t>Alfin Mubarok</t>
  </si>
  <si>
    <t>04255</t>
  </si>
  <si>
    <t>Abdullah Izzuddin</t>
  </si>
  <si>
    <t>04256</t>
  </si>
  <si>
    <t>Mussafak Ali</t>
  </si>
  <si>
    <t>04257</t>
  </si>
  <si>
    <t>Ahmad Ihya Uddin</t>
  </si>
  <si>
    <t>04258</t>
  </si>
  <si>
    <t>Dimas Hamdan Maulidani</t>
  </si>
  <si>
    <t>04259</t>
  </si>
  <si>
    <t>Moh Jainul Arobi</t>
  </si>
  <si>
    <t>04260</t>
  </si>
  <si>
    <t>M. Qufron</t>
  </si>
  <si>
    <t>04261</t>
  </si>
  <si>
    <t>Muhammad Fahmi</t>
  </si>
  <si>
    <t>04262</t>
  </si>
  <si>
    <t>04263</t>
  </si>
  <si>
    <t>M. Khoirul Nisam</t>
  </si>
  <si>
    <t>04264</t>
  </si>
  <si>
    <t>Ma'Arif Fathurridho</t>
  </si>
  <si>
    <t>04265</t>
  </si>
  <si>
    <t>Sofwan Irham Mahfud</t>
  </si>
  <si>
    <t>04266</t>
  </si>
  <si>
    <t>Rhama Maulana</t>
  </si>
  <si>
    <t>04267</t>
  </si>
  <si>
    <t>04268</t>
  </si>
  <si>
    <t>Ahmad Fikri Ramadhani</t>
  </si>
  <si>
    <t>04269</t>
  </si>
  <si>
    <t>04270</t>
  </si>
  <si>
    <t>Fardan</t>
  </si>
  <si>
    <t>04271</t>
  </si>
  <si>
    <t>Muhammad Ali Ridho</t>
  </si>
  <si>
    <t>04272</t>
  </si>
  <si>
    <t>Muhammad Wildan</t>
  </si>
  <si>
    <t>04273</t>
  </si>
  <si>
    <t>Ilfan Ahmatika</t>
  </si>
  <si>
    <t>04274</t>
  </si>
  <si>
    <t>Achmad Umar Faris</t>
  </si>
  <si>
    <t>04275</t>
  </si>
  <si>
    <t>Choirul Anam</t>
  </si>
  <si>
    <t>04276</t>
  </si>
  <si>
    <t>Habibur Rohman Habibi</t>
  </si>
  <si>
    <t>04277</t>
  </si>
  <si>
    <t>Mochammad Reza</t>
  </si>
  <si>
    <t>04278</t>
  </si>
  <si>
    <t>Muhammad Fattah Eden B</t>
  </si>
  <si>
    <t>04279</t>
  </si>
  <si>
    <t>Hamdani Sholeh</t>
  </si>
  <si>
    <t>04280</t>
  </si>
  <si>
    <t>Muhammad Aditya Akbar Putra</t>
  </si>
  <si>
    <t>04281</t>
  </si>
  <si>
    <t>Nuril Azam Basith</t>
  </si>
  <si>
    <t>04282</t>
  </si>
  <si>
    <t>Syamsul Arifin</t>
  </si>
  <si>
    <t>04283</t>
  </si>
  <si>
    <t>Amir Faruk</t>
  </si>
  <si>
    <t>04284</t>
  </si>
  <si>
    <t>Andre Firmansyah</t>
  </si>
  <si>
    <t>C 13</t>
  </si>
  <si>
    <t>04285</t>
  </si>
  <si>
    <t>04286</t>
  </si>
  <si>
    <t>Moh Azka Prayoga</t>
  </si>
  <si>
    <t>04287</t>
  </si>
  <si>
    <t>Moch. Faisal</t>
  </si>
  <si>
    <t>04288</t>
  </si>
  <si>
    <t>Al Fatahillah</t>
  </si>
  <si>
    <t>04289</t>
  </si>
  <si>
    <t>Muhammad Fiki Evendi</t>
  </si>
  <si>
    <t>04290</t>
  </si>
  <si>
    <t>Muhammad Reihan F.</t>
  </si>
  <si>
    <t>04291</t>
  </si>
  <si>
    <t>Rasya Ferdiansyah</t>
  </si>
  <si>
    <t>04292</t>
  </si>
  <si>
    <t>Aidil Adhar</t>
  </si>
  <si>
    <t>04293</t>
  </si>
  <si>
    <t>Moch Diki Alfas Salam Rozek</t>
  </si>
  <si>
    <t>04294</t>
  </si>
  <si>
    <t>Abdul Hamid Aminunah</t>
  </si>
  <si>
    <t>04295</t>
  </si>
  <si>
    <t>Ahmad Qusairi</t>
  </si>
  <si>
    <t>04296</t>
  </si>
  <si>
    <t>04297</t>
  </si>
  <si>
    <t>Ferdi Ardiansyah</t>
  </si>
  <si>
    <t>04298</t>
  </si>
  <si>
    <t>04299</t>
  </si>
  <si>
    <t>Abdul Gofur</t>
  </si>
  <si>
    <t>04300</t>
  </si>
  <si>
    <t>Lutfi Holelulloh</t>
  </si>
  <si>
    <t>04301</t>
  </si>
  <si>
    <t>M. Sholeh Khuddin</t>
  </si>
  <si>
    <t>04302</t>
  </si>
  <si>
    <t>Hafidhur Rochman</t>
  </si>
  <si>
    <t>04303</t>
  </si>
  <si>
    <t>Alfa Rio Irsadillah</t>
  </si>
  <si>
    <t>04304</t>
  </si>
  <si>
    <t>04305</t>
  </si>
  <si>
    <t>Muhammad Arya Dinata</t>
  </si>
  <si>
    <t>04306</t>
  </si>
  <si>
    <t>Wildan Wafi Albani</t>
  </si>
  <si>
    <t>04307</t>
  </si>
  <si>
    <t>04308</t>
  </si>
  <si>
    <t>Abdul Ghofur</t>
  </si>
  <si>
    <t>04309</t>
  </si>
  <si>
    <t>Arjuna Widiyanto</t>
  </si>
  <si>
    <t>04310</t>
  </si>
  <si>
    <t>Muhammad Syarifuddin</t>
  </si>
  <si>
    <t>04311</t>
  </si>
  <si>
    <t>Ibnul Jauzi</t>
  </si>
  <si>
    <t>04312</t>
  </si>
  <si>
    <t>Nurul Hamin</t>
  </si>
  <si>
    <t>04313</t>
  </si>
  <si>
    <t>Muhammad Firmansyah</t>
  </si>
  <si>
    <t>04314</t>
  </si>
  <si>
    <t>Reza Aditya Pratama</t>
  </si>
  <si>
    <t>04315</t>
  </si>
  <si>
    <t>M Ridwan</t>
  </si>
  <si>
    <t>04316</t>
  </si>
  <si>
    <t>04317</t>
  </si>
  <si>
    <t>M. Hubailul Fuad</t>
  </si>
  <si>
    <t>04318</t>
  </si>
  <si>
    <t>Agung Setiawan</t>
  </si>
  <si>
    <t>04319</t>
  </si>
  <si>
    <t>Miftahul Farham</t>
  </si>
  <si>
    <t>04320</t>
  </si>
  <si>
    <t>Sofian Hanafi</t>
  </si>
  <si>
    <t>04321</t>
  </si>
  <si>
    <t>04322</t>
  </si>
  <si>
    <t>Salman Al-Farisi</t>
  </si>
  <si>
    <t>04323</t>
  </si>
  <si>
    <t>04324</t>
  </si>
  <si>
    <t>Abdur Rohman Wakhid</t>
  </si>
  <si>
    <t>04325</t>
  </si>
  <si>
    <t>Muhammad Faiqul Umam</t>
  </si>
  <si>
    <t>04326</t>
  </si>
  <si>
    <t>Ahmad Dika Alfaris</t>
  </si>
  <si>
    <t>04327</t>
  </si>
  <si>
    <t>04328</t>
  </si>
  <si>
    <t>Robi Kurniawan</t>
  </si>
  <si>
    <t>04329</t>
  </si>
  <si>
    <t>Fahmi Hardiansyah</t>
  </si>
  <si>
    <t>04330</t>
  </si>
  <si>
    <t>Faisal Ramadhan</t>
  </si>
  <si>
    <t>04331</t>
  </si>
  <si>
    <t>Mochamad Fikri Akbar Haikal</t>
  </si>
  <si>
    <t>04332</t>
  </si>
  <si>
    <t>Agil Masriyadi</t>
  </si>
  <si>
    <t>04333</t>
  </si>
  <si>
    <t>Ahmad Fani Saputra</t>
  </si>
  <si>
    <t>04334</t>
  </si>
  <si>
    <t>Alhafidhul lisa</t>
  </si>
  <si>
    <t>04335</t>
  </si>
  <si>
    <t>Nanda Taufiqir Rahman</t>
  </si>
  <si>
    <t>04336</t>
  </si>
  <si>
    <t>04337</t>
  </si>
  <si>
    <t>04338</t>
  </si>
  <si>
    <t>M. Didar Alisyahbana</t>
  </si>
  <si>
    <t>04339</t>
  </si>
  <si>
    <t>04340</t>
  </si>
  <si>
    <t>Dio Maulana</t>
  </si>
  <si>
    <t>04341</t>
  </si>
  <si>
    <t>Achmad Hudaify Mahfudz</t>
  </si>
  <si>
    <t>04342</t>
  </si>
  <si>
    <t>Fahri Imron</t>
  </si>
  <si>
    <t>04343</t>
  </si>
  <si>
    <t>Sandra Agung Wijaya</t>
  </si>
  <si>
    <t>04344</t>
  </si>
  <si>
    <t>Haikal Alam Ahmad Pratama</t>
  </si>
  <si>
    <t>04345</t>
  </si>
  <si>
    <t>Syahru Ramadansyah</t>
  </si>
  <si>
    <t>04346</t>
  </si>
  <si>
    <t>Hafiz Fardan Fahrozi</t>
  </si>
  <si>
    <t>04347</t>
  </si>
  <si>
    <t>Abda Lawi</t>
  </si>
  <si>
    <t>04348</t>
  </si>
  <si>
    <t>Rahil Hasan</t>
  </si>
  <si>
    <t>04349</t>
  </si>
  <si>
    <t>04350</t>
  </si>
  <si>
    <t>Muhammat Imam Alfariski</t>
  </si>
  <si>
    <t>04351</t>
  </si>
  <si>
    <t>Mohammad Fahri</t>
  </si>
  <si>
    <t>04352</t>
  </si>
  <si>
    <t>Ahmad Farhan Al-Farizi</t>
  </si>
  <si>
    <t>04353</t>
  </si>
  <si>
    <t>Muhammad Husni Mubarok</t>
  </si>
  <si>
    <t>04354</t>
  </si>
  <si>
    <t>04355</t>
  </si>
  <si>
    <t>Mochammad Iqbal Syaifullah</t>
  </si>
  <si>
    <t>04356</t>
  </si>
  <si>
    <t>Riko Prastyo Adinata</t>
  </si>
  <si>
    <t>04357</t>
  </si>
  <si>
    <t>Moh Yusuf</t>
  </si>
  <si>
    <t>04358</t>
  </si>
  <si>
    <t>Roby Abdul Latif</t>
  </si>
  <si>
    <t>04359</t>
  </si>
  <si>
    <t>Reza Maulana</t>
  </si>
  <si>
    <t>04360</t>
  </si>
  <si>
    <t>04361</t>
  </si>
  <si>
    <t xml:space="preserve">M. Farhan </t>
  </si>
  <si>
    <t>04362</t>
  </si>
  <si>
    <t>Muzaqi Ridho Suganda</t>
  </si>
  <si>
    <t>04363</t>
  </si>
  <si>
    <t>Muhammad As'Ad Samsul A.</t>
  </si>
  <si>
    <t>04364</t>
  </si>
  <si>
    <t>Raditiya Wildan Mubarok</t>
  </si>
  <si>
    <t>04365</t>
  </si>
  <si>
    <t>Farhan Maulidani</t>
  </si>
  <si>
    <t>04366</t>
  </si>
  <si>
    <t>Muhammad Faris</t>
  </si>
  <si>
    <t>04367</t>
  </si>
  <si>
    <t>Moh. Risqi Gangsar G.</t>
  </si>
  <si>
    <t>04368</t>
  </si>
  <si>
    <t>Mochammad Munif</t>
  </si>
  <si>
    <t>04369</t>
  </si>
  <si>
    <t>Saifur Rizal</t>
  </si>
  <si>
    <t>04370</t>
  </si>
  <si>
    <t>Achmad Alvin Hamdani</t>
  </si>
  <si>
    <t>04371</t>
  </si>
  <si>
    <t>Ni'amullah</t>
  </si>
  <si>
    <t>04372</t>
  </si>
  <si>
    <t>M. Mahfud</t>
  </si>
  <si>
    <t>04373</t>
  </si>
  <si>
    <t>Ravanur F</t>
  </si>
  <si>
    <t>04374</t>
  </si>
  <si>
    <t>M Rafka Maulana Rahman</t>
  </si>
  <si>
    <t>04375</t>
  </si>
  <si>
    <t>Muhammad Faisal Juli P.</t>
  </si>
  <si>
    <t>04376</t>
  </si>
  <si>
    <t>Ahmad Bahrus Sholeh</t>
  </si>
  <si>
    <t>04377</t>
  </si>
  <si>
    <t>Muhammad</t>
  </si>
  <si>
    <t>04378</t>
  </si>
  <si>
    <t>Iqbal Maulana Putra</t>
  </si>
  <si>
    <t>04379</t>
  </si>
  <si>
    <t>Muhammad Ali Fikri</t>
  </si>
  <si>
    <t>04380</t>
  </si>
  <si>
    <t>Soimis Sahril Fadil</t>
  </si>
  <si>
    <t>04381</t>
  </si>
  <si>
    <t>Diki Cahyana</t>
  </si>
  <si>
    <t>04382</t>
  </si>
  <si>
    <t>04383</t>
  </si>
  <si>
    <t>Achmad Danil Baihaqi</t>
  </si>
  <si>
    <t>04384</t>
  </si>
  <si>
    <t>Dimas Maulana Malik</t>
  </si>
  <si>
    <t>04385</t>
  </si>
  <si>
    <t>Wahyu Maulana</t>
  </si>
  <si>
    <t>04386</t>
  </si>
  <si>
    <t>Mohammad Favian Ferdinan</t>
  </si>
  <si>
    <t>04387</t>
  </si>
  <si>
    <t>Muhammad Alfian Nur Hakiki</t>
  </si>
  <si>
    <t>04388</t>
  </si>
  <si>
    <t>04389</t>
  </si>
  <si>
    <t>04390</t>
  </si>
  <si>
    <t>Khoiril Anam</t>
  </si>
  <si>
    <t>04391</t>
  </si>
  <si>
    <t>Aril</t>
  </si>
  <si>
    <t>04392</t>
  </si>
  <si>
    <t>Abd Hamid</t>
  </si>
  <si>
    <t>04393</t>
  </si>
  <si>
    <t>Mohammad Alfin Faqih</t>
  </si>
  <si>
    <t>04394</t>
  </si>
  <si>
    <t>Ahmad Hamdi</t>
  </si>
  <si>
    <t>04395</t>
  </si>
  <si>
    <t>Moch. Nurul Alfi Fauzen</t>
  </si>
  <si>
    <t>04396</t>
  </si>
  <si>
    <t>Muhammad Anshori</t>
  </si>
  <si>
    <t>04397</t>
  </si>
  <si>
    <t>Alvin Maulana</t>
  </si>
  <si>
    <t>04398</t>
  </si>
  <si>
    <t>04399</t>
  </si>
  <si>
    <t>04400</t>
  </si>
  <si>
    <t>Rayhan Mawardi Ilyas</t>
  </si>
  <si>
    <t>04401</t>
  </si>
  <si>
    <t>Muhammad Agung Setiawan</t>
  </si>
  <si>
    <t>04402</t>
  </si>
  <si>
    <t>04403</t>
  </si>
  <si>
    <t>04404</t>
  </si>
  <si>
    <t>Moh. Asyrof Maulidi Kholiq</t>
  </si>
  <si>
    <t>04405</t>
  </si>
  <si>
    <t>04406</t>
  </si>
  <si>
    <t>Ahmad Ramli Asyraf Maulana</t>
  </si>
  <si>
    <t>04407</t>
  </si>
  <si>
    <t>Alfian Fauzen</t>
  </si>
  <si>
    <t>04408</t>
  </si>
  <si>
    <t>04409</t>
  </si>
  <si>
    <t>04410</t>
  </si>
  <si>
    <t>Zainul Arifin</t>
  </si>
  <si>
    <t>04411</t>
  </si>
  <si>
    <t>Shohibul Mi'Roj</t>
  </si>
  <si>
    <t>04412</t>
  </si>
  <si>
    <t>Malik Ibrohim</t>
  </si>
  <si>
    <t>04413</t>
  </si>
  <si>
    <t>Ikmal Arifin Nizam</t>
  </si>
  <si>
    <t>04414</t>
  </si>
  <si>
    <t>Salman Al Farizi</t>
  </si>
  <si>
    <t>04415</t>
  </si>
  <si>
    <t>Reyka Holsasinatra</t>
  </si>
  <si>
    <t>04416</t>
  </si>
  <si>
    <t>Rifki</t>
  </si>
  <si>
    <t>04417</t>
  </si>
  <si>
    <t>Ali Fridaus</t>
  </si>
  <si>
    <t>04418</t>
  </si>
  <si>
    <t>04419</t>
  </si>
  <si>
    <t>Wildan Siddiq</t>
  </si>
  <si>
    <t>04420</t>
  </si>
  <si>
    <t>Muhammad Hudaifah</t>
  </si>
  <si>
    <t>04421</t>
  </si>
  <si>
    <t>04422</t>
  </si>
  <si>
    <t>Ahmad Zaky Zulfikar Kamil</t>
  </si>
  <si>
    <t>04423</t>
  </si>
  <si>
    <t>Rohmad Arifianto</t>
  </si>
  <si>
    <t>04424</t>
  </si>
  <si>
    <t>Muhammad Tanzilul Ikbal</t>
  </si>
  <si>
    <t>04425</t>
  </si>
  <si>
    <t>Mohammad Irfan Saputra</t>
  </si>
  <si>
    <t>04426</t>
  </si>
  <si>
    <t>Moh. Yahya Rizqi Ismail</t>
  </si>
  <si>
    <t>04427</t>
  </si>
  <si>
    <t>04428</t>
  </si>
  <si>
    <t>Afwan Maulana Azidan</t>
  </si>
  <si>
    <t>04429</t>
  </si>
  <si>
    <t>Muhammad Roni Ubaydilah</t>
  </si>
  <si>
    <t>04430</t>
  </si>
  <si>
    <t>Abdullah Faqih</t>
  </si>
  <si>
    <t>04431</t>
  </si>
  <si>
    <t>Ahmad Nazril Maulana</t>
  </si>
  <si>
    <t>KET</t>
  </si>
  <si>
    <t>05001</t>
  </si>
  <si>
    <t>Ahmad Farhan</t>
  </si>
  <si>
    <t>05002</t>
  </si>
  <si>
    <t>M. Agustia Fadlulah</t>
  </si>
  <si>
    <t>05003</t>
  </si>
  <si>
    <t>Muhammad Fahmi Ali</t>
  </si>
  <si>
    <t>05004</t>
  </si>
  <si>
    <t>Sirojul Munir</t>
  </si>
  <si>
    <t>05005</t>
  </si>
  <si>
    <t>05006</t>
  </si>
  <si>
    <t>Khoyril Anam</t>
  </si>
  <si>
    <t>05007</t>
  </si>
  <si>
    <t>Ahmad Zakiudin</t>
  </si>
  <si>
    <t>05008</t>
  </si>
  <si>
    <t>Umar Faruq</t>
  </si>
  <si>
    <t>05009</t>
  </si>
  <si>
    <t>Ahmad Magrobi</t>
  </si>
  <si>
    <t>05010</t>
  </si>
  <si>
    <t>Nailul Auton</t>
  </si>
  <si>
    <t>05011</t>
  </si>
  <si>
    <t>05012</t>
  </si>
  <si>
    <t>Rehan</t>
  </si>
  <si>
    <t>05013</t>
  </si>
  <si>
    <t>Mohammad Amir Faisal</t>
  </si>
  <si>
    <t>05014</t>
  </si>
  <si>
    <t>Muhammad Iqrom Hairil Haq</t>
  </si>
  <si>
    <t>05015</t>
  </si>
  <si>
    <t>Fiki Ramadani</t>
  </si>
  <si>
    <t>05016</t>
  </si>
  <si>
    <t>Muhammad Saiful Fahri</t>
  </si>
  <si>
    <t>05017</t>
  </si>
  <si>
    <t>Mursyid Akbar</t>
  </si>
  <si>
    <t>05018</t>
  </si>
  <si>
    <t>Zeiful Romadhoni</t>
  </si>
  <si>
    <t>05019</t>
  </si>
  <si>
    <t>M Aditya Pratama Winata</t>
  </si>
  <si>
    <t>05020</t>
  </si>
  <si>
    <t>05021</t>
  </si>
  <si>
    <t>Firmansah Widodo Rahmat</t>
  </si>
  <si>
    <t>05022</t>
  </si>
  <si>
    <t>05023</t>
  </si>
  <si>
    <t>Miqdad Nahied Nawwafi</t>
  </si>
  <si>
    <t>05024</t>
  </si>
  <si>
    <t>Dafa Bagas Prayogi</t>
  </si>
  <si>
    <t>05025</t>
  </si>
  <si>
    <t>Sayyid Wais Anwar Q.</t>
  </si>
  <si>
    <t>05026</t>
  </si>
  <si>
    <t>Sofyan Firmansyah</t>
  </si>
  <si>
    <t>05027</t>
  </si>
  <si>
    <t>05028</t>
  </si>
  <si>
    <t>05029</t>
  </si>
  <si>
    <t>Muhammad Ramdan U.</t>
  </si>
  <si>
    <t>05030</t>
  </si>
  <si>
    <t>Moh. Faqih</t>
  </si>
  <si>
    <t>05031</t>
  </si>
  <si>
    <t>M. Arifin</t>
  </si>
  <si>
    <t>05032</t>
  </si>
  <si>
    <t>Muhammad Zaenal Arifin</t>
  </si>
  <si>
    <t>05033</t>
  </si>
  <si>
    <t>05034</t>
  </si>
  <si>
    <t>05035</t>
  </si>
  <si>
    <t>Muhammad Rizki Alvin</t>
  </si>
  <si>
    <t>05036</t>
  </si>
  <si>
    <t>05037</t>
  </si>
  <si>
    <t>Misbahul Musthofa</t>
  </si>
  <si>
    <t>05038</t>
  </si>
  <si>
    <t>Robit Abdullah Halim Zuhri</t>
  </si>
  <si>
    <t>05039</t>
  </si>
  <si>
    <t>Achmad Fauzi</t>
  </si>
  <si>
    <t>05040</t>
  </si>
  <si>
    <t>Ahmad Doifi Romadoni</t>
  </si>
  <si>
    <t>05041</t>
  </si>
  <si>
    <t>Muhammad Ari Maulana</t>
  </si>
  <si>
    <t>05042</t>
  </si>
  <si>
    <t>Ahmad Syahrur Rohman</t>
  </si>
  <si>
    <t>05043</t>
  </si>
  <si>
    <t>Muhammad Zainal Abidien</t>
  </si>
  <si>
    <t>05044</t>
  </si>
  <si>
    <t>05045</t>
  </si>
  <si>
    <t>Muhammad Haikal</t>
  </si>
  <si>
    <t>05046</t>
  </si>
  <si>
    <t>Hoirul Anam</t>
  </si>
  <si>
    <t>05047</t>
  </si>
  <si>
    <t>05048</t>
  </si>
  <si>
    <t>Yoga Aditiya Pratama</t>
  </si>
  <si>
    <t>05049</t>
  </si>
  <si>
    <t>Taufiq Hidayah</t>
  </si>
  <si>
    <t>05050</t>
  </si>
  <si>
    <t>Abd. Jamil</t>
  </si>
  <si>
    <t>05051</t>
  </si>
  <si>
    <t>Muhamad Ilham Firmansyah</t>
  </si>
  <si>
    <t>05052</t>
  </si>
  <si>
    <t>05053</t>
  </si>
  <si>
    <t>05054</t>
  </si>
  <si>
    <t>Aldham Eka Putra</t>
  </si>
  <si>
    <t>05055</t>
  </si>
  <si>
    <t>05056</t>
  </si>
  <si>
    <t>Ikbal Torik</t>
  </si>
  <si>
    <t>05057</t>
  </si>
  <si>
    <t>Moch. Nova Ainul Yaqin</t>
  </si>
  <si>
    <t>05058</t>
  </si>
  <si>
    <t>Zainal Atqia</t>
  </si>
  <si>
    <t>05059</t>
  </si>
  <si>
    <t>Arif Rahman</t>
  </si>
  <si>
    <t>05060</t>
  </si>
  <si>
    <t>Muhammad Idris Ibrohim</t>
  </si>
  <si>
    <t>05061</t>
  </si>
  <si>
    <t>Deni Kurniawan</t>
  </si>
  <si>
    <t>05062</t>
  </si>
  <si>
    <t>Muhammad Saipul Rijal A.</t>
  </si>
  <si>
    <t>05063</t>
  </si>
  <si>
    <t>Maulana Syarifil Umri</t>
  </si>
  <si>
    <t>05064</t>
  </si>
  <si>
    <t>Achmad Zaki Maulidy</t>
  </si>
  <si>
    <t>05065</t>
  </si>
  <si>
    <t>Habibullah Nafiys</t>
  </si>
  <si>
    <t>05066</t>
  </si>
  <si>
    <t>05067</t>
  </si>
  <si>
    <t>Ahmad Fadil Hasanuddin</t>
  </si>
  <si>
    <t>05068</t>
  </si>
  <si>
    <t>Muhammad Zakkil Widad</t>
  </si>
  <si>
    <t>05069</t>
  </si>
  <si>
    <t>05070</t>
  </si>
  <si>
    <t>Rohal</t>
  </si>
  <si>
    <t>05071</t>
  </si>
  <si>
    <t>M. Fahri</t>
  </si>
  <si>
    <t>05072</t>
  </si>
  <si>
    <t>Reksa Oktovano Achmad S.</t>
  </si>
  <si>
    <t>05073</t>
  </si>
  <si>
    <t>05074</t>
  </si>
  <si>
    <t>05075</t>
  </si>
  <si>
    <t>05076</t>
  </si>
  <si>
    <t>Amirul Amin</t>
  </si>
  <si>
    <t>05077</t>
  </si>
  <si>
    <t>Musa Sabilul Ifkar</t>
  </si>
  <si>
    <t>05078</t>
  </si>
  <si>
    <t>Rofi'i</t>
  </si>
  <si>
    <t>05079</t>
  </si>
  <si>
    <t>Dinar Ramadany</t>
  </si>
  <si>
    <t>05080</t>
  </si>
  <si>
    <t>05081</t>
  </si>
  <si>
    <t>05082</t>
  </si>
  <si>
    <t>Ach Rafi Maulana Ishaq</t>
  </si>
  <si>
    <t>05083</t>
  </si>
  <si>
    <t>Muhammad Fajar Sidik</t>
  </si>
  <si>
    <t>05084</t>
  </si>
  <si>
    <t>05085</t>
  </si>
  <si>
    <t>Fiki Arifatoni</t>
  </si>
  <si>
    <t>05086</t>
  </si>
  <si>
    <t>Alfatur Firdausi Teta Aulian</t>
  </si>
  <si>
    <t>05087</t>
  </si>
  <si>
    <t>Ahmad Adam Affandi</t>
  </si>
  <si>
    <t>05088</t>
  </si>
  <si>
    <t>Hoirur Riziqin</t>
  </si>
  <si>
    <t>05089</t>
  </si>
  <si>
    <t>05090</t>
  </si>
  <si>
    <t>Muhammad Zaini Rizqi Mubarok</t>
  </si>
  <si>
    <t>05091</t>
  </si>
  <si>
    <t>05092</t>
  </si>
  <si>
    <t>Ferdi Hamsah</t>
  </si>
  <si>
    <t>05093</t>
  </si>
  <si>
    <t>Mohammad Okta Viano Arjuna Z.</t>
  </si>
  <si>
    <t>05094</t>
  </si>
  <si>
    <t>Mochammad Rayhan Arifin</t>
  </si>
  <si>
    <t>05095</t>
  </si>
  <si>
    <t>Imam Safi'I</t>
  </si>
  <si>
    <t>05096</t>
  </si>
  <si>
    <t>Alif Maulana Ishaq</t>
  </si>
  <si>
    <t>05097</t>
  </si>
  <si>
    <t>Fahril Ikhwan Wahyuda</t>
  </si>
  <si>
    <t>05098</t>
  </si>
  <si>
    <t>Dimas Hardiansyah</t>
  </si>
  <si>
    <t>05099</t>
  </si>
  <si>
    <t>05100</t>
  </si>
  <si>
    <t>Affan Albukhori</t>
  </si>
  <si>
    <t>05101</t>
  </si>
  <si>
    <t>Aldi Tata Pradita</t>
  </si>
  <si>
    <t>05102</t>
  </si>
  <si>
    <t>Choirul Mahfud</t>
  </si>
  <si>
    <t>05103</t>
  </si>
  <si>
    <t>Muhammad Shobari Lutfi</t>
  </si>
  <si>
    <t>05104</t>
  </si>
  <si>
    <t>Abil Wafa</t>
  </si>
  <si>
    <t>05105</t>
  </si>
  <si>
    <t>05106</t>
  </si>
  <si>
    <t>Hikam Nurul Fahmi</t>
  </si>
  <si>
    <t>05107</t>
  </si>
  <si>
    <t>05108</t>
  </si>
  <si>
    <t>Muhammad Daniel Anwar</t>
  </si>
  <si>
    <t>05109</t>
  </si>
  <si>
    <t>M. Misbahul Munir</t>
  </si>
  <si>
    <t>05110</t>
  </si>
  <si>
    <t>Maulana Ishak</t>
  </si>
  <si>
    <t>05111</t>
  </si>
  <si>
    <t>05112</t>
  </si>
  <si>
    <t>05113</t>
  </si>
  <si>
    <t>Nawawi Fadil</t>
  </si>
  <si>
    <t>05114</t>
  </si>
  <si>
    <t>Ahmad Aldian Saputra</t>
  </si>
  <si>
    <t>05115</t>
  </si>
  <si>
    <t>Muhammad Syamsul Huda</t>
  </si>
  <si>
    <t>05116</t>
  </si>
  <si>
    <t>Muhammad Ridho Irmawan</t>
  </si>
  <si>
    <t>05117</t>
  </si>
  <si>
    <t>05118</t>
  </si>
  <si>
    <t>Iltizamul Khoir</t>
  </si>
  <si>
    <t>05119</t>
  </si>
  <si>
    <t>As'Adurrofiqi Alwi</t>
  </si>
  <si>
    <t>05120</t>
  </si>
  <si>
    <t>Muhammad Hoirul Huda</t>
  </si>
  <si>
    <t>05121</t>
  </si>
  <si>
    <t>05122</t>
  </si>
  <si>
    <t>Muhammad Dimas M.</t>
  </si>
  <si>
    <t>05123</t>
  </si>
  <si>
    <t>Adnan Maulana</t>
  </si>
  <si>
    <t>05124</t>
  </si>
  <si>
    <t>05125</t>
  </si>
  <si>
    <t>Muhammad Fathur Rohman</t>
  </si>
  <si>
    <t>05126</t>
  </si>
  <si>
    <t>Mohammad Syafiq Romadhon</t>
  </si>
  <si>
    <t>05127</t>
  </si>
  <si>
    <t>Moh Nurul Arifin</t>
  </si>
  <si>
    <t>05128</t>
  </si>
  <si>
    <t>Moch. Azrilliv Lutfiatul Hasan</t>
  </si>
  <si>
    <t>05129</t>
  </si>
  <si>
    <t>05130</t>
  </si>
  <si>
    <t>05131</t>
  </si>
  <si>
    <t>Fajri Mashude</t>
  </si>
  <si>
    <t>05132</t>
  </si>
  <si>
    <t>Imam Rofi'ie</t>
  </si>
  <si>
    <t>05133</t>
  </si>
  <si>
    <t>Muhammad Fahmi Ainul Yaqin</t>
  </si>
  <si>
    <t>05134</t>
  </si>
  <si>
    <t>05135</t>
  </si>
  <si>
    <t>05136</t>
  </si>
  <si>
    <t>Beryl Maulana Rahman</t>
  </si>
  <si>
    <t>05137</t>
  </si>
  <si>
    <t>Muhammad Rifqil Khoiri</t>
  </si>
  <si>
    <t>05138</t>
  </si>
  <si>
    <t>M. Ishaq</t>
  </si>
  <si>
    <t>05139</t>
  </si>
  <si>
    <t>M. Salman Alfarisi</t>
  </si>
  <si>
    <t>05140</t>
  </si>
  <si>
    <t>05141</t>
  </si>
  <si>
    <t>Bagas Satria Dharma</t>
  </si>
  <si>
    <t>05142</t>
  </si>
  <si>
    <t>M Harits Abdil Barr</t>
  </si>
  <si>
    <t>05143</t>
  </si>
  <si>
    <t>Zakaria Fathi</t>
  </si>
  <si>
    <t>05144</t>
  </si>
  <si>
    <t>Muhammad Fakhril Wujud</t>
  </si>
  <si>
    <t>05145</t>
  </si>
  <si>
    <t>Ahmad Faisal Ramadan</t>
  </si>
  <si>
    <t>05146</t>
  </si>
  <si>
    <t>05147</t>
  </si>
  <si>
    <t>05148</t>
  </si>
  <si>
    <t>Muhammad Andika Kusuma</t>
  </si>
  <si>
    <t>05149</t>
  </si>
  <si>
    <t>Muhammad Isma'Il</t>
  </si>
  <si>
    <t>05150</t>
  </si>
  <si>
    <t>Rehan Badius Zaman</t>
  </si>
  <si>
    <t>05151</t>
  </si>
  <si>
    <t>05152</t>
  </si>
  <si>
    <t>Firman Hasan</t>
  </si>
  <si>
    <t>05153</t>
  </si>
  <si>
    <t>Ahmad Maulana Fawaid</t>
  </si>
  <si>
    <t>05154</t>
  </si>
  <si>
    <t>Muchammad Mahishul M.</t>
  </si>
  <si>
    <t>05155</t>
  </si>
  <si>
    <t>M. Wildanum Mukholladun S</t>
  </si>
  <si>
    <t>05156</t>
  </si>
  <si>
    <t>Mochammad Umarul Faruq</t>
  </si>
  <si>
    <t>05157</t>
  </si>
  <si>
    <t>Shallu Abdullah Rivianto</t>
  </si>
  <si>
    <t>05158</t>
  </si>
  <si>
    <t>Muhammad Ilham Yahya</t>
  </si>
  <si>
    <t>05159</t>
  </si>
  <si>
    <t>Slamet Fauzi</t>
  </si>
  <si>
    <t>05160</t>
  </si>
  <si>
    <t>Rifki Zakaria</t>
  </si>
  <si>
    <t>05161</t>
  </si>
  <si>
    <t>Irham Afifuddin</t>
  </si>
  <si>
    <t>05162</t>
  </si>
  <si>
    <t>05163</t>
  </si>
  <si>
    <t>Ferdi Ardianyanto</t>
  </si>
  <si>
    <t>05164</t>
  </si>
  <si>
    <t>Zakaria Ramadani</t>
  </si>
  <si>
    <t>05165</t>
  </si>
  <si>
    <t>05166</t>
  </si>
  <si>
    <t>05167</t>
  </si>
  <si>
    <t>05168</t>
  </si>
  <si>
    <t>Ali Wafa</t>
  </si>
  <si>
    <t>05169</t>
  </si>
  <si>
    <t>Hilmi Haqiqi</t>
  </si>
  <si>
    <t>05170</t>
  </si>
  <si>
    <t>Achmad Ainur Rafi</t>
  </si>
  <si>
    <t>05171</t>
  </si>
  <si>
    <t>Taproni</t>
  </si>
  <si>
    <t>05172</t>
  </si>
  <si>
    <t>M Faiq Hidayatulloh</t>
  </si>
  <si>
    <t>05173</t>
  </si>
  <si>
    <t>Ahmad Maulidi Rozi</t>
  </si>
  <si>
    <t>05174</t>
  </si>
  <si>
    <t>Marchel Adam Prasetya</t>
  </si>
  <si>
    <t>05175</t>
  </si>
  <si>
    <t>Muhammad Rido'I Maula</t>
  </si>
  <si>
    <t>05176</t>
  </si>
  <si>
    <t>Muhammad Abror Thohir</t>
  </si>
  <si>
    <t>05177</t>
  </si>
  <si>
    <t>Ahmad Zainullah</t>
  </si>
  <si>
    <t>05178</t>
  </si>
  <si>
    <t>Barikly Miyakler Ridho</t>
  </si>
  <si>
    <t>05179</t>
  </si>
  <si>
    <t>Adamal Putra</t>
  </si>
  <si>
    <t>05180</t>
  </si>
  <si>
    <t>M. Illham Firmansyah</t>
  </si>
  <si>
    <t>05181</t>
  </si>
  <si>
    <t>Ahmad Junaidi</t>
  </si>
  <si>
    <t>05182</t>
  </si>
  <si>
    <t>05183</t>
  </si>
  <si>
    <t>Mochammad Davie A.</t>
  </si>
  <si>
    <t>05184</t>
  </si>
  <si>
    <t>05185</t>
  </si>
  <si>
    <t>Edi Sunandi</t>
  </si>
  <si>
    <t>05186</t>
  </si>
  <si>
    <t>Rizky Dwi Agustia</t>
  </si>
  <si>
    <t>05187</t>
  </si>
  <si>
    <t>Destyan Ardan Aras</t>
  </si>
  <si>
    <t>05188</t>
  </si>
  <si>
    <t>Asyhar Habibi</t>
  </si>
  <si>
    <t>05189</t>
  </si>
  <si>
    <t>Moh. Rifki Azizi</t>
  </si>
  <si>
    <t>05190</t>
  </si>
  <si>
    <t>Reno Joyo Laksono</t>
  </si>
  <si>
    <t>05191</t>
  </si>
  <si>
    <t>Muhammad Izul Hilmi</t>
  </si>
  <si>
    <t>05192</t>
  </si>
  <si>
    <t>05193</t>
  </si>
  <si>
    <t>05194</t>
  </si>
  <si>
    <t>05195</t>
  </si>
  <si>
    <t>Rahmat Fajar Agustian Putra</t>
  </si>
  <si>
    <t>05196</t>
  </si>
  <si>
    <t>M. Ja'far Shodik</t>
  </si>
  <si>
    <t>05197</t>
  </si>
  <si>
    <t>Muhammad Iqbal Maqbul Akram</t>
  </si>
  <si>
    <t>05198</t>
  </si>
  <si>
    <t>Abd Latif</t>
  </si>
  <si>
    <t>05199</t>
  </si>
  <si>
    <t>05200</t>
  </si>
  <si>
    <t>Ahmad Amirul Akbar</t>
  </si>
  <si>
    <t>05201</t>
  </si>
  <si>
    <t>05202</t>
  </si>
  <si>
    <t>Moch. Jaysyal Amir Romadoni</t>
  </si>
  <si>
    <t>05203</t>
  </si>
  <si>
    <t>As'Ad Amiruddin Malik</t>
  </si>
  <si>
    <t>05204</t>
  </si>
  <si>
    <t>M. Fathullah</t>
  </si>
  <si>
    <t>05205</t>
  </si>
  <si>
    <t>05206</t>
  </si>
  <si>
    <t>05207</t>
  </si>
  <si>
    <t>Kamalul Hikam</t>
  </si>
  <si>
    <t>05208</t>
  </si>
  <si>
    <t>Muhammad Afandi Zainur R.</t>
  </si>
  <si>
    <t>05209</t>
  </si>
  <si>
    <t>05210</t>
  </si>
  <si>
    <t>M. Fahmi Nasrulloh</t>
  </si>
  <si>
    <t>05211</t>
  </si>
  <si>
    <t>05212</t>
  </si>
  <si>
    <t>05213</t>
  </si>
  <si>
    <t>Hasan Abdullah</t>
  </si>
  <si>
    <t>05214</t>
  </si>
  <si>
    <t>Hoyrul Ummam</t>
  </si>
  <si>
    <t>05215</t>
  </si>
  <si>
    <t>05216</t>
  </si>
  <si>
    <t>Ahmad Hakiki</t>
  </si>
  <si>
    <t>05217</t>
  </si>
  <si>
    <t>M. Arsad</t>
  </si>
  <si>
    <t>05218</t>
  </si>
  <si>
    <t>Abd. Muid</t>
  </si>
  <si>
    <t>05219</t>
  </si>
  <si>
    <t>Nur Kholis Zawawi</t>
  </si>
  <si>
    <t>05220</t>
  </si>
  <si>
    <t>Ahmad Sayfani Rezik</t>
  </si>
  <si>
    <t>05221</t>
  </si>
  <si>
    <t>05222</t>
  </si>
  <si>
    <t>Muhammat Yoga</t>
  </si>
  <si>
    <t>05223</t>
  </si>
  <si>
    <t>Mohammad Yadi</t>
  </si>
  <si>
    <t>05224</t>
  </si>
  <si>
    <t>Ach. Sihafuddin Fahmi</t>
  </si>
  <si>
    <t>05225</t>
  </si>
  <si>
    <t>05226</t>
  </si>
  <si>
    <t>Muhamad Sulton Hakimi</t>
  </si>
  <si>
    <t>05227</t>
  </si>
  <si>
    <t>Indra  Adinata</t>
  </si>
  <si>
    <t>05228</t>
  </si>
  <si>
    <t>05229</t>
  </si>
  <si>
    <t>05230</t>
  </si>
  <si>
    <t>Asyroful Anam</t>
  </si>
  <si>
    <t>05231</t>
  </si>
  <si>
    <t>Syukron Ainun Rizki</t>
  </si>
  <si>
    <t>05232</t>
  </si>
  <si>
    <t>Robbi Ahmad Nur Afandi</t>
  </si>
  <si>
    <t>05233</t>
  </si>
  <si>
    <t>05234</t>
  </si>
  <si>
    <t>Riski Aditya</t>
  </si>
  <si>
    <t>05235</t>
  </si>
  <si>
    <t>05236</t>
  </si>
  <si>
    <t>Nanda Bahtyar Ainun N.</t>
  </si>
  <si>
    <t>05237</t>
  </si>
  <si>
    <t>Muhamad Rofiq</t>
  </si>
  <si>
    <t>05238</t>
  </si>
  <si>
    <t>05239</t>
  </si>
  <si>
    <t>Alfi Zaini</t>
  </si>
  <si>
    <t>05240</t>
  </si>
  <si>
    <t>Irzi Irfan Al Farizi</t>
  </si>
  <si>
    <t>05241</t>
  </si>
  <si>
    <t>Ubaidillah</t>
  </si>
  <si>
    <t>05242</t>
  </si>
  <si>
    <t>Ahmat Zaini</t>
  </si>
  <si>
    <t>05243</t>
  </si>
  <si>
    <t>Muhammad Fahri Ramadhani</t>
  </si>
  <si>
    <t>05244</t>
  </si>
  <si>
    <t>05245</t>
  </si>
  <si>
    <t>Nazril Ilham</t>
  </si>
  <si>
    <t>05246</t>
  </si>
  <si>
    <t>Antoni Alfa Tirol Mukminin</t>
  </si>
  <si>
    <t>05247</t>
  </si>
  <si>
    <t>05248</t>
  </si>
  <si>
    <t>Muhammad Isbat Mutawakkil</t>
  </si>
  <si>
    <t>05249</t>
  </si>
  <si>
    <t>05250</t>
  </si>
  <si>
    <t>Muhammad Qois Fardan A</t>
  </si>
  <si>
    <t>05251</t>
  </si>
  <si>
    <t>Sahrul Mubarok</t>
  </si>
  <si>
    <t>05252</t>
  </si>
  <si>
    <t>Halimi</t>
  </si>
  <si>
    <t>05253</t>
  </si>
  <si>
    <t>Mujahid Ali Al Ayyubi</t>
  </si>
  <si>
    <t>05254</t>
  </si>
  <si>
    <t>05255</t>
  </si>
  <si>
    <t>Mochammad Fikron Hildani</t>
  </si>
  <si>
    <t>05256</t>
  </si>
  <si>
    <t>05257</t>
  </si>
  <si>
    <t>M. Adib Fa'izi</t>
  </si>
  <si>
    <t>05258</t>
  </si>
  <si>
    <t>Febrian Pratama Cahya</t>
  </si>
  <si>
    <t>05259</t>
  </si>
  <si>
    <t>05260</t>
  </si>
  <si>
    <t>Ridho Irfansyah</t>
  </si>
  <si>
    <t>05261</t>
  </si>
  <si>
    <t>Ahmad Fahri Abdillah</t>
  </si>
  <si>
    <t>05262</t>
  </si>
  <si>
    <t>05263</t>
  </si>
  <si>
    <t>Roziqi Mahdi Adduali</t>
  </si>
  <si>
    <t>05264</t>
  </si>
  <si>
    <t>Bayu Saputra</t>
  </si>
  <si>
    <t>05265</t>
  </si>
  <si>
    <t>Lihadi Hidayatullah</t>
  </si>
  <si>
    <t>05266</t>
  </si>
  <si>
    <t>Ikmalul Khoir</t>
  </si>
  <si>
    <t>05267</t>
  </si>
  <si>
    <t>Elfano Fauzan Wafiq Izzuddin</t>
  </si>
  <si>
    <t>05268</t>
  </si>
  <si>
    <t>Muhammad Sholeh</t>
  </si>
  <si>
    <t>05269</t>
  </si>
  <si>
    <t>05270</t>
  </si>
  <si>
    <t>05271</t>
  </si>
  <si>
    <t>05272</t>
  </si>
  <si>
    <t>Muhammad Nofal</t>
  </si>
  <si>
    <t>05273</t>
  </si>
  <si>
    <t>Moch Rizki Firmansyah</t>
  </si>
  <si>
    <t>05274</t>
  </si>
  <si>
    <t>Muhammad Rizqi Firdausi A</t>
  </si>
  <si>
    <t>05275</t>
  </si>
  <si>
    <t>Amiruddin Fahmy</t>
  </si>
  <si>
    <t>05276</t>
  </si>
  <si>
    <t>M Fadli Hm</t>
  </si>
  <si>
    <t>05277</t>
  </si>
  <si>
    <t>05278</t>
  </si>
  <si>
    <t>Fahri Albar</t>
  </si>
  <si>
    <t>05279</t>
  </si>
  <si>
    <t>Moch. Yahya Alfi Faridhi</t>
  </si>
  <si>
    <t>05280</t>
  </si>
  <si>
    <t>Mochammad Dafa Januar Eka</t>
  </si>
  <si>
    <t>05281</t>
  </si>
  <si>
    <t>Mustika Ahmad Rhomadani</t>
  </si>
  <si>
    <t>05282</t>
  </si>
  <si>
    <t>Muhammad  Ridhok</t>
  </si>
  <si>
    <t>05283</t>
  </si>
  <si>
    <t>Abd. Alim</t>
  </si>
  <si>
    <t>05284</t>
  </si>
  <si>
    <t>Abdul Muis Alhafsi</t>
  </si>
  <si>
    <t>05285</t>
  </si>
  <si>
    <t>M. Waqi'</t>
  </si>
  <si>
    <t>05286</t>
  </si>
  <si>
    <t>Mohammad Imron R.</t>
  </si>
  <si>
    <t>05287</t>
  </si>
  <si>
    <t>Denys Arjuna Putra</t>
  </si>
  <si>
    <t>05288</t>
  </si>
  <si>
    <t>Muhammad Wahyu Hidayatullah</t>
  </si>
  <si>
    <t>05289</t>
  </si>
  <si>
    <t>Maftuh Badi Uzzaman Rusly</t>
  </si>
  <si>
    <t>05290</t>
  </si>
  <si>
    <t>05291</t>
  </si>
  <si>
    <t>05292</t>
  </si>
  <si>
    <t>Mochammad Rifqi Athif</t>
  </si>
  <si>
    <t>05293</t>
  </si>
  <si>
    <t>Revan Anindya Putra</t>
  </si>
  <si>
    <t>05294</t>
  </si>
  <si>
    <t>05295</t>
  </si>
  <si>
    <t>05296</t>
  </si>
  <si>
    <t>Ali Fatahillah</t>
  </si>
  <si>
    <t>05297</t>
  </si>
  <si>
    <t>05298</t>
  </si>
  <si>
    <t>Yahya Zakariya Khioirur Rohim</t>
  </si>
  <si>
    <t>05299</t>
  </si>
  <si>
    <t>Zainul Fata</t>
  </si>
  <si>
    <t>05300</t>
  </si>
  <si>
    <t>Fahril Mithad Madani</t>
  </si>
  <si>
    <t>05301</t>
  </si>
  <si>
    <t>Mohammad Kusnurridhlo</t>
  </si>
  <si>
    <t>05302</t>
  </si>
  <si>
    <t>05303</t>
  </si>
  <si>
    <t>Muhammad Rafly Hamdani</t>
  </si>
  <si>
    <t>05304</t>
  </si>
  <si>
    <t>Muhammad Maulidika Hamdani</t>
  </si>
  <si>
    <t>05305</t>
  </si>
  <si>
    <t>M Agiel Abu Rizal</t>
  </si>
  <si>
    <t>05306</t>
  </si>
  <si>
    <t>Ahmad Fauzin Rahmatullah</t>
  </si>
  <si>
    <t>05307</t>
  </si>
  <si>
    <t>Sahrul Nizam Qolbir Rofik</t>
  </si>
  <si>
    <t>05308</t>
  </si>
  <si>
    <t>Mohammad Alfiansyah</t>
  </si>
  <si>
    <t>05309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</si>
  <si>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</si>
  <si>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</si>
  <si>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</si>
  <si>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</si>
  <si>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</si>
  <si>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</si>
  <si>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</si>
  <si>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</si>
  <si>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</si>
  <si>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Hamka Hamzah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</si>
  <si>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</si>
  <si>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</si>
  <si>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</si>
  <si>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</si>
  <si>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</si>
  <si>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</si>
  <si>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</si>
  <si>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</si>
  <si>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</si>
  <si>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</si>
  <si>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</si>
  <si>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</si>
  <si>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</si>
  <si>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</si>
  <si>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</si>
  <si>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</si>
  <si>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</si>
  <si>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</si>
  <si>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</si>
  <si>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</si>
  <si>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</si>
  <si>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</si>
  <si>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</si>
  <si>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</si>
  <si>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</si>
  <si>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</si>
  <si>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</si>
  <si>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</si>
  <si>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</si>
  <si>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</si>
  <si>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</si>
  <si>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</si>
  <si>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</si>
  <si>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</si>
  <si>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</si>
  <si>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</si>
  <si>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</si>
  <si>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</si>
  <si>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</si>
  <si>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</si>
  <si>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</si>
  <si>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</si>
  <si>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</si>
  <si>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</si>
  <si>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</si>
  <si>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</si>
  <si>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</si>
  <si>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</si>
  <si>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</si>
  <si>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Much. Ikwan Maulana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</si>
  <si>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</si>
  <si>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</si>
  <si>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</si>
  <si>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</si>
  <si>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</si>
  <si>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</si>
  <si>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</si>
  <si>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</si>
  <si>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</si>
  <si>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Mustain</t>
  </si>
  <si>
    <t>06068</t>
  </si>
  <si>
    <t>06069</t>
  </si>
  <si>
    <t>06070</t>
  </si>
  <si>
    <t>06071</t>
  </si>
  <si>
    <t>Royhan Adzim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</si>
  <si>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</si>
  <si>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</si>
  <si>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</si>
  <si>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</si>
  <si>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</si>
  <si>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</si>
  <si>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</si>
  <si>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</si>
  <si>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</si>
  <si>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</si>
  <si>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</si>
  <si>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</si>
  <si>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</si>
  <si>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</si>
  <si>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</si>
  <si>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</si>
  <si>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</si>
  <si>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</si>
  <si>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Diki Wahyudi</t>
  </si>
  <si>
    <t>06090</t>
  </si>
  <si>
    <t>06091</t>
  </si>
  <si>
    <t>06092</t>
  </si>
  <si>
    <t>06093</t>
  </si>
  <si>
    <t>06094</t>
  </si>
  <si>
    <t>Moch. Zakariya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</si>
  <si>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</si>
  <si>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</si>
  <si>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</si>
  <si>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</si>
  <si>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</si>
  <si>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</si>
  <si>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</si>
  <si>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</si>
  <si>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</si>
  <si>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Fahmi Aditya Ulhag</t>
  </si>
  <si>
    <t>06104</t>
  </si>
  <si>
    <t>06105</t>
  </si>
  <si>
    <t>06106</t>
  </si>
  <si>
    <t>Muhammad Lucky Akbar</t>
  </si>
  <si>
    <t>06107</t>
  </si>
  <si>
    <t>06108</t>
  </si>
  <si>
    <t>Alvin Roza Agustin</t>
  </si>
  <si>
    <t>06109</t>
  </si>
  <si>
    <t>06110</t>
  </si>
  <si>
    <t>06111</t>
  </si>
  <si>
    <t>06112</t>
  </si>
  <si>
    <t>Dava Roihan</t>
  </si>
  <si>
    <t>06113</t>
  </si>
  <si>
    <t>06114</t>
  </si>
  <si>
    <t>Ahmad Riski Ramadhan</t>
  </si>
  <si>
    <t>06115</t>
  </si>
  <si>
    <t>Sholihin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</si>
  <si>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</si>
  <si>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</si>
  <si>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</si>
  <si>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</si>
  <si>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</si>
  <si>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</si>
  <si>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</si>
  <si>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</si>
  <si>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</si>
  <si>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</si>
  <si>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</si>
  <si>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</si>
  <si>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</si>
  <si>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</si>
  <si>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</si>
  <si>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</si>
  <si>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Abd. Rahman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</si>
  <si>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</si>
  <si>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</si>
  <si>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</si>
  <si>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</si>
  <si>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</si>
  <si>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</si>
  <si>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</si>
  <si>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</si>
  <si>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</si>
  <si>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</si>
  <si>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</si>
  <si>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</si>
  <si>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</si>
  <si>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Ahmad Haris Dardiri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</si>
  <si>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</si>
  <si>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</si>
  <si>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</si>
  <si>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</si>
  <si>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</si>
  <si>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</si>
  <si>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</si>
  <si>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</si>
  <si>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</si>
  <si>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</si>
  <si>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</si>
  <si>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Ach. Maghribi</t>
  </si>
  <si>
    <t>06156</t>
  </si>
  <si>
    <t>06157</t>
  </si>
  <si>
    <t>Ach. Rofi'i</t>
  </si>
  <si>
    <t>06158</t>
  </si>
  <si>
    <t>06159</t>
  </si>
  <si>
    <t>06160</t>
  </si>
  <si>
    <t>06161</t>
  </si>
  <si>
    <t>06162</t>
  </si>
  <si>
    <t>06163</t>
  </si>
  <si>
    <t>06164</t>
  </si>
  <si>
    <t>Mohammad Rehan</t>
  </si>
  <si>
    <t>06165</t>
  </si>
  <si>
    <t>06166</t>
  </si>
  <si>
    <t>Radit Ardiansyah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</si>
  <si>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</si>
  <si>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</si>
  <si>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</si>
  <si>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</si>
  <si>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</si>
  <si>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</si>
  <si>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</si>
  <si>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</si>
  <si>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</si>
  <si>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</si>
  <si>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</si>
  <si>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</si>
  <si>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</si>
  <si>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</si>
  <si>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</si>
  <si>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</si>
  <si>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</si>
  <si>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</si>
  <si>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</si>
  <si>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</si>
  <si>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</si>
  <si>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</si>
  <si>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</si>
  <si>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</si>
  <si>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</si>
  <si>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</si>
  <si>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</si>
  <si>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Rama Ahmad Afandi</t>
  </si>
  <si>
    <t>06194</t>
  </si>
  <si>
    <t>Galih Saputra Wahyu F.</t>
  </si>
  <si>
    <t>06195</t>
  </si>
  <si>
    <t>06196</t>
  </si>
  <si>
    <t>06197</t>
  </si>
  <si>
    <t>06198</t>
  </si>
  <si>
    <t>06199</t>
  </si>
  <si>
    <t>06200</t>
  </si>
  <si>
    <t>Imron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</si>
  <si>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</si>
  <si>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</si>
  <si>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</si>
  <si>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</si>
  <si>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</si>
  <si>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</si>
  <si>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</si>
  <si>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</si>
  <si>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</si>
  <si>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</si>
  <si>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</si>
  <si>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</si>
  <si>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</si>
  <si>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</si>
  <si>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</si>
  <si>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</si>
  <si>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</si>
  <si>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</si>
  <si>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</si>
  <si>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</si>
  <si>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</si>
  <si>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</si>
  <si>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</si>
  <si>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</si>
  <si>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</si>
  <si>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</si>
  <si>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</si>
  <si>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</si>
  <si>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</si>
  <si>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</si>
  <si>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</si>
  <si>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</si>
  <si>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</si>
  <si>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</si>
  <si>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</si>
  <si>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</si>
  <si>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</si>
  <si>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</si>
  <si>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</si>
  <si>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Muhammad Rizqi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</si>
  <si>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</si>
  <si>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</si>
  <si>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</si>
  <si>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</si>
  <si>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</si>
  <si>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</si>
  <si>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</si>
  <si>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</si>
  <si>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</si>
  <si>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</si>
  <si>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Muhammad Ilhansyah</t>
  </si>
  <si>
    <t>M. Badrut Tamam</t>
  </si>
  <si>
    <t>Harmoko Saputra</t>
  </si>
  <si>
    <t>Muhammad Maulana Ilham</t>
  </si>
  <si>
    <t>Sihhah Al-Qiro'ah</t>
  </si>
  <si>
    <t>PENILAIAN UJIAN BACA KITAB</t>
  </si>
  <si>
    <t>MADRASAH DINIYAH TAKMILIYAH MIFTAHUL ULUM</t>
  </si>
  <si>
    <t>Banyuputih Kidul Jatiroto Lumajang</t>
  </si>
  <si>
    <t>03001</t>
  </si>
  <si>
    <t>Rachmad Dani Nurul Huda</t>
  </si>
  <si>
    <t>03002</t>
  </si>
  <si>
    <t>Rafa Aditiya Danis Dikzmillah</t>
  </si>
  <si>
    <t>03003</t>
  </si>
  <si>
    <t>Irfan Ahmad</t>
  </si>
  <si>
    <t>03004</t>
  </si>
  <si>
    <t xml:space="preserve">M. Khoirul Anam </t>
  </si>
  <si>
    <t>03005</t>
  </si>
  <si>
    <t>Dika Alif</t>
  </si>
  <si>
    <t>03006</t>
  </si>
  <si>
    <t>M. Ebimmaturrahman</t>
  </si>
  <si>
    <t>03007</t>
  </si>
  <si>
    <t>M. Fahri Rizqi Ismail</t>
  </si>
  <si>
    <t>03008</t>
  </si>
  <si>
    <t>Nabil Ahmad Firmansyah</t>
  </si>
  <si>
    <t>03009</t>
  </si>
  <si>
    <t>Raisa Adin Kurniawan</t>
  </si>
  <si>
    <t>03010</t>
  </si>
  <si>
    <t>M. Afnan Fauzan</t>
  </si>
  <si>
    <t>03011</t>
  </si>
  <si>
    <t>Ahmad Hafid Bramantiyo</t>
  </si>
  <si>
    <t>03012</t>
  </si>
  <si>
    <t>Muhammad Nazril</t>
  </si>
  <si>
    <t>03013</t>
  </si>
  <si>
    <t>Nuril Abdurrohman</t>
  </si>
  <si>
    <t>03014</t>
  </si>
  <si>
    <t>Prasetyo Efendi</t>
  </si>
  <si>
    <t>03015</t>
  </si>
  <si>
    <t>Asrof Ilhami Hasan</t>
  </si>
  <si>
    <t>03016</t>
  </si>
  <si>
    <t>Abdur Rohman Abdul Aziz A</t>
  </si>
  <si>
    <t>03017</t>
  </si>
  <si>
    <t>As'ad Maulana</t>
  </si>
  <si>
    <t>03018</t>
  </si>
  <si>
    <t>Ahmad Reza Aldiansyah</t>
  </si>
  <si>
    <t>03019</t>
  </si>
  <si>
    <t>Muhammad Alfian Hidayatullah</t>
  </si>
  <si>
    <t>03020</t>
  </si>
  <si>
    <t>Muhammad Hasan Ali</t>
  </si>
  <si>
    <t>03021</t>
  </si>
  <si>
    <t>Muhammad Husen Ali</t>
  </si>
  <si>
    <t>03022</t>
  </si>
  <si>
    <t>03023</t>
  </si>
  <si>
    <t>Farhan Jamil Abdillah</t>
  </si>
  <si>
    <t>03024</t>
  </si>
  <si>
    <t>M. Ifan Amirul</t>
  </si>
  <si>
    <t>03025</t>
  </si>
  <si>
    <t>Muhammad Ridhol Mahbubi</t>
  </si>
  <si>
    <t>03026</t>
  </si>
  <si>
    <t>Nasril Adia Raka</t>
  </si>
  <si>
    <t>03027</t>
  </si>
  <si>
    <t>M. Haris</t>
  </si>
  <si>
    <t>03028</t>
  </si>
  <si>
    <t>Muhammad Affan</t>
  </si>
  <si>
    <t>03029</t>
  </si>
  <si>
    <t>Raditya Firmansyah</t>
  </si>
  <si>
    <t>03030</t>
  </si>
  <si>
    <t>M. Alif Riskillah</t>
  </si>
  <si>
    <t>03031</t>
  </si>
  <si>
    <t>A. Farel Dwi Susanto</t>
  </si>
  <si>
    <t>03032</t>
  </si>
  <si>
    <t>M. Ja'far Shodiq</t>
  </si>
  <si>
    <t>03033</t>
  </si>
  <si>
    <t>M. Krisna Kurniawan</t>
  </si>
  <si>
    <t>03034</t>
  </si>
  <si>
    <t xml:space="preserve">Alfan </t>
  </si>
  <si>
    <t>03035</t>
  </si>
  <si>
    <t>Muhammad Irsyad</t>
  </si>
  <si>
    <t>03036</t>
  </si>
  <si>
    <t>Ahmad Difan Maulana</t>
  </si>
  <si>
    <t>03037</t>
  </si>
  <si>
    <t>Sahrul Agustian</t>
  </si>
  <si>
    <t>03038</t>
  </si>
  <si>
    <t>M. Dafa Ibnu Ubaydilllah</t>
  </si>
  <si>
    <t>03039</t>
  </si>
  <si>
    <t>Cristian Alberto Gonzales</t>
  </si>
  <si>
    <t>03040</t>
  </si>
  <si>
    <t>Husen</t>
  </si>
  <si>
    <t>03041</t>
  </si>
  <si>
    <t>Adip Zauqi</t>
  </si>
  <si>
    <t>03042</t>
  </si>
  <si>
    <t>Ahmad Maulana Hadid Alvian</t>
  </si>
  <si>
    <t>03043</t>
  </si>
  <si>
    <t>Reza Arianto</t>
  </si>
  <si>
    <t>03044</t>
  </si>
  <si>
    <t>Nadril Ilham Ibrohim</t>
  </si>
  <si>
    <t>03045</t>
  </si>
  <si>
    <t>M. Fakhrillah</t>
  </si>
  <si>
    <t>03046</t>
  </si>
  <si>
    <t>Muhammad Dani</t>
  </si>
  <si>
    <t>03047</t>
  </si>
  <si>
    <t>Ahmad Alfin Maulana Ishak</t>
  </si>
  <si>
    <t>03048</t>
  </si>
  <si>
    <t>Maulana Haqiqi</t>
  </si>
  <si>
    <t>03049</t>
  </si>
  <si>
    <t>Hans Oka Miftahul Huda</t>
  </si>
  <si>
    <t>03050</t>
  </si>
  <si>
    <t>Ahmad Rofiki</t>
  </si>
  <si>
    <t>03051</t>
  </si>
  <si>
    <t>M. Dafa Maulana</t>
  </si>
  <si>
    <t>03052</t>
  </si>
  <si>
    <t>M. Wildan Haqiqi</t>
  </si>
  <si>
    <t>03053</t>
  </si>
  <si>
    <t>Davis Avrilio Artha Ramdika</t>
  </si>
  <si>
    <t>03054</t>
  </si>
  <si>
    <t>Fahmi Alim</t>
  </si>
  <si>
    <t>03055</t>
  </si>
  <si>
    <t>Rois Aminullah</t>
  </si>
  <si>
    <t>03056</t>
  </si>
  <si>
    <t xml:space="preserve">Ahmad Royhan </t>
  </si>
  <si>
    <t>03057</t>
  </si>
  <si>
    <t>Rahmad Syaifulloh</t>
  </si>
  <si>
    <t>03058</t>
  </si>
  <si>
    <t>Muhammad Kevin</t>
  </si>
  <si>
    <t>03059</t>
  </si>
  <si>
    <t>Defan Andalas</t>
  </si>
  <si>
    <t>03060</t>
  </si>
  <si>
    <t>Nasywan Mirza Iromsyah</t>
  </si>
  <si>
    <t>03061</t>
  </si>
  <si>
    <t>Irfan Ramadhani</t>
  </si>
  <si>
    <t>03062</t>
  </si>
  <si>
    <t>Muhammad Mikail Iskandar</t>
  </si>
  <si>
    <t>03063</t>
  </si>
  <si>
    <t>Zidan Akbar Husaini</t>
  </si>
  <si>
    <t>03064</t>
  </si>
  <si>
    <t>Moh Akbar Maulana</t>
  </si>
  <si>
    <t>03065</t>
  </si>
  <si>
    <t>Fahmi Zaim</t>
  </si>
  <si>
    <t>03066</t>
  </si>
  <si>
    <t>Saiful Anwar Hidayatulloh</t>
  </si>
  <si>
    <t>03067</t>
  </si>
  <si>
    <t>Firmansyah</t>
  </si>
  <si>
    <t>03068</t>
  </si>
  <si>
    <t>Mohammad Faiz Afandi</t>
  </si>
  <si>
    <t>03069</t>
  </si>
  <si>
    <t>Muhammad Wildan Fahri Maulana</t>
  </si>
  <si>
    <t>03070</t>
  </si>
  <si>
    <t>Muhammad Haqin Nazili</t>
  </si>
  <si>
    <t>03071</t>
  </si>
  <si>
    <t>M. Fairus Mahbubi</t>
  </si>
  <si>
    <t>03072</t>
  </si>
  <si>
    <t>Dika Hamdan</t>
  </si>
  <si>
    <t>03073</t>
  </si>
  <si>
    <t>Muhammad Aidil</t>
  </si>
  <si>
    <t>03074</t>
  </si>
  <si>
    <t>Farhan Al Gozi</t>
  </si>
  <si>
    <t>03075</t>
  </si>
  <si>
    <t>Abdul Khodir</t>
  </si>
  <si>
    <t>03076</t>
  </si>
  <si>
    <t>M Farizur Rohman Zahron</t>
  </si>
  <si>
    <t>03077</t>
  </si>
  <si>
    <t>Septian Faris Fauzi</t>
  </si>
  <si>
    <t>03078</t>
  </si>
  <si>
    <t>Ahmad Haikal Aqli</t>
  </si>
  <si>
    <t>03079</t>
  </si>
  <si>
    <t>Ahmad Farizal Hariyanto</t>
  </si>
  <si>
    <t>03080</t>
  </si>
  <si>
    <t>03081</t>
  </si>
  <si>
    <t>M Imam Bukhori</t>
  </si>
  <si>
    <t>03082</t>
  </si>
  <si>
    <t>Ulil Albab</t>
  </si>
  <si>
    <t>03083</t>
  </si>
  <si>
    <t>M Ayek Al Farizi</t>
  </si>
  <si>
    <t>03084</t>
  </si>
  <si>
    <t>Ali Murtadlo</t>
  </si>
  <si>
    <t>03085</t>
  </si>
  <si>
    <t>M Khoirul Fahmi</t>
  </si>
  <si>
    <t>03086</t>
  </si>
  <si>
    <t>Atha Bayanaka Pratama</t>
  </si>
  <si>
    <t>03087</t>
  </si>
  <si>
    <t>Mohammad Riski Maulana</t>
  </si>
  <si>
    <t>03088</t>
  </si>
  <si>
    <t>Moch. Alfin</t>
  </si>
  <si>
    <t>03089</t>
  </si>
  <si>
    <t>Gaiz Maulana Rifkan</t>
  </si>
  <si>
    <t>03090</t>
  </si>
  <si>
    <t>Farhan Kafabi</t>
  </si>
  <si>
    <t>03091</t>
  </si>
  <si>
    <t>Adit Farhan</t>
  </si>
  <si>
    <t>03092</t>
  </si>
  <si>
    <t>Alfan Hariri</t>
  </si>
  <si>
    <t>03093</t>
  </si>
  <si>
    <t>Muhammad Abizar Akbar</t>
  </si>
  <si>
    <t>03094</t>
  </si>
  <si>
    <t>Yus Helmi Ananta</t>
  </si>
  <si>
    <t>03095</t>
  </si>
  <si>
    <t>Revan Dwi Firmansyah</t>
  </si>
  <si>
    <t>03096</t>
  </si>
  <si>
    <t>M Rafi</t>
  </si>
  <si>
    <t>03097</t>
  </si>
  <si>
    <t>Syafik Ur Rohman</t>
  </si>
  <si>
    <t>03098</t>
  </si>
  <si>
    <t>Faris Abdillah</t>
  </si>
  <si>
    <t>03099</t>
  </si>
  <si>
    <t>M. Nizam Qusayri</t>
  </si>
  <si>
    <t>03100</t>
  </si>
  <si>
    <t>Sayyid Hasyim</t>
  </si>
  <si>
    <t>03101</t>
  </si>
  <si>
    <t>Muhammad Hasan Ramadhani</t>
  </si>
  <si>
    <t>03102</t>
  </si>
  <si>
    <t>M Rifqi Ainul Musthofa</t>
  </si>
  <si>
    <t>03103</t>
  </si>
  <si>
    <t>M Nukman Nafis Sulhi</t>
  </si>
  <si>
    <t>03104</t>
  </si>
  <si>
    <t>Muhammad Salman Nasir</t>
  </si>
  <si>
    <t>03105</t>
  </si>
  <si>
    <t>Kevin Rendian Maulana</t>
  </si>
  <si>
    <t>03106</t>
  </si>
  <si>
    <t>Nur Fauzi Hamdani</t>
  </si>
  <si>
    <t>03107</t>
  </si>
  <si>
    <t>Yohan Aditya Pamungkas</t>
  </si>
  <si>
    <t>03108</t>
  </si>
  <si>
    <t>Muchammad Rachel Saputra</t>
  </si>
  <si>
    <t>03109</t>
  </si>
  <si>
    <t>Muhammad Ilham</t>
  </si>
  <si>
    <t>03110</t>
  </si>
  <si>
    <t>M Candra Oktafian</t>
  </si>
  <si>
    <t>03111</t>
  </si>
  <si>
    <t>Muhammad Davva Aufar</t>
  </si>
  <si>
    <t>03112</t>
  </si>
  <si>
    <t>03113</t>
  </si>
  <si>
    <t>Ilham Fathur Riski</t>
  </si>
  <si>
    <t>03114</t>
  </si>
  <si>
    <t>Ahmad Prayogi</t>
  </si>
  <si>
    <t>03115</t>
  </si>
  <si>
    <t>Muhammad Riski Maulana</t>
  </si>
  <si>
    <t>03116</t>
  </si>
  <si>
    <t>Ramadhan Faris H.</t>
  </si>
  <si>
    <t>03117</t>
  </si>
  <si>
    <t>M Risqi Baitul Varid</t>
  </si>
  <si>
    <t>03118</t>
  </si>
  <si>
    <t>M Rendy Alfiansyah</t>
  </si>
  <si>
    <t>03119</t>
  </si>
  <si>
    <t>Defka Alif faturrohman</t>
  </si>
  <si>
    <t>03120</t>
  </si>
  <si>
    <t>Bakhtiar Afandi</t>
  </si>
  <si>
    <t>03121</t>
  </si>
  <si>
    <t>Adi Darmawan</t>
  </si>
  <si>
    <t>03122</t>
  </si>
  <si>
    <t>M Shohib</t>
  </si>
  <si>
    <t>03123</t>
  </si>
  <si>
    <t>Hafid Dwi Andika Maulana</t>
  </si>
  <si>
    <t>03124</t>
  </si>
  <si>
    <t>Muhammad Dani Firdaus</t>
  </si>
  <si>
    <t>03125</t>
  </si>
  <si>
    <t>Wildan Abdillah</t>
  </si>
  <si>
    <t>03126</t>
  </si>
  <si>
    <t>Yusuf</t>
  </si>
  <si>
    <t>03127</t>
  </si>
  <si>
    <t>M. Nizam Wahyudi</t>
  </si>
  <si>
    <t>03128</t>
  </si>
  <si>
    <t>Moch. Ziyadul Khoiri</t>
  </si>
  <si>
    <t>03129</t>
  </si>
  <si>
    <t>Ahmad Ghofar</t>
  </si>
  <si>
    <t>03130</t>
  </si>
  <si>
    <t>M. Muis</t>
  </si>
  <si>
    <t xml:space="preserve">D 19 </t>
  </si>
  <si>
    <t>03131</t>
  </si>
  <si>
    <t>Riky Firdiansyah</t>
  </si>
  <si>
    <t>03132</t>
  </si>
  <si>
    <t>Mohammad Firmansyah</t>
  </si>
  <si>
    <t>03133</t>
  </si>
  <si>
    <t>Kanzul Ulum</t>
  </si>
  <si>
    <t>03134</t>
  </si>
  <si>
    <t>M. Alif</t>
  </si>
  <si>
    <t>03135</t>
  </si>
  <si>
    <t>Muhammad Azrirul Muzammil</t>
  </si>
  <si>
    <t>03136</t>
  </si>
  <si>
    <t>M Fahimuddin</t>
  </si>
  <si>
    <t>03137</t>
  </si>
  <si>
    <t>Haikal Fuadi Al Farabi</t>
  </si>
  <si>
    <t>03138</t>
  </si>
  <si>
    <t>Muhammad Rifal Aqil Azizi</t>
  </si>
  <si>
    <t>03139</t>
  </si>
  <si>
    <t>Alif Saputra</t>
  </si>
  <si>
    <t>03140</t>
  </si>
  <si>
    <t>Zaini Atha Amrullah</t>
  </si>
  <si>
    <t>03141</t>
  </si>
  <si>
    <t>Widan Firdaus Abdau</t>
  </si>
  <si>
    <t>03142</t>
  </si>
  <si>
    <t>M. Kevin Ahlami</t>
  </si>
  <si>
    <t>03143</t>
  </si>
  <si>
    <t>Rizky Zainul Alam</t>
  </si>
  <si>
    <t>03144</t>
  </si>
  <si>
    <t>Muhammad Rafa Ardiansyah</t>
  </si>
  <si>
    <t>03145</t>
  </si>
  <si>
    <t>Syauki Muhammad</t>
  </si>
  <si>
    <t>03146</t>
  </si>
  <si>
    <t>Nayaka Maulana Mahdi</t>
  </si>
  <si>
    <t>03147</t>
  </si>
  <si>
    <t>Iqbal Ramadani</t>
  </si>
  <si>
    <t>03148</t>
  </si>
  <si>
    <t>Lutfi Gufron</t>
  </si>
  <si>
    <t>03149</t>
  </si>
  <si>
    <t>Ferdy Roziki</t>
  </si>
  <si>
    <t>03150</t>
  </si>
  <si>
    <t>Ishaq Ali Musaham</t>
  </si>
  <si>
    <t>03151</t>
  </si>
  <si>
    <t>Muhammad Ardiyansyah</t>
  </si>
  <si>
    <t>03152</t>
  </si>
  <si>
    <t>Ahmad Zaki Mubarok</t>
  </si>
  <si>
    <t>03153</t>
  </si>
  <si>
    <t>Ahmad Al-fahsya</t>
  </si>
  <si>
    <t>03154</t>
  </si>
  <si>
    <t>Moh Haikal Shomadani Mubarak</t>
  </si>
  <si>
    <t>03155</t>
  </si>
  <si>
    <t>Deni Irawan</t>
  </si>
  <si>
    <t>03156</t>
  </si>
  <si>
    <t>Ahmad Faizal Faiq</t>
  </si>
  <si>
    <t>03157</t>
  </si>
  <si>
    <t xml:space="preserve">Abdul Hamid Faiz </t>
  </si>
  <si>
    <t>03158</t>
  </si>
  <si>
    <t>Achmad Bayu Ar</t>
  </si>
  <si>
    <t>03159</t>
  </si>
  <si>
    <t>Wildan Fahreza</t>
  </si>
  <si>
    <t>03160</t>
  </si>
  <si>
    <t>Muhammad Fahri</t>
  </si>
  <si>
    <t>03161</t>
  </si>
  <si>
    <t>Aril Akbar Riskillah</t>
  </si>
  <si>
    <t>03162</t>
  </si>
  <si>
    <t>M. Rajif Mu'afi</t>
  </si>
  <si>
    <t>03163</t>
  </si>
  <si>
    <t>M. Latif Wahyudi</t>
  </si>
  <si>
    <t>03164</t>
  </si>
  <si>
    <t>Ahmad Alfin Maulana</t>
  </si>
  <si>
    <t>03165</t>
  </si>
  <si>
    <t>Ahmad Rizal Efendi</t>
  </si>
  <si>
    <t>03166</t>
  </si>
  <si>
    <t>Muhammad Nungky Chandra Winata</t>
  </si>
  <si>
    <t>03167</t>
  </si>
  <si>
    <t>Khoirul Umam</t>
  </si>
  <si>
    <t>03168</t>
  </si>
  <si>
    <t>M Amien Fahril Iyyal</t>
  </si>
  <si>
    <t>03169</t>
  </si>
  <si>
    <t>Abdul Halim</t>
  </si>
  <si>
    <t>03170</t>
  </si>
  <si>
    <t>Isma'il Akbar</t>
  </si>
  <si>
    <t>03171</t>
  </si>
  <si>
    <t>Muhammad Fahri Abdillah</t>
  </si>
  <si>
    <t>03172</t>
  </si>
  <si>
    <t>Muhammad Hoirul Umam</t>
  </si>
  <si>
    <t>03173</t>
  </si>
  <si>
    <t>M Fahri Fazin</t>
  </si>
  <si>
    <t>03174</t>
  </si>
  <si>
    <t>M Fahreza Salim</t>
  </si>
  <si>
    <t>03175</t>
  </si>
  <si>
    <t>Salim</t>
  </si>
  <si>
    <t>03176</t>
  </si>
  <si>
    <t>M. Rifqi Bahri</t>
  </si>
  <si>
    <t>03177</t>
  </si>
  <si>
    <t>M Rifqi Hasani</t>
  </si>
  <si>
    <t>03178</t>
  </si>
  <si>
    <t>Abdul Hamid</t>
  </si>
  <si>
    <t>03179</t>
  </si>
  <si>
    <t>Sandy Kurniawan</t>
  </si>
  <si>
    <t>03180</t>
  </si>
  <si>
    <t>M. Reza Maulana</t>
  </si>
  <si>
    <t>03181</t>
  </si>
  <si>
    <t>M. Ulil Albab</t>
  </si>
  <si>
    <t>03182</t>
  </si>
  <si>
    <t>Ahmad Husni</t>
  </si>
  <si>
    <t>03183</t>
  </si>
  <si>
    <t>Mas Sholeh</t>
  </si>
  <si>
    <t>03184</t>
  </si>
  <si>
    <t>Robby Putra Pratama</t>
  </si>
  <si>
    <t>03185</t>
  </si>
  <si>
    <t>Ahmad Ilyas Muhaimin</t>
  </si>
  <si>
    <t>03186</t>
  </si>
  <si>
    <t>Haikal Riski Ilhami</t>
  </si>
  <si>
    <t>03187</t>
  </si>
  <si>
    <t>Muhammad Husni Zuhri</t>
  </si>
  <si>
    <t>03188</t>
  </si>
  <si>
    <t>Dafa Diyaul Haqqi</t>
  </si>
  <si>
    <t>03189</t>
  </si>
  <si>
    <t>Ahmad Alfan Madani</t>
  </si>
  <si>
    <t>03190</t>
  </si>
  <si>
    <t>Mika Dicta Kalio</t>
  </si>
  <si>
    <t>03191</t>
  </si>
  <si>
    <t>Daniel Matin Vadaugas</t>
  </si>
  <si>
    <t>03192</t>
  </si>
  <si>
    <t>M. Firman Karim Amrullah</t>
  </si>
  <si>
    <t>03193</t>
  </si>
  <si>
    <t>Sya'id Rhomadon</t>
  </si>
  <si>
    <t>03194</t>
  </si>
  <si>
    <t>Ahmad Roihan Alviansyah</t>
  </si>
  <si>
    <t>03195</t>
  </si>
  <si>
    <t>Muhammad Rangga Maulana</t>
  </si>
  <si>
    <t>03196</t>
  </si>
  <si>
    <t>Abdul Hafidz</t>
  </si>
  <si>
    <t>03197</t>
  </si>
  <si>
    <t>Ahmad Maulana Syarif</t>
  </si>
  <si>
    <t>03198</t>
  </si>
  <si>
    <t>M. Rifqillah</t>
  </si>
  <si>
    <t>F 13</t>
  </si>
  <si>
    <t>03199</t>
  </si>
  <si>
    <t>Muhammad Fadil Hidayat</t>
  </si>
  <si>
    <t>03200</t>
  </si>
  <si>
    <t>Muhammad Shohib</t>
  </si>
  <si>
    <t>03201</t>
  </si>
  <si>
    <t>Nur Hasan</t>
  </si>
  <si>
    <t>03202</t>
  </si>
  <si>
    <t>Coky Ilham Pratama</t>
  </si>
  <si>
    <t>03203</t>
  </si>
  <si>
    <t>M. Fahmi Annawawi</t>
  </si>
  <si>
    <t>03204</t>
  </si>
  <si>
    <t>Arifudin Hamzah</t>
  </si>
  <si>
    <t>03205</t>
  </si>
  <si>
    <t xml:space="preserve">M. Ridwan </t>
  </si>
  <si>
    <t>03206</t>
  </si>
  <si>
    <t>Royhan Amrullah</t>
  </si>
  <si>
    <t>03207</t>
  </si>
  <si>
    <t>M Rofiqul Akbar</t>
  </si>
  <si>
    <t>03208</t>
  </si>
  <si>
    <t>Arifan Alif Maulana</t>
  </si>
  <si>
    <t>03209</t>
  </si>
  <si>
    <t>Muhammad Dikrih Mubarok</t>
  </si>
  <si>
    <t>03210</t>
  </si>
  <si>
    <t>M Yahya Eko Rionaldi</t>
  </si>
  <si>
    <t>03211</t>
  </si>
  <si>
    <t>Naufal Najwan Baris</t>
  </si>
  <si>
    <t>03212</t>
  </si>
  <si>
    <t>Ariel Daniel</t>
  </si>
  <si>
    <t>03213</t>
  </si>
  <si>
    <t>Muhammad Wahid Afandi</t>
  </si>
  <si>
    <t>03214</t>
  </si>
  <si>
    <t>Gusti Dermawan</t>
  </si>
  <si>
    <t>03215</t>
  </si>
  <si>
    <t>M. Kayyis Muwaffaq</t>
  </si>
  <si>
    <t>03216</t>
  </si>
  <si>
    <t>03217</t>
  </si>
  <si>
    <t xml:space="preserve">Farel </t>
  </si>
  <si>
    <t>03218</t>
  </si>
  <si>
    <t>Mohammad Safi Amri</t>
  </si>
  <si>
    <t>03219</t>
  </si>
  <si>
    <t>Muhamad Fandiansyah</t>
  </si>
  <si>
    <t>03220</t>
  </si>
  <si>
    <t>Ahfillah Ahmad Azril Az-Zamzam</t>
  </si>
  <si>
    <t>03221</t>
  </si>
  <si>
    <t>M Faiz Ali</t>
  </si>
  <si>
    <t>03222</t>
  </si>
  <si>
    <t>Rivilmon Saputra Sosu</t>
  </si>
  <si>
    <t>03223</t>
  </si>
  <si>
    <t>Maulana Rizky Surya Gemilang</t>
  </si>
  <si>
    <t>03224</t>
  </si>
  <si>
    <t>Ach. Zaini</t>
  </si>
  <si>
    <t>03225</t>
  </si>
  <si>
    <t xml:space="preserve">M Muslim </t>
  </si>
  <si>
    <t>03226</t>
  </si>
  <si>
    <t>M. Risqi Abdillah</t>
  </si>
  <si>
    <t>03227</t>
  </si>
  <si>
    <t>Moch Ali Nur Akbar Zaini</t>
  </si>
  <si>
    <t>03228</t>
  </si>
  <si>
    <t>Muhammad Aminullah</t>
  </si>
  <si>
    <t>03229</t>
  </si>
  <si>
    <t>M. Putra Pratama Ilham</t>
  </si>
  <si>
    <t>03230</t>
  </si>
  <si>
    <t>Dava Aditya Putra</t>
  </si>
  <si>
    <t>03231</t>
  </si>
  <si>
    <t>Moh. Fathor Rosi M.</t>
  </si>
  <si>
    <t>03232</t>
  </si>
  <si>
    <t>03233</t>
  </si>
  <si>
    <t>Muhammad Ferdiansyah</t>
  </si>
  <si>
    <t>03234</t>
  </si>
  <si>
    <t>Farhan Maulana Azidan</t>
  </si>
  <si>
    <t>03235</t>
  </si>
  <si>
    <t>Muhammad Farhan Kamil</t>
  </si>
  <si>
    <t>03236</t>
  </si>
  <si>
    <t>Ahmad Rofi'i</t>
  </si>
  <si>
    <t>03237</t>
  </si>
  <si>
    <t>Natan Faiq Ibrahim</t>
  </si>
  <si>
    <t>03238</t>
  </si>
  <si>
    <t>Wikan Kusuma Aji</t>
  </si>
  <si>
    <t>03239</t>
  </si>
  <si>
    <t>Wildan Alfiansyah</t>
  </si>
  <si>
    <t>03240</t>
  </si>
  <si>
    <t>Riky Firansyah</t>
  </si>
  <si>
    <t>03241</t>
  </si>
  <si>
    <t>M. Afham Billah</t>
  </si>
  <si>
    <t>03242</t>
  </si>
  <si>
    <t>M. Fadil Sa'bani</t>
  </si>
  <si>
    <t>03243</t>
  </si>
  <si>
    <t>Refan Bayu Saputra</t>
  </si>
  <si>
    <t>03244</t>
  </si>
  <si>
    <t>Hisyam Abdirrohman Syihab</t>
  </si>
  <si>
    <t>03245</t>
  </si>
  <si>
    <t>03246</t>
  </si>
  <si>
    <t>M Ihsan Maulana</t>
  </si>
  <si>
    <t>03247</t>
  </si>
  <si>
    <t>03248</t>
  </si>
  <si>
    <t>Alfin Firmansyam</t>
  </si>
  <si>
    <t>03249</t>
  </si>
  <si>
    <t>Fabian Nazril Rahmadan</t>
  </si>
  <si>
    <t>03250</t>
  </si>
  <si>
    <t>Anggara Prasetyo</t>
  </si>
  <si>
    <t>03251</t>
  </si>
  <si>
    <t>Putra Ahmad Yusuf</t>
  </si>
  <si>
    <t>03252</t>
  </si>
  <si>
    <t>Muhammad Rendy Hoirul Anam</t>
  </si>
  <si>
    <t>03253</t>
  </si>
  <si>
    <t>Muhammad Wildan Arifi</t>
  </si>
  <si>
    <t>03254</t>
  </si>
  <si>
    <t>Rafka Andiansyah</t>
  </si>
  <si>
    <t>03255</t>
  </si>
  <si>
    <t>M. Ja'far Sodik</t>
  </si>
  <si>
    <t>03256</t>
  </si>
  <si>
    <t>M Gufron Maulana</t>
  </si>
  <si>
    <t>03257</t>
  </si>
  <si>
    <t>Mochammad Fakhrozi</t>
  </si>
  <si>
    <t>03258</t>
  </si>
  <si>
    <t>A Faisol Lutfi</t>
  </si>
  <si>
    <t>03259</t>
  </si>
  <si>
    <t>M. Zaki Fahri</t>
  </si>
  <si>
    <t>03260</t>
  </si>
  <si>
    <t>M Nur Muammar Khodafi Hasan</t>
  </si>
  <si>
    <t>03261</t>
  </si>
  <si>
    <t>Muhammad Musleh Huddin</t>
  </si>
  <si>
    <t>03262</t>
  </si>
  <si>
    <t>M. Dafian Risky</t>
  </si>
  <si>
    <t>03263</t>
  </si>
  <si>
    <t>Muhammad Fadilatus Ramadani</t>
  </si>
  <si>
    <t>03264</t>
  </si>
  <si>
    <t>Riski Efendi</t>
  </si>
  <si>
    <t>03265</t>
  </si>
  <si>
    <t>03266</t>
  </si>
  <si>
    <t>M Firhat Egi Ramadhan</t>
  </si>
  <si>
    <t>03267</t>
  </si>
  <si>
    <t>M. Sofyan Sauri</t>
  </si>
  <si>
    <t>03268</t>
  </si>
  <si>
    <t>Abdur Rozaq</t>
  </si>
  <si>
    <t>03269</t>
  </si>
  <si>
    <t>Rahul Akbar</t>
  </si>
  <si>
    <t>03270</t>
  </si>
  <si>
    <t>Riski Firmansyah</t>
  </si>
  <si>
    <t>03271</t>
  </si>
  <si>
    <t>Muhammad Faiz Alfarhani</t>
  </si>
  <si>
    <t>03272</t>
  </si>
  <si>
    <t>Ahmad Alwi Firmansyah</t>
  </si>
  <si>
    <t>03273</t>
  </si>
  <si>
    <t>M. Fadli Hardiansyah</t>
  </si>
  <si>
    <t>03274</t>
  </si>
  <si>
    <t xml:space="preserve">M. Lukman Hakim </t>
  </si>
  <si>
    <t>03275</t>
  </si>
  <si>
    <t>Faikhul Ihsan Attohir</t>
  </si>
  <si>
    <t>03276</t>
  </si>
  <si>
    <t>Khotibul Umam</t>
  </si>
  <si>
    <t>03277</t>
  </si>
  <si>
    <t>M. Adam</t>
  </si>
  <si>
    <t>03278</t>
  </si>
  <si>
    <t>Muhammad Farhan Dhofirmansyah</t>
  </si>
  <si>
    <t>03279</t>
  </si>
  <si>
    <t>Randi Ramadhani</t>
  </si>
  <si>
    <t>03280</t>
  </si>
  <si>
    <t>Muhammad Ainur Rohmann</t>
  </si>
  <si>
    <t>03281</t>
  </si>
  <si>
    <t>Muhammad Ramadani</t>
  </si>
  <si>
    <t>03282</t>
  </si>
  <si>
    <t>Muhammad Romadhoni</t>
  </si>
  <si>
    <t>03283</t>
  </si>
  <si>
    <t>Danish Al Ahmad</t>
  </si>
  <si>
    <t>03284</t>
  </si>
  <si>
    <t>Al Qobiri Bil Kasyafani</t>
  </si>
  <si>
    <t>03285</t>
  </si>
  <si>
    <t>Risky Mubarok</t>
  </si>
  <si>
    <t>03286</t>
  </si>
  <si>
    <t>M. Andrian Fahmi</t>
  </si>
  <si>
    <t>03287</t>
  </si>
  <si>
    <t>Iqbal Hariri</t>
  </si>
  <si>
    <t>03288</t>
  </si>
  <si>
    <t>Al Febri</t>
  </si>
  <si>
    <t>03289</t>
  </si>
  <si>
    <t>M Yongki</t>
  </si>
  <si>
    <t>03290</t>
  </si>
  <si>
    <t>Nabil Fayat Al Mubaraq</t>
  </si>
  <si>
    <t>03291</t>
  </si>
  <si>
    <t>Mohammad Fatih Nasrullah</t>
  </si>
  <si>
    <t>03292</t>
  </si>
  <si>
    <t>Ahmad Fahrizi</t>
  </si>
  <si>
    <t>03293</t>
  </si>
  <si>
    <t>Risqi Adit Tiya</t>
  </si>
  <si>
    <t>03294</t>
  </si>
  <si>
    <t>Anang Afandy Yanuar Ardyansyah</t>
  </si>
  <si>
    <t>03295</t>
  </si>
  <si>
    <t>Mahrus</t>
  </si>
  <si>
    <t>03296</t>
  </si>
  <si>
    <t>Muhammad Wildan Adrian Pratama</t>
  </si>
  <si>
    <t>03297</t>
  </si>
  <si>
    <t>M. Amiruddin</t>
  </si>
  <si>
    <t>03298</t>
  </si>
  <si>
    <t>Raja Fadh</t>
  </si>
  <si>
    <t>03299</t>
  </si>
  <si>
    <t>Mahbubi Athoillah</t>
  </si>
  <si>
    <t>03300</t>
  </si>
  <si>
    <t>M Hasan Hafidulloh</t>
  </si>
  <si>
    <t>03301</t>
  </si>
  <si>
    <t>Tomi Yahya Maulana</t>
  </si>
  <si>
    <t>03302</t>
  </si>
  <si>
    <t>M. Rayyan Jaya Wardana</t>
  </si>
  <si>
    <t>03303</t>
  </si>
  <si>
    <t>M. Maheru A N</t>
  </si>
  <si>
    <t>03304</t>
  </si>
  <si>
    <t>Tri Aditiya</t>
  </si>
  <si>
    <t>03305</t>
  </si>
  <si>
    <t>Syaifuddin Al Hamid</t>
  </si>
  <si>
    <t>03306</t>
  </si>
  <si>
    <t>Rofiky Hidayah</t>
  </si>
  <si>
    <t>03307</t>
  </si>
  <si>
    <t>Tyo Ibass Nurgroho</t>
  </si>
  <si>
    <t>03308</t>
  </si>
  <si>
    <t>Moch Eric Hidayat</t>
  </si>
  <si>
    <t>03309</t>
  </si>
  <si>
    <t>Abdur Rosyid</t>
  </si>
  <si>
    <t>03310</t>
  </si>
  <si>
    <t>Shergil Mainacky</t>
  </si>
  <si>
    <t>03311</t>
  </si>
  <si>
    <t>Sahwidi</t>
  </si>
  <si>
    <t>03312</t>
  </si>
  <si>
    <t>Muhammad Saputra Ardinata</t>
  </si>
  <si>
    <t>03313</t>
  </si>
  <si>
    <t>Muhammad Gio Vani</t>
  </si>
  <si>
    <t>03314</t>
  </si>
  <si>
    <t>Muhammad Miftahus Syifak</t>
  </si>
  <si>
    <t>03315</t>
  </si>
  <si>
    <t>M. Reza Ferdiansyah</t>
  </si>
  <si>
    <t>03316</t>
  </si>
  <si>
    <t>Muhammad Nasrul Haq</t>
  </si>
  <si>
    <t>03317</t>
  </si>
  <si>
    <t>M. Wahyu Firmansyah</t>
  </si>
  <si>
    <t>03318</t>
  </si>
  <si>
    <t>M. Fahmi Arifin</t>
  </si>
  <si>
    <t>03319</t>
  </si>
  <si>
    <t>Ahmad Rifannur</t>
  </si>
  <si>
    <t>03320</t>
  </si>
  <si>
    <t>Afiq Madani</t>
  </si>
  <si>
    <t>03321</t>
  </si>
  <si>
    <t>Muhammad Fahmil Hambali</t>
  </si>
  <si>
    <t>03322</t>
  </si>
  <si>
    <t>Muhammad Farhan S.</t>
  </si>
  <si>
    <t>03323</t>
  </si>
  <si>
    <t>Ahmad Nurul Taufik As'ari</t>
  </si>
  <si>
    <t>03324</t>
  </si>
  <si>
    <t>03325</t>
  </si>
  <si>
    <t>Rafi Adi Putra</t>
  </si>
  <si>
    <t>03326</t>
  </si>
  <si>
    <t>Achmad Kafana Fadhluka</t>
  </si>
  <si>
    <t>03327</t>
  </si>
  <si>
    <t>Muhammad Fadhli</t>
  </si>
  <si>
    <t>03328</t>
  </si>
  <si>
    <t>Irfan Efendi</t>
  </si>
  <si>
    <t>03329</t>
  </si>
  <si>
    <t>Muhammad Habibulloh</t>
  </si>
  <si>
    <t>03330</t>
  </si>
  <si>
    <t>M Alfin Nurul Hasan</t>
  </si>
  <si>
    <t>03331</t>
  </si>
  <si>
    <t>Muhammad Fadli</t>
  </si>
  <si>
    <t>03332</t>
  </si>
  <si>
    <t>Zaki Aditiya Wardana</t>
  </si>
  <si>
    <t>03333</t>
  </si>
  <si>
    <t>Adli Raka Azam Bil Faqih</t>
  </si>
  <si>
    <t>03334</t>
  </si>
  <si>
    <t>Rayhan Faerza Arkan</t>
  </si>
  <si>
    <t>03335</t>
  </si>
  <si>
    <t>Wahyu Bimantara</t>
  </si>
  <si>
    <t>03336</t>
  </si>
  <si>
    <t>Muhammad Yusril Mahendra</t>
  </si>
  <si>
    <t>03337</t>
  </si>
  <si>
    <t>Ahmad Ilham Makruf</t>
  </si>
  <si>
    <t>03338</t>
  </si>
  <si>
    <t>Hikmatul Akbar</t>
  </si>
  <si>
    <t>03339</t>
  </si>
  <si>
    <t>M. Rafli Afnani</t>
  </si>
  <si>
    <t>03340</t>
  </si>
  <si>
    <t>M. Risal</t>
  </si>
  <si>
    <t>03341</t>
  </si>
  <si>
    <t>Rendi Firmansyah</t>
  </si>
  <si>
    <t>03342</t>
  </si>
  <si>
    <t>Mohamad Adam</t>
  </si>
  <si>
    <t>03343</t>
  </si>
  <si>
    <t>Muhammad Faishal</t>
  </si>
  <si>
    <t>03344</t>
  </si>
  <si>
    <t>Fabyan Putra Pratama</t>
  </si>
  <si>
    <t>03345</t>
  </si>
  <si>
    <t>Muhammad Syafiq Qulby</t>
  </si>
  <si>
    <t>03346</t>
  </si>
  <si>
    <t>A. Sholeh Pratama</t>
  </si>
  <si>
    <t>03347</t>
  </si>
  <si>
    <t>Rosyiful Aqli Al Anam</t>
  </si>
  <si>
    <t>03348</t>
  </si>
  <si>
    <t>Andika</t>
  </si>
  <si>
    <t>03349</t>
  </si>
  <si>
    <t>Zaenul Abidin</t>
  </si>
  <si>
    <t>03350</t>
  </si>
  <si>
    <t>Maulana Kafabi</t>
  </si>
  <si>
    <t>03351</t>
  </si>
  <si>
    <t>M. Syadid Nidom F</t>
  </si>
  <si>
    <t>03352</t>
  </si>
  <si>
    <t>Abdul Jalil</t>
  </si>
  <si>
    <t>03353</t>
  </si>
  <si>
    <t>Muhammad Haris Abdullah</t>
  </si>
  <si>
    <t>03354</t>
  </si>
  <si>
    <t>Abdullah Khoirul A.</t>
  </si>
  <si>
    <t>03355</t>
  </si>
  <si>
    <t>Ahmad Zain Daqiqi</t>
  </si>
  <si>
    <t>03356</t>
  </si>
  <si>
    <t>Bayu Armansyah</t>
  </si>
  <si>
    <t>03357</t>
  </si>
  <si>
    <t>Ahmad Fathur Rozi</t>
  </si>
  <si>
    <t>03358</t>
  </si>
  <si>
    <t>Muhammad Riski Tri Ardiansyah</t>
  </si>
  <si>
    <t>03359</t>
  </si>
  <si>
    <t>Dafa Sabilil Haq</t>
  </si>
  <si>
    <t>03360</t>
  </si>
  <si>
    <t>As'ad Syamsul Arifin</t>
  </si>
  <si>
    <t>03361</t>
  </si>
  <si>
    <t>Saiful Jabbar</t>
  </si>
  <si>
    <t>03362</t>
  </si>
  <si>
    <t>Eka Rahmat Putra Januarta</t>
  </si>
  <si>
    <t>03363</t>
  </si>
  <si>
    <t>Mochammad Ifan Maulana Dimas</t>
  </si>
  <si>
    <t>03364</t>
  </si>
  <si>
    <t>Muhammad Nurul Abror</t>
  </si>
  <si>
    <t>03365</t>
  </si>
  <si>
    <t>Achmad Solikin</t>
  </si>
  <si>
    <t>03366</t>
  </si>
  <si>
    <t xml:space="preserve">Firman </t>
  </si>
  <si>
    <t>03367</t>
  </si>
  <si>
    <t>Muhammad Al Mansyur</t>
  </si>
  <si>
    <t>03368</t>
  </si>
  <si>
    <t>Muhammad Sabaruddin</t>
  </si>
  <si>
    <t>03369</t>
  </si>
  <si>
    <t>Muhammad Aiman</t>
  </si>
  <si>
    <t>03370</t>
  </si>
  <si>
    <t>Ahmad Rofi Pratama</t>
  </si>
  <si>
    <t>03371</t>
  </si>
  <si>
    <t>Mohammad Iqbal Maulana</t>
  </si>
  <si>
    <t>03372</t>
  </si>
  <si>
    <t>Muammar Khadafi</t>
  </si>
  <si>
    <t>03373</t>
  </si>
  <si>
    <t>Aril Afrizal Putra Riski P</t>
  </si>
  <si>
    <t>03374</t>
  </si>
  <si>
    <t>M. Ihsan Kamil</t>
  </si>
  <si>
    <t>03375</t>
  </si>
  <si>
    <t>Muhammad Raihan Adi Raksa</t>
  </si>
  <si>
    <t>03376</t>
  </si>
  <si>
    <t>M. Rizki Alco Aldiansyah</t>
  </si>
  <si>
    <t>03377</t>
  </si>
  <si>
    <t>Syeh Abdul Kodir Jaelani</t>
  </si>
  <si>
    <t>03378</t>
  </si>
  <si>
    <t>M. Fahri Mahardika Zaini</t>
  </si>
  <si>
    <t>03379</t>
  </si>
  <si>
    <t>M. Habil Hasan As Hadili</t>
  </si>
  <si>
    <t>03380</t>
  </si>
  <si>
    <t>Umarul Faruq</t>
  </si>
  <si>
    <t>03381</t>
  </si>
  <si>
    <t>M. Farihan Mansuron</t>
  </si>
  <si>
    <t>03382</t>
  </si>
  <si>
    <t>03383</t>
  </si>
  <si>
    <t>Riski Jauharianto</t>
  </si>
  <si>
    <t>03384</t>
  </si>
  <si>
    <t>Muhammad Sirojul Hasan</t>
  </si>
  <si>
    <t>03385</t>
  </si>
  <si>
    <t>Muhammad Rifal Maulana</t>
  </si>
  <si>
    <t>03386</t>
  </si>
  <si>
    <t>Muhammad Noval</t>
  </si>
  <si>
    <t>03387</t>
  </si>
  <si>
    <t xml:space="preserve">M Fadil </t>
  </si>
  <si>
    <t>03388</t>
  </si>
  <si>
    <t>M. Fadlan Al Akbar</t>
  </si>
  <si>
    <t>03389</t>
  </si>
  <si>
    <t>M. Al-Farizi</t>
  </si>
  <si>
    <t>03390</t>
  </si>
  <si>
    <t>Adil Al Farizi</t>
  </si>
  <si>
    <t>03391</t>
  </si>
  <si>
    <t xml:space="preserve">Sofwan </t>
  </si>
  <si>
    <t>03392</t>
  </si>
  <si>
    <t>M Faisal Ramadhani</t>
  </si>
  <si>
    <t>03393</t>
  </si>
  <si>
    <t>Muhammad Rizky Al-Rosyidi</t>
  </si>
  <si>
    <t>03394</t>
  </si>
  <si>
    <t>M. Aminullah</t>
  </si>
  <si>
    <t>03395</t>
  </si>
  <si>
    <t>M. Harun Rasidin</t>
  </si>
  <si>
    <t>03396</t>
  </si>
  <si>
    <t>M Iwan Maulana</t>
  </si>
  <si>
    <t>03397</t>
  </si>
  <si>
    <t>Muhammad Iqbal</t>
  </si>
  <si>
    <t>03398</t>
  </si>
  <si>
    <t>Karamazain Luk Ai R.</t>
  </si>
  <si>
    <t>03399</t>
  </si>
  <si>
    <t>Ahmad Yahya Fahimi</t>
  </si>
  <si>
    <t>03400</t>
  </si>
  <si>
    <t>Fakhrul Rosi</t>
  </si>
  <si>
    <t>03401</t>
  </si>
  <si>
    <t>Muhammad Fikri</t>
  </si>
  <si>
    <t>03402</t>
  </si>
  <si>
    <t>Subeiri Vino Izuddin</t>
  </si>
  <si>
    <t>03403</t>
  </si>
  <si>
    <t>Mohammad Zimmi Al Fachri</t>
  </si>
  <si>
    <t>03404</t>
  </si>
  <si>
    <t>Dimas Nur Hidayatullah</t>
  </si>
  <si>
    <t>03405</t>
  </si>
  <si>
    <t>Aidil Akbar</t>
  </si>
  <si>
    <t>03406</t>
  </si>
  <si>
    <t>Muhammad Albi Fillah</t>
  </si>
  <si>
    <t>03407</t>
  </si>
  <si>
    <t>M. Zabran Al Fahmi</t>
  </si>
  <si>
    <t>03408</t>
  </si>
  <si>
    <t>Ega Pratama Hidayat</t>
  </si>
  <si>
    <t>03409</t>
  </si>
  <si>
    <t>Farhan Imdam Robbani</t>
  </si>
  <si>
    <t>03410</t>
  </si>
  <si>
    <t>Ahmad Nasril Ilham</t>
  </si>
  <si>
    <t>03411</t>
  </si>
  <si>
    <t>Gani Saka Fahruddin</t>
  </si>
  <si>
    <t>03412</t>
  </si>
  <si>
    <t>Fahmi Arifan</t>
  </si>
  <si>
    <t>03413</t>
  </si>
  <si>
    <t>M. Dafin Syaputra</t>
  </si>
  <si>
    <t>03414</t>
  </si>
  <si>
    <t>M. Habib Syarif Rohmatullah</t>
  </si>
  <si>
    <t>03415</t>
  </si>
  <si>
    <t>Syifa'ulloh</t>
  </si>
  <si>
    <t>03416</t>
  </si>
  <si>
    <t>Ahmad Yuda Kumala Asari Mahdi</t>
  </si>
  <si>
    <t>03417</t>
  </si>
  <si>
    <t>M. Ilham Antonio</t>
  </si>
  <si>
    <t>03418</t>
  </si>
  <si>
    <t>Aidil Izhan</t>
  </si>
  <si>
    <t>03419</t>
  </si>
  <si>
    <t>Ibnu Ardiansyah</t>
  </si>
  <si>
    <t>03420</t>
  </si>
  <si>
    <t>Muchhammad Rofiuddin</t>
  </si>
  <si>
    <t>03421</t>
  </si>
  <si>
    <t>Muhamad Anwar Zaien</t>
  </si>
  <si>
    <t>03422</t>
  </si>
  <si>
    <t>03423</t>
  </si>
  <si>
    <t>Achmad Akbar Rohmatullah</t>
  </si>
  <si>
    <t>03424</t>
  </si>
  <si>
    <t>Andika Widi Saputra</t>
  </si>
  <si>
    <t>03425</t>
  </si>
  <si>
    <t>Al Hafidz Bukhori</t>
  </si>
  <si>
    <t>03426</t>
  </si>
  <si>
    <t>Muchammad Fathir Maulana</t>
  </si>
  <si>
    <t>03427</t>
  </si>
  <si>
    <t>Ahmad Daril Riski</t>
  </si>
  <si>
    <t>03428</t>
  </si>
  <si>
    <t>Maulana Farid</t>
  </si>
  <si>
    <t>03429</t>
  </si>
  <si>
    <t>M. Sirojuddin Rusdi</t>
  </si>
  <si>
    <t>03430</t>
  </si>
  <si>
    <t>Ahmad Muzainul Hikam</t>
  </si>
  <si>
    <t>03431</t>
  </si>
  <si>
    <t>03432</t>
  </si>
  <si>
    <t>Nofal Hardiyansyah</t>
  </si>
  <si>
    <t>03433</t>
  </si>
  <si>
    <t>Mochammad Arya Siswanto</t>
  </si>
  <si>
    <t>03434</t>
  </si>
  <si>
    <t xml:space="preserve">Amar Ma'ruf </t>
  </si>
  <si>
    <t>03435</t>
  </si>
  <si>
    <t>Kevin Maulana Pratama</t>
  </si>
  <si>
    <t>03436</t>
  </si>
  <si>
    <t>M. Akmalul Amani</t>
  </si>
  <si>
    <t>03437</t>
  </si>
  <si>
    <t>Nurul Huda</t>
  </si>
  <si>
    <t>03438</t>
  </si>
  <si>
    <t>Rizki Aditiya</t>
  </si>
  <si>
    <t>03439</t>
  </si>
  <si>
    <t>Wildan Ata Mimi</t>
  </si>
  <si>
    <t>03440</t>
  </si>
  <si>
    <t>Dzakwanul Aidan Ashan</t>
  </si>
  <si>
    <t>03441</t>
  </si>
  <si>
    <t>Andrian Maulana Malik Ibrahim</t>
  </si>
  <si>
    <t>03442</t>
  </si>
  <si>
    <t>M. Zidan Izzat Asrofi</t>
  </si>
  <si>
    <t>03443</t>
  </si>
  <si>
    <t>Abdul Qowim</t>
  </si>
  <si>
    <t>03444</t>
  </si>
  <si>
    <t>M. Aril Wijaya</t>
  </si>
  <si>
    <t>03445</t>
  </si>
  <si>
    <t>Muhammad Alvan Maulana</t>
  </si>
  <si>
    <t>03446</t>
  </si>
  <si>
    <t>M Nizar</t>
  </si>
  <si>
    <t>03447</t>
  </si>
  <si>
    <t>Fahmi Rizal</t>
  </si>
  <si>
    <t>03448</t>
  </si>
  <si>
    <t>Moh Roiqul Kabir Al-Furjan</t>
  </si>
  <si>
    <t>03449</t>
  </si>
  <si>
    <t>03450</t>
  </si>
  <si>
    <t>M. Ilham Maulana</t>
  </si>
  <si>
    <t>03451</t>
  </si>
  <si>
    <t>Rehan Fikri Hamdani</t>
  </si>
  <si>
    <t>03452</t>
  </si>
  <si>
    <t>M Ridho Al Qodiri</t>
  </si>
  <si>
    <t>03453</t>
  </si>
  <si>
    <t>Agustino Duwi</t>
  </si>
  <si>
    <t>03454</t>
  </si>
  <si>
    <t>Muhammad Lutfi</t>
  </si>
  <si>
    <t>03455</t>
  </si>
  <si>
    <t>Rafikana</t>
  </si>
  <si>
    <t>03456</t>
  </si>
  <si>
    <t>Saiful Ulum</t>
  </si>
  <si>
    <t>03457</t>
  </si>
  <si>
    <t>A. Viki Ramadani</t>
  </si>
  <si>
    <t>03458</t>
  </si>
  <si>
    <t>Mohammad Zaenal Abidin</t>
  </si>
  <si>
    <t>03459</t>
  </si>
  <si>
    <t>Ahmad Mukafi</t>
  </si>
  <si>
    <t>03460</t>
  </si>
  <si>
    <t>M. Afiful Azam</t>
  </si>
  <si>
    <t>03461</t>
  </si>
  <si>
    <t>Haidar Musthofa K.</t>
  </si>
  <si>
    <t>03462</t>
  </si>
  <si>
    <t>Muhammad Amin</t>
  </si>
  <si>
    <t>03463</t>
  </si>
  <si>
    <t>Reza Azidhan Maulana</t>
  </si>
  <si>
    <t>03464</t>
  </si>
  <si>
    <t>M. Imam Habibullah</t>
  </si>
  <si>
    <t>03465</t>
  </si>
  <si>
    <t>Abil Gafa Hilabi</t>
  </si>
  <si>
    <t>03466</t>
  </si>
  <si>
    <t>Moch. Ibi Teguh Rizkillah</t>
  </si>
  <si>
    <t>03467</t>
  </si>
  <si>
    <t>Farhan Ramadani</t>
  </si>
  <si>
    <t>03468</t>
  </si>
  <si>
    <t>Mohammat Sholeh Fajar</t>
  </si>
  <si>
    <t>03469</t>
  </si>
  <si>
    <t>Muhammad Nizam Abraham</t>
  </si>
  <si>
    <t>03470</t>
  </si>
  <si>
    <t>Ainul Fahmi</t>
  </si>
  <si>
    <t>03471</t>
  </si>
  <si>
    <t>Mohammad Abbas Musthofa</t>
  </si>
  <si>
    <t>03472</t>
  </si>
  <si>
    <t>Muhammad Nasru Hamdani</t>
  </si>
  <si>
    <t>03473</t>
  </si>
  <si>
    <t>Muhammad Ilham Hanafi</t>
  </si>
  <si>
    <t>03474</t>
  </si>
  <si>
    <t>Andika Bagus Haryanto</t>
  </si>
  <si>
    <t>03475</t>
  </si>
  <si>
    <t>Raditya Ardhani Kusuma</t>
  </si>
  <si>
    <t>03476</t>
  </si>
  <si>
    <t>M Dava Arya Gozzan</t>
  </si>
  <si>
    <t>03477</t>
  </si>
  <si>
    <t>Khoirul Anwar</t>
  </si>
  <si>
    <t>03478</t>
  </si>
  <si>
    <t>03479</t>
  </si>
  <si>
    <t>Andrian Athar Al Farizi</t>
  </si>
  <si>
    <t>03480</t>
  </si>
  <si>
    <t>Ahmad Zaid</t>
  </si>
  <si>
    <t>03481</t>
  </si>
  <si>
    <t>Saiful Anwar</t>
  </si>
  <si>
    <t>03482</t>
  </si>
  <si>
    <t>Riyan Rhamadani</t>
  </si>
  <si>
    <t>03483</t>
  </si>
  <si>
    <t>M. Wildan</t>
  </si>
  <si>
    <t>03484</t>
  </si>
  <si>
    <t>Muhammad Ubaidillah Hasan</t>
  </si>
  <si>
    <t>03485</t>
  </si>
  <si>
    <t>Muhammad Munawwirus S</t>
  </si>
  <si>
    <t>03486</t>
  </si>
  <si>
    <t>Syarif Muhammad Maliki</t>
  </si>
  <si>
    <t>03487</t>
  </si>
  <si>
    <t>A. Viky Pratama</t>
  </si>
  <si>
    <t>03488</t>
  </si>
  <si>
    <t>Delvin Saputra</t>
  </si>
  <si>
    <t>03489</t>
  </si>
  <si>
    <t>Asrofi</t>
  </si>
  <si>
    <t>03490</t>
  </si>
  <si>
    <t>M. Taufiqurrahman</t>
  </si>
  <si>
    <t>03491</t>
  </si>
  <si>
    <t>Alfin Mannasihin</t>
  </si>
  <si>
    <t>03492</t>
  </si>
  <si>
    <t>M Faisol</t>
  </si>
  <si>
    <t>03493</t>
  </si>
  <si>
    <t>Ahmad Yasin Ade Kurniawan</t>
  </si>
  <si>
    <t>03494</t>
  </si>
  <si>
    <t>Anis Hidayatullah</t>
  </si>
  <si>
    <t>03495</t>
  </si>
  <si>
    <t>Cohyo Gusgiarto</t>
  </si>
  <si>
    <t>03496</t>
  </si>
  <si>
    <t>Muhammad Farhan Fahrozi</t>
  </si>
  <si>
    <t>03497</t>
  </si>
  <si>
    <t>Ahmad Kawakibun Nawafil</t>
  </si>
  <si>
    <t>03498</t>
  </si>
  <si>
    <t>Maulana Rahmat Ainul Yaqin</t>
  </si>
  <si>
    <t>03499</t>
  </si>
  <si>
    <t>Muhammad Rofik</t>
  </si>
  <si>
    <t>03500</t>
  </si>
  <si>
    <t>Muhammad Samsul Arifin</t>
  </si>
  <si>
    <t>03501</t>
  </si>
  <si>
    <t>Yusril Septianto</t>
  </si>
  <si>
    <t>03502</t>
  </si>
  <si>
    <t>M. Ilham</t>
  </si>
  <si>
    <t>03503</t>
  </si>
  <si>
    <t>Ahmad Haddad Nafiri</t>
  </si>
  <si>
    <t>03504</t>
  </si>
  <si>
    <t>M. Ali Zainal Abidin</t>
  </si>
  <si>
    <t>03505</t>
  </si>
  <si>
    <t>03506</t>
  </si>
  <si>
    <t>Azizal Alim</t>
  </si>
  <si>
    <t>03507</t>
  </si>
  <si>
    <t>Misbahul Hasan</t>
  </si>
  <si>
    <t>03508</t>
  </si>
  <si>
    <t>Ahmad Sabilil Ulum</t>
  </si>
  <si>
    <t>03509</t>
  </si>
  <si>
    <t>Muchammad Ihsan Anwar</t>
  </si>
  <si>
    <t>03510</t>
  </si>
  <si>
    <t>Ahmad Syafa'ah</t>
  </si>
  <si>
    <t>03511</t>
  </si>
  <si>
    <t>Ahmad Viki Maulana</t>
  </si>
  <si>
    <t>03512</t>
  </si>
  <si>
    <t>03513</t>
  </si>
  <si>
    <t>Firgi Putra Pratama</t>
  </si>
  <si>
    <t>03514</t>
  </si>
  <si>
    <t>M Jauhar</t>
  </si>
  <si>
    <t>03515</t>
  </si>
  <si>
    <t>Muhammad Alfa Multazam</t>
  </si>
  <si>
    <t>03516</t>
  </si>
  <si>
    <t>Sahrul Ramadhan</t>
  </si>
  <si>
    <t>03517</t>
  </si>
  <si>
    <t>Ahmad Farhan Haikal Yazdan</t>
  </si>
  <si>
    <t>03518</t>
  </si>
  <si>
    <t>Abil Gana Suaidi</t>
  </si>
  <si>
    <t>03519</t>
  </si>
  <si>
    <t>Syahrul Ramadhani</t>
  </si>
  <si>
    <t>03520</t>
  </si>
  <si>
    <t>Dimas Ramadani</t>
  </si>
  <si>
    <t>03521</t>
  </si>
  <si>
    <t>Moh. Hoirul Fata</t>
  </si>
  <si>
    <t>03522</t>
  </si>
  <si>
    <t>Ryaas Amir Yusuf</t>
  </si>
  <si>
    <t>03523</t>
  </si>
  <si>
    <t>Muhammad Rendi F.</t>
  </si>
  <si>
    <t>03524</t>
  </si>
  <si>
    <t>Muhammad Ainur Rofik</t>
  </si>
  <si>
    <t>03525</t>
  </si>
  <si>
    <t>Muhammad Novel</t>
  </si>
  <si>
    <t>03526</t>
  </si>
  <si>
    <t>Ahmad Syahrur Romadhon</t>
  </si>
  <si>
    <t>03527</t>
  </si>
  <si>
    <t>M. Syahrul Ramadhani</t>
  </si>
  <si>
    <t>03528</t>
  </si>
  <si>
    <t>Rizky Gilang Ramadani</t>
  </si>
  <si>
    <t>03529</t>
  </si>
  <si>
    <t>Rafka Maulana Purwatmaja</t>
  </si>
  <si>
    <t>03530</t>
  </si>
  <si>
    <t>Yoga Rozak Kana</t>
  </si>
  <si>
    <t>03531</t>
  </si>
  <si>
    <t>Muhammad Fahri Heryanto</t>
  </si>
  <si>
    <t>03532</t>
  </si>
  <si>
    <t xml:space="preserve">Maulana Ma'dum Ibrahim </t>
  </si>
  <si>
    <t>04001</t>
  </si>
  <si>
    <t>Erlangga Idrus Eko Firdaus</t>
  </si>
  <si>
    <t>04002</t>
  </si>
  <si>
    <t>Ibrahim Cholil Al farizi</t>
  </si>
  <si>
    <t>04003</t>
  </si>
  <si>
    <t>Syaiful Rijal</t>
  </si>
  <si>
    <t>04004</t>
  </si>
  <si>
    <t>Abdurrohman</t>
  </si>
  <si>
    <t>04005</t>
  </si>
  <si>
    <t>Muhammad Ihsan Rofi'i</t>
  </si>
  <si>
    <t>04006</t>
  </si>
  <si>
    <t>Muhammad Raja Trafiki</t>
  </si>
  <si>
    <t>04007</t>
  </si>
  <si>
    <t>Nailul Fahmy</t>
  </si>
  <si>
    <t>04008</t>
  </si>
  <si>
    <t>Nailul Falah Hakiki</t>
  </si>
  <si>
    <t>04009</t>
  </si>
  <si>
    <t>Nurul Farhan Iqromi</t>
  </si>
  <si>
    <t>04010</t>
  </si>
  <si>
    <t>Muhamad Hafid Abdullah</t>
  </si>
  <si>
    <t>04011</t>
  </si>
  <si>
    <t>Musthofal Qulub</t>
  </si>
  <si>
    <t>04012</t>
  </si>
  <si>
    <t>M. Rofi Ramadani</t>
  </si>
  <si>
    <t>04013</t>
  </si>
  <si>
    <t>Jefri Purwadani</t>
  </si>
  <si>
    <t>04014</t>
  </si>
  <si>
    <t>Irfan Lukman Hakim</t>
  </si>
  <si>
    <t>04015</t>
  </si>
  <si>
    <t>Akbar Maulana Malik</t>
  </si>
  <si>
    <t>04016</t>
  </si>
  <si>
    <t>Iqbal Choirul Anam</t>
  </si>
  <si>
    <t>04017</t>
  </si>
  <si>
    <t>Rifqi Fu'adi</t>
  </si>
  <si>
    <t>04018</t>
  </si>
  <si>
    <t>Muhammad Noval Romadhon</t>
  </si>
  <si>
    <t>04019</t>
  </si>
  <si>
    <t>Mohammad Agus</t>
  </si>
  <si>
    <t>04020</t>
  </si>
  <si>
    <t>Eko Saputro</t>
  </si>
  <si>
    <t>04021</t>
  </si>
  <si>
    <t>Ahmad Alfan</t>
  </si>
  <si>
    <t>04022</t>
  </si>
  <si>
    <t>Khoirul Nizam</t>
  </si>
  <si>
    <t>04023</t>
  </si>
  <si>
    <t>Vian Nurul Hakiki</t>
  </si>
  <si>
    <t>04024</t>
  </si>
  <si>
    <t>Muhammad Sallam</t>
  </si>
  <si>
    <t>04025</t>
  </si>
  <si>
    <t>Khoirurroziqin</t>
  </si>
  <si>
    <t>04026</t>
  </si>
  <si>
    <t>Hasrun</t>
  </si>
  <si>
    <t>04027</t>
  </si>
  <si>
    <t>Ahmad Rifqi Ubay Dillah</t>
  </si>
  <si>
    <t>04028</t>
  </si>
  <si>
    <t>M. Saifullah</t>
  </si>
  <si>
    <t>04029</t>
  </si>
  <si>
    <t>Ilhamsyah As'adur Rif'ah</t>
  </si>
  <si>
    <t>04030</t>
  </si>
  <si>
    <t xml:space="preserve"> Anwar</t>
  </si>
  <si>
    <t>04031</t>
  </si>
  <si>
    <t>Abdurrohim</t>
  </si>
  <si>
    <t>04032</t>
  </si>
  <si>
    <t>Muhamad Hairudin</t>
  </si>
  <si>
    <t>04033</t>
  </si>
  <si>
    <t>04034</t>
  </si>
  <si>
    <t>Haikal Syaiful Islam</t>
  </si>
  <si>
    <t>04035</t>
  </si>
  <si>
    <t>Achmad Kurnia Sandi</t>
  </si>
  <si>
    <t>04036</t>
  </si>
  <si>
    <t>Wildanis Sholeh</t>
  </si>
  <si>
    <t>04037</t>
  </si>
  <si>
    <t>04038</t>
  </si>
  <si>
    <t>Alfa Ramdani</t>
  </si>
  <si>
    <t>04039</t>
  </si>
  <si>
    <t>Faiz Nor Efendi</t>
  </si>
  <si>
    <t>04040</t>
  </si>
  <si>
    <t>M Robi</t>
  </si>
  <si>
    <t>04041</t>
  </si>
  <si>
    <t>M. Dhahir Al Farisi</t>
  </si>
  <si>
    <t>04042</t>
  </si>
  <si>
    <t>Muhammad Hafi Ibrah Ramadhan</t>
  </si>
  <si>
    <t>04043</t>
  </si>
  <si>
    <t>04044</t>
  </si>
  <si>
    <t>04045</t>
  </si>
  <si>
    <t>Aldiansyah Ramadhani</t>
  </si>
  <si>
    <t>04046</t>
  </si>
  <si>
    <t>Adam Hazami</t>
  </si>
  <si>
    <t>04047</t>
  </si>
  <si>
    <t>Muhammad Nabil Asrofi</t>
  </si>
  <si>
    <t>04048</t>
  </si>
  <si>
    <t>Moch. Farhan Zibran Maulana</t>
  </si>
  <si>
    <t>04049</t>
  </si>
  <si>
    <t>Muhammad Faruq Ubaydillah</t>
  </si>
  <si>
    <t>04050</t>
  </si>
  <si>
    <t>Alvin Alfa Alfadili</t>
  </si>
  <si>
    <t>04051</t>
  </si>
  <si>
    <t>Ahmad Faisol Anwar</t>
  </si>
  <si>
    <t>Mustofa Khoiruddin</t>
  </si>
  <si>
    <t>Ahmad Baidowi Ma'rif</t>
  </si>
  <si>
    <t xml:space="preserve">Nur Muhammad Alan </t>
  </si>
  <si>
    <t>Muahmmad Fahri Taulani</t>
  </si>
  <si>
    <t>Mochammad Ubaydillah</t>
  </si>
  <si>
    <t>Muhammad Viky Aprilio</t>
  </si>
  <si>
    <t>Ahmad Dafa Maulana Putra</t>
  </si>
  <si>
    <t>Muhammad Azam Hariri</t>
  </si>
  <si>
    <t>M. Zainal Abidin</t>
  </si>
  <si>
    <t>Buya Hamka Tijjani</t>
  </si>
  <si>
    <t>Achmad Iqbal Romadhoni</t>
  </si>
  <si>
    <t>M. Reyhan Wardaniansyah</t>
  </si>
  <si>
    <t>M. Ali Zaki</t>
  </si>
  <si>
    <t>Ahmad Musleh Syahroni</t>
  </si>
  <si>
    <t>Ahmad Saiful Risqi</t>
  </si>
  <si>
    <t>Muhammad Fauzan H.</t>
  </si>
  <si>
    <t>M. Ainul Yaqin</t>
  </si>
  <si>
    <t>Nanang Joni Pranata</t>
  </si>
  <si>
    <t>Nadhif Atha Al Baihaqi</t>
  </si>
  <si>
    <t>Rifky Afandi</t>
  </si>
  <si>
    <t>Moh. Dwi Andika</t>
  </si>
  <si>
    <t>Misbahul Huda</t>
  </si>
  <si>
    <t>Wildan Izzad Abdillah</t>
  </si>
  <si>
    <t>Ahmad Zayyadi Raihan Az Zuhri</t>
  </si>
  <si>
    <t>Raka Damarwulan</t>
  </si>
  <si>
    <t>Hasan Asyhadi</t>
  </si>
  <si>
    <t>M. Firman</t>
  </si>
  <si>
    <t>M. Yazid Fahril Anwar</t>
  </si>
  <si>
    <t>M. Alfin</t>
  </si>
  <si>
    <t>Mohammad Dofir</t>
  </si>
  <si>
    <t>Dimas Anwar</t>
  </si>
  <si>
    <t>Indra Maulana</t>
  </si>
  <si>
    <t>Mohammad Irvan</t>
  </si>
  <si>
    <t>Moch. Ridwanollah</t>
  </si>
  <si>
    <t>Afwan Azidhen Agung Mubarok</t>
  </si>
  <si>
    <t>Dimas Riski Saputra</t>
  </si>
  <si>
    <t>Mochammad Maulana Hasbi</t>
  </si>
  <si>
    <t>Ahmad Athoillah Febrianto</t>
  </si>
  <si>
    <t>Muhammad Putra Hamid Aryadinata</t>
  </si>
  <si>
    <t>Abdullah Faqih Ibnu Syafi'I</t>
  </si>
  <si>
    <t>Adlan Hamid Masyhuri</t>
  </si>
  <si>
    <t>A. Robitul Hakam</t>
  </si>
  <si>
    <t>Fajril Layali</t>
  </si>
  <si>
    <t>Muhammad Faza Akbar</t>
  </si>
  <si>
    <t>Arifad Sufhan Romadhoni</t>
  </si>
  <si>
    <t>Ahmad Jaelani</t>
  </si>
  <si>
    <t>Nugroho Aprianto</t>
  </si>
  <si>
    <t>Rafa  Ardhani</t>
  </si>
  <si>
    <t>Raydra Alhabsy</t>
  </si>
  <si>
    <t>Moh Irvansyah</t>
  </si>
  <si>
    <t>Alvin Zidna Faqih Ramadani</t>
  </si>
  <si>
    <t>Bima Sena Irawan</t>
  </si>
  <si>
    <t>Muhammad Farhan Budianto</t>
  </si>
  <si>
    <t>Rafi Ahmad Maulana</t>
  </si>
  <si>
    <t>Moch. Fahri</t>
  </si>
  <si>
    <t>Ibrahim Kaffah</t>
  </si>
  <si>
    <t>Muhammad Erick Saputra</t>
  </si>
  <si>
    <t>Muhammad Dwi Fadil Hidayatullah</t>
  </si>
  <si>
    <t>Agil Fahreza</t>
  </si>
  <si>
    <t>Ahmad Ibrahim Ihsan</t>
  </si>
  <si>
    <t>Maulana Akbar Al Ishaqi</t>
  </si>
  <si>
    <t>Ahmad Rafi</t>
  </si>
  <si>
    <t>Firman</t>
  </si>
  <si>
    <t>Muhammad Rido'i</t>
  </si>
  <si>
    <t>Moch. Fathir Hidayatullah</t>
  </si>
  <si>
    <t>Ananda Eka Alfarizi</t>
  </si>
  <si>
    <t>Syahrul Fathullah</t>
  </si>
  <si>
    <t>Rian Ahadi</t>
  </si>
  <si>
    <t>M Befin Milano Putra</t>
  </si>
  <si>
    <t xml:space="preserve">Ahmad Fadil </t>
  </si>
  <si>
    <t>Hendri Irawan</t>
  </si>
  <si>
    <t>Muhammad David</t>
  </si>
  <si>
    <t>Haidar Ali Yafi</t>
  </si>
  <si>
    <t>Faisal Amin</t>
  </si>
  <si>
    <t>M Farel Jaurissadid</t>
  </si>
  <si>
    <t>Fahmi Ramadhani</t>
  </si>
  <si>
    <t>Abdullah Aisal Arifin</t>
  </si>
  <si>
    <t>Moch Khoirul Muzakki</t>
  </si>
  <si>
    <t>Hamdan Rohmatullah</t>
  </si>
  <si>
    <t>Muhammad Afiyan Nur Hidayatullah</t>
  </si>
  <si>
    <t>M. Dafa Sodikin</t>
  </si>
  <si>
    <t>Hoirul Rohman</t>
  </si>
  <si>
    <t>M Hasan Nizar Ali</t>
  </si>
  <si>
    <t>Aizat Denis Riszky</t>
  </si>
  <si>
    <t>Akbar Mahdi</t>
  </si>
  <si>
    <t>Ahmad Ramadhani Zainul Arifin</t>
  </si>
  <si>
    <t>Helmy Affan Zulqarna'In</t>
  </si>
  <si>
    <t>Yusril Mahendra</t>
  </si>
  <si>
    <t>Ihya' Ulumuddin</t>
  </si>
  <si>
    <t>Iklil Hidayatullah</t>
  </si>
  <si>
    <t>Haikal Rahesya Isma'il</t>
  </si>
  <si>
    <t>Alvino Sbastiyan</t>
  </si>
  <si>
    <t>Ahmad Alif Haidar</t>
  </si>
  <si>
    <t>Hipni Aditiya Putra</t>
  </si>
  <si>
    <t>Muhammad Ishomuddin</t>
  </si>
  <si>
    <t>Candra Hamsyah</t>
  </si>
  <si>
    <t>M. Syafi'il Azam Sodik</t>
  </si>
  <si>
    <t>Ahmad Rifki</t>
  </si>
  <si>
    <t>Alvin Ardiansyah</t>
  </si>
  <si>
    <t>Mas'ud Farel Maulidi</t>
  </si>
  <si>
    <t>Achmad Hamdani Zain</t>
  </si>
  <si>
    <t>Muhammad Reyfan Tamalin</t>
  </si>
  <si>
    <t>M. Riski Aldiansyah</t>
  </si>
  <si>
    <t>Husni Mubarak</t>
  </si>
  <si>
    <t>Lutfi Fakhri Ashar</t>
  </si>
  <si>
    <t>Muhammad Noval Labib</t>
  </si>
  <si>
    <t>Muhammad Asrofi</t>
  </si>
  <si>
    <t>Muhammad Hamdan Fathullah</t>
  </si>
  <si>
    <t>Riski Ahmad Mabrul</t>
  </si>
  <si>
    <t>Aditya Pratama</t>
  </si>
  <si>
    <t>Muhammad Wahyu Saputra</t>
  </si>
  <si>
    <t>Ilham Ramadani</t>
  </si>
  <si>
    <t>Alham Al Farisi</t>
  </si>
  <si>
    <t>Moch Ardiyansyah</t>
  </si>
  <si>
    <t>Ainul As'ad</t>
  </si>
  <si>
    <t>Fahrillah</t>
  </si>
  <si>
    <t>Muhammad Dafi Firmansyah</t>
  </si>
  <si>
    <t>Imam Safi'i</t>
  </si>
  <si>
    <t>Ahmad Alfin</t>
  </si>
  <si>
    <t>Farhan Hidayatulla</t>
  </si>
  <si>
    <t>Rizqi Kurniawan</t>
  </si>
  <si>
    <t>Imam Ghozali</t>
  </si>
  <si>
    <t>M. Sugianto</t>
  </si>
  <si>
    <t>Reza Al Baghadi</t>
  </si>
  <si>
    <t>Somad Ramadhani</t>
  </si>
  <si>
    <t>Muhammad Alifur Rohman</t>
  </si>
  <si>
    <t>Moh Miftahul Ulum</t>
  </si>
  <si>
    <t xml:space="preserve">M. Aufa </t>
  </si>
  <si>
    <t>M Riduwan Ali</t>
  </si>
  <si>
    <t>Anugrah Ainur Firmansyah</t>
  </si>
  <si>
    <t xml:space="preserve">M. Lutfi </t>
  </si>
  <si>
    <t>Lutfi Firdaus</t>
  </si>
  <si>
    <t>Airil Hasan</t>
  </si>
  <si>
    <t>M. Noval Ibrahim</t>
  </si>
  <si>
    <t>Muhammad Raffa Albarro</t>
  </si>
  <si>
    <t>Khoirul Nur Wahid</t>
  </si>
  <si>
    <t>Jaki Amarullah</t>
  </si>
  <si>
    <t>M Farhan Al Hidayah</t>
  </si>
  <si>
    <t>Prayongki Wanvil</t>
  </si>
  <si>
    <t>M Ali Andra Azam</t>
  </si>
  <si>
    <t>Anwarul Masalik</t>
  </si>
  <si>
    <t>M. Syifa'un Nizam</t>
  </si>
  <si>
    <t>Muchlas Alaisah Harun</t>
  </si>
  <si>
    <t>Fras Yuda Khoiril Anam</t>
  </si>
  <si>
    <t>Cahyo Adi Santoso</t>
  </si>
  <si>
    <t>As'Adur Rofiq</t>
  </si>
  <si>
    <t>Dafa Dwi Adittia</t>
  </si>
  <si>
    <t>Muh Dzulqornain Fadlili</t>
  </si>
  <si>
    <t>Muhammad Roihul Jinan M</t>
  </si>
  <si>
    <t>Mukhamad Sadid</t>
  </si>
  <si>
    <t>Muhammad Khoirul Sofyan</t>
  </si>
  <si>
    <t>Muhammad Wildan FathanRizqi</t>
  </si>
  <si>
    <t>Ahmad Basir</t>
  </si>
  <si>
    <t>Maulana Malik Hasan</t>
  </si>
  <si>
    <t>Ahmad Mualana</t>
  </si>
  <si>
    <t>Muhammad Da'i Ramadhani</t>
  </si>
  <si>
    <t>Reyhan Sofy Adnan</t>
  </si>
  <si>
    <t>Dimas Adithiya</t>
  </si>
  <si>
    <t>Nur Alif</t>
  </si>
  <si>
    <t>Irwan Firdaus</t>
  </si>
  <si>
    <t>Muhammad Riski Aditiya</t>
  </si>
  <si>
    <t>Amir Fadhil Muhammad</t>
  </si>
  <si>
    <t>Muhammad Shofi Nur Asrori</t>
  </si>
  <si>
    <t xml:space="preserve">D 25 </t>
  </si>
  <si>
    <t>Fathur Rosyid</t>
  </si>
  <si>
    <t>Muhammad Hedar Rizki</t>
  </si>
  <si>
    <t>Ahmad Rehan Alinata</t>
  </si>
  <si>
    <t>M Aiman Maulana</t>
  </si>
  <si>
    <t>Reyhan Septian Ramadani</t>
  </si>
  <si>
    <t>Mohammad Zakaria</t>
  </si>
  <si>
    <t>Rizal Ahmad Fa'iq</t>
  </si>
  <si>
    <t>Muhammad Helmi Haidar</t>
  </si>
  <si>
    <t>M. Naufal Zayyet A.</t>
  </si>
  <si>
    <t>M. Febrian Maulana</t>
  </si>
  <si>
    <t>M. Risaldi Ismail</t>
  </si>
  <si>
    <t>Yudi Cahyanto</t>
  </si>
  <si>
    <t>M. Fairus Sholeh</t>
  </si>
  <si>
    <t>Ramadany</t>
  </si>
  <si>
    <t>Rado Suhud Prasinggih</t>
  </si>
  <si>
    <t>Muhammad Yusron Kholid</t>
  </si>
  <si>
    <t>Muhammad Jadidul Am</t>
  </si>
  <si>
    <t>Rehan Farabil Azam</t>
  </si>
  <si>
    <t>M Dava Ferdina</t>
  </si>
  <si>
    <t>Jauharil</t>
  </si>
  <si>
    <t>M Asyarif Hidayatulloh</t>
  </si>
  <si>
    <t>Muhammad Kenzie Javas Niscala</t>
  </si>
  <si>
    <t>Alfin Dzaqiqi Abdillah</t>
  </si>
  <si>
    <t>Hafids Dwi Ramadhan</t>
  </si>
  <si>
    <t>Muhammad Nur Fachmi R</t>
  </si>
  <si>
    <t>M. Faqih Sirojuddin</t>
  </si>
  <si>
    <t>M. Fahri Abdillah</t>
  </si>
  <si>
    <t>Ahmad Nurul Yasin</t>
  </si>
  <si>
    <t>Riyal Winarto</t>
  </si>
  <si>
    <t>Rizqi Maulana Nawawi</t>
  </si>
  <si>
    <t>Dimas Shohibul Muntahe</t>
  </si>
  <si>
    <t>Muhammad Maulana Ikhsan Qomaruzzaman</t>
  </si>
  <si>
    <t>Muhammad Fachri Sholeh</t>
  </si>
  <si>
    <t>Rizik Irwansyah</t>
  </si>
  <si>
    <t>M. Ali Wafi</t>
  </si>
  <si>
    <t>Ach. Maulana Malik Ibrahim</t>
  </si>
  <si>
    <t>Ferdiansyah Amirullah</t>
  </si>
  <si>
    <t>Muhammad Rifki Arisandi</t>
  </si>
  <si>
    <t>Muhammad Al Farisi</t>
  </si>
  <si>
    <t>Muhammad Rafi</t>
  </si>
  <si>
    <t>Adam Firdaus</t>
  </si>
  <si>
    <t>Achmad Dava Ibrohim</t>
  </si>
  <si>
    <t>M Afdal Gulam</t>
  </si>
  <si>
    <t>Fikri Haikal</t>
  </si>
  <si>
    <t>Muhammad Wildan Ibnu Batutoh</t>
  </si>
  <si>
    <t>M Azizi Aminulloh</t>
  </si>
  <si>
    <t>M Abdullah Shirot</t>
  </si>
  <si>
    <t>Ahmad Maulana Hasbi Habibillah</t>
  </si>
  <si>
    <t>Muhammad Hasan Madani</t>
  </si>
  <si>
    <t>Abdul Mu'iz</t>
  </si>
  <si>
    <t>Junenda Andika Putera P.</t>
  </si>
  <si>
    <t>Ahmad Farhan Hamid</t>
  </si>
  <si>
    <t>Muhammad Vikri</t>
  </si>
  <si>
    <t>Isbul Maulana Ishaq</t>
  </si>
  <si>
    <t>Abdur Rohit</t>
  </si>
  <si>
    <t>Amirul Mu'minin</t>
  </si>
  <si>
    <t>Alfan Zidanil Fauzi</t>
  </si>
  <si>
    <t>Alfan Syaifullah</t>
  </si>
  <si>
    <t>M Rega Saputra</t>
  </si>
  <si>
    <t>Muhammad Athar Sya'Bana</t>
  </si>
  <si>
    <t>Mochammad Fikri</t>
  </si>
  <si>
    <t>Akhmad Ishaq Musir</t>
  </si>
  <si>
    <t>Muhammad Yusuf</t>
  </si>
  <si>
    <t>M Sofyan Wahyudi Azzaini</t>
  </si>
  <si>
    <t>Fajrus Sodiq</t>
  </si>
  <si>
    <t>Muhammad Malik Hasan</t>
  </si>
  <si>
    <t>Ahmad Fahmi</t>
  </si>
  <si>
    <t>M. Rifqi Ramadhani</t>
  </si>
  <si>
    <t>Iqbalul Huzni Nadifaturrohila</t>
  </si>
  <si>
    <t>Muhammad  Royhan Mas'ud Muzakki</t>
  </si>
  <si>
    <t>Marsel</t>
  </si>
  <si>
    <t>Moh. Azrul Mubarok</t>
  </si>
  <si>
    <t>Fawaid Kamaluddin</t>
  </si>
  <si>
    <t>Ahmad Asyrafuddin Mubaruk</t>
  </si>
  <si>
    <t>Muhammad Miftah</t>
  </si>
  <si>
    <t>Sirojuddin Marzuki</t>
  </si>
  <si>
    <t>Alfan Ardiansyah</t>
  </si>
  <si>
    <t>Fatihul Bari</t>
  </si>
  <si>
    <t>Wildan Shofiyurrohman</t>
  </si>
  <si>
    <t>Sifa Sidad Mangki Murhafi Saiin</t>
  </si>
  <si>
    <t xml:space="preserve">M. Fahmi Lizul Umam </t>
  </si>
  <si>
    <t>Muhammad Ibnu Ibrahim Hasan</t>
  </si>
  <si>
    <t>M. Umar Said</t>
  </si>
  <si>
    <t>Lukman Hakim</t>
  </si>
  <si>
    <t>Roy Kholid Ahmad</t>
  </si>
  <si>
    <t>Juhriansyah</t>
  </si>
  <si>
    <t>Muhammad Rizki Saputra</t>
  </si>
  <si>
    <t>Moh. Nazril Fahreza</t>
  </si>
  <si>
    <t>Muhammad Irfan Maulana</t>
  </si>
  <si>
    <t>Fahruddin Nasrulloh</t>
  </si>
  <si>
    <t>Muhammad Ubaydillah Maulana Ahzam</t>
  </si>
  <si>
    <t>Moch. Wildan Firdausi</t>
  </si>
  <si>
    <t>M Rona Wardani</t>
  </si>
  <si>
    <t>M. Asyariel Harom</t>
  </si>
  <si>
    <t>M Bayu Arifin</t>
  </si>
  <si>
    <t>Randy Andra Ardani</t>
  </si>
  <si>
    <t>Alfan Toriq Syamfadilah</t>
  </si>
  <si>
    <t>Abdullah Afif Zainuri</t>
  </si>
  <si>
    <t>Adrian Maulana</t>
  </si>
  <si>
    <t>Syafa' Atullah Muhammad</t>
  </si>
  <si>
    <t>M. Kamal Lutfi</t>
  </si>
  <si>
    <t>Tegar Ramadhani Putra</t>
  </si>
  <si>
    <t>Muhammad Kafa Syaifullah</t>
  </si>
  <si>
    <t>Nuril Anwar</t>
  </si>
  <si>
    <t>Mochamad Zainul Fahri</t>
  </si>
  <si>
    <t>Nabil Fawwaz Yasser</t>
  </si>
  <si>
    <t>Dhaniel Alvianzah Rhamadani</t>
  </si>
  <si>
    <t>Moch. Abdi Maulana Fasim</t>
  </si>
  <si>
    <t>Ahmad Khoirul Fahri</t>
  </si>
  <si>
    <t>Muhammad Riski</t>
  </si>
  <si>
    <t xml:space="preserve">Bagus Tri Wahyudi </t>
  </si>
  <si>
    <t>Rifki Rahmad</t>
  </si>
  <si>
    <t>M. Nazril Ilham</t>
  </si>
  <si>
    <t>M. Syahril Faqih</t>
  </si>
  <si>
    <t>Sulton Al Farisi</t>
  </si>
  <si>
    <t>Alwi Sakera</t>
  </si>
  <si>
    <t>Mahesa Jennar</t>
  </si>
  <si>
    <t>Moch Ihyak Rofiqi Said</t>
  </si>
  <si>
    <t>Afiq Ahmas</t>
  </si>
  <si>
    <t>Muhammad Fadiluddin</t>
  </si>
  <si>
    <t>Muhammad Azizi</t>
  </si>
  <si>
    <t>Ahmad Bustomi</t>
  </si>
  <si>
    <t>Ihsan Firmansyah</t>
  </si>
  <si>
    <t>Nazilul Mighfari</t>
  </si>
  <si>
    <t>Ahmad Muddassir</t>
  </si>
  <si>
    <t>Imam Hanafi</t>
  </si>
  <si>
    <t>Moch Husen</t>
  </si>
  <si>
    <t>Risky Maulidur Rofiq</t>
  </si>
  <si>
    <t>Achmad Fatiyan Akbar</t>
  </si>
  <si>
    <t>Mohammad Gilang Saputra</t>
  </si>
  <si>
    <t>Rifky Zidan Arfani</t>
  </si>
  <si>
    <t>Muhammad Ubaidillah</t>
  </si>
  <si>
    <t>Abdul Muthollib</t>
  </si>
  <si>
    <t>Achmad Barki Sya'bani</t>
  </si>
  <si>
    <t>Muamar Al Farizi</t>
  </si>
  <si>
    <t>Muhammad Febrian Putra</t>
  </si>
  <si>
    <t>Firmansyah Ramadhani</t>
  </si>
  <si>
    <t>Ahmad Galaxi Diego Forland</t>
  </si>
  <si>
    <t>Muhammad Farhansyah Adi Putra</t>
  </si>
  <si>
    <t>Mohamad Ghosinul Asror</t>
  </si>
  <si>
    <t>Wildan Chadziq</t>
  </si>
  <si>
    <t>Alfian Octa Widianto</t>
  </si>
  <si>
    <t>Muhammad Miko Alfiansyah</t>
  </si>
  <si>
    <t>Wildan Madini Rahman</t>
  </si>
  <si>
    <t>Moch. Roziqin</t>
  </si>
  <si>
    <t>Muhammad Amsori</t>
  </si>
  <si>
    <t>Mohammad Rio Andriansyah</t>
  </si>
  <si>
    <t>Diqi Aditia Firmansyah</t>
  </si>
  <si>
    <t>Irsa Arfa Rendi</t>
  </si>
  <si>
    <t>Moch. Abdillah Holil</t>
  </si>
  <si>
    <t>Abdullah Rosyid Al-fuad</t>
  </si>
  <si>
    <t>Dimas Sahroni Tohis</t>
  </si>
  <si>
    <t>Muhammad Afandi</t>
  </si>
  <si>
    <t>Achmad Doni Fatakh</t>
  </si>
  <si>
    <t>Muhammad Riyan Aditiya</t>
  </si>
  <si>
    <t>M Riski Romadoni</t>
  </si>
  <si>
    <t>Ilham Mamziz</t>
  </si>
  <si>
    <t>Muhammad  Faroiq Zailani</t>
  </si>
  <si>
    <t>Mohammad Alfin Najat</t>
  </si>
  <si>
    <t>Ahmad Reihan Maulana</t>
  </si>
  <si>
    <t>Mohamad Vian Putra Pratama</t>
  </si>
  <si>
    <t>Muhammad Lucky A.</t>
  </si>
  <si>
    <t>Ach Novan Arianto</t>
  </si>
  <si>
    <t>Rudi Ahmad Saifudin</t>
  </si>
  <si>
    <t>Akhmad Zakariya</t>
  </si>
  <si>
    <t>M. Syamsuddin Fuady</t>
  </si>
  <si>
    <t>Maulana Putra Muadzam F.H</t>
  </si>
  <si>
    <t>Mohammad Afian Candra Putra</t>
  </si>
  <si>
    <t>Dimas Wahyu Prasetyo</t>
  </si>
  <si>
    <t>M. Abd Alim</t>
  </si>
  <si>
    <t>Moch Ibnu Ubaidillah</t>
  </si>
  <si>
    <t>Irwan Maulana</t>
  </si>
  <si>
    <t>A. Rafki Syafi'Illah</t>
  </si>
  <si>
    <t>Riko Hendra  Firmansyah</t>
  </si>
  <si>
    <t>Rafa Robi Achmad</t>
  </si>
  <si>
    <t>04432</t>
  </si>
  <si>
    <t>Ahmad Muzadi</t>
  </si>
  <si>
    <t>04433</t>
  </si>
  <si>
    <t>Muchammad Misbahudin Aziz</t>
  </si>
  <si>
    <t>04434</t>
  </si>
  <si>
    <t>Nur Kholiq Abdurrosid</t>
  </si>
  <si>
    <t>04435</t>
  </si>
  <si>
    <t>Ahmad Ghaits Amral Umam</t>
  </si>
  <si>
    <t>04436</t>
  </si>
  <si>
    <t>M Irham Fatoni</t>
  </si>
  <si>
    <t>04437</t>
  </si>
  <si>
    <t>Maisa Abdillah</t>
  </si>
  <si>
    <t>04438</t>
  </si>
  <si>
    <t>Nizamul Masdar</t>
  </si>
  <si>
    <t>04439</t>
  </si>
  <si>
    <t>Zainur Roziqin</t>
  </si>
  <si>
    <t>04440</t>
  </si>
  <si>
    <t>Much Ridho</t>
  </si>
  <si>
    <t>04441</t>
  </si>
  <si>
    <t>04442</t>
  </si>
  <si>
    <t>M. Wildanil Aufa</t>
  </si>
  <si>
    <t>04443</t>
  </si>
  <si>
    <t>Syamsul Rifad</t>
  </si>
  <si>
    <t>04444</t>
  </si>
  <si>
    <t>Mochamad Ikhsanuddin</t>
  </si>
  <si>
    <t>04445</t>
  </si>
  <si>
    <t>Alfatich Ilman Taufiq</t>
  </si>
  <si>
    <t>04446</t>
  </si>
  <si>
    <t>Muhammad Fitrotur Rofi'i</t>
  </si>
  <si>
    <t>04447</t>
  </si>
  <si>
    <t>Hafiyan Abita Abdi</t>
  </si>
  <si>
    <t>04448</t>
  </si>
  <si>
    <t>Rehan Sahid Abdulloh</t>
  </si>
  <si>
    <t>04449</t>
  </si>
  <si>
    <t>Ahmad Ghazali</t>
  </si>
  <si>
    <t>04450</t>
  </si>
  <si>
    <t>Syarif Hidayatullah</t>
  </si>
  <si>
    <t>Mochammad Rizqi Maulana</t>
  </si>
  <si>
    <t>Ilham Aminullah</t>
  </si>
  <si>
    <t>Afandi Pratama</t>
  </si>
  <si>
    <t>Fahmi Akbar Syafi'i</t>
  </si>
  <si>
    <t>Husni Muttaqim</t>
  </si>
  <si>
    <t>Khairul Umam Bani Lukmani</t>
  </si>
  <si>
    <t>Alfan Mudakkir</t>
  </si>
  <si>
    <t>Muhammad Ali Iksan</t>
  </si>
  <si>
    <t>Rahmat Baihaqi</t>
  </si>
  <si>
    <t>Reyhan Fahri Alfayumi</t>
  </si>
  <si>
    <t>Achmad Fachril Albar</t>
  </si>
  <si>
    <t>Faza Alwi Asadullah</t>
  </si>
  <si>
    <t>Muhammat Farhan Nudin M.</t>
  </si>
  <si>
    <t>M. Ali Ridho</t>
  </si>
  <si>
    <t>Moh. Alfan Al Farizi</t>
  </si>
  <si>
    <t>Muhammad Ikram Abdillah</t>
  </si>
  <si>
    <t>Moch. Yudha Fahnan</t>
  </si>
  <si>
    <t>Mochammad Solihin</t>
  </si>
  <si>
    <t>Kabir Ramadhani</t>
  </si>
  <si>
    <t>Ubaidilah Luthfi</t>
  </si>
  <si>
    <t>Tri Ananda Putra</t>
  </si>
  <si>
    <t>Tegar Maulana Malik Ibrahim</t>
  </si>
  <si>
    <t>Rafa Maulana Azlan</t>
  </si>
  <si>
    <t>Riqza Fatimullah</t>
  </si>
  <si>
    <t>Jauza Janani Farhan</t>
  </si>
  <si>
    <t>Ahmat Maulana</t>
  </si>
  <si>
    <t>Moh Febrian Dwi Saputra</t>
  </si>
  <si>
    <t>Abyan Ammar Tsakib</t>
  </si>
  <si>
    <t>Rizal Ahmadhani</t>
  </si>
  <si>
    <t>Abdul Bahar Aminulloh</t>
  </si>
  <si>
    <t>M. Rifqi Alfian Halim</t>
  </si>
  <si>
    <t>Mohammad Noer Zakiy</t>
  </si>
  <si>
    <t>Ahmad Jailani Alfahri</t>
  </si>
  <si>
    <t>Mohammad Fahril Faqih</t>
  </si>
  <si>
    <t>Yudi</t>
  </si>
  <si>
    <t>Moch. Iqbal Luddin</t>
  </si>
  <si>
    <t>Raden  Ahmad Marzuki</t>
  </si>
  <si>
    <t>Mochammad Naufal Septian M.P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</si>
  <si>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</si>
  <si>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</si>
  <si>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</si>
  <si>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</si>
  <si>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</si>
  <si>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</si>
  <si>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</si>
  <si>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</si>
  <si>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</si>
  <si>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Adnan Syaiful Rizal</t>
  </si>
  <si>
    <t>05319</t>
  </si>
  <si>
    <t>Alfino Rohman</t>
  </si>
  <si>
    <t>05320</t>
  </si>
  <si>
    <t>05321</t>
  </si>
  <si>
    <t>05322</t>
  </si>
  <si>
    <t>Ach. Fuad Azkiyak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</si>
  <si>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</si>
  <si>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</si>
  <si>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</si>
  <si>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</si>
  <si>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</si>
  <si>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</si>
  <si>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</si>
  <si>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</si>
  <si>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Muhammad Mustofa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</si>
  <si>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</si>
  <si>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</si>
  <si>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</si>
  <si>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</si>
  <si>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</si>
  <si>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</si>
  <si>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</si>
  <si>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</si>
  <si>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</si>
  <si>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</si>
  <si>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M. Ibnu Sholeh</t>
  </si>
  <si>
    <t>05341</t>
  </si>
  <si>
    <t>05342</t>
  </si>
  <si>
    <t>05343</t>
  </si>
  <si>
    <t>05344</t>
  </si>
  <si>
    <t>Muhammad Zainal Abidin</t>
  </si>
  <si>
    <t>05345</t>
  </si>
  <si>
    <t>Moh Fahri Hidayat</t>
  </si>
  <si>
    <t>05346</t>
  </si>
  <si>
    <t>05347</t>
  </si>
  <si>
    <t>Firman Setiawan</t>
  </si>
  <si>
    <t>Muhammad Ghufron Muflih</t>
  </si>
  <si>
    <t>Iqbal Fatoni</t>
  </si>
  <si>
    <t>Muhammad Ikmal Abror</t>
  </si>
  <si>
    <t>M. Ulil Arjuni Syafa'ah</t>
  </si>
  <si>
    <t>PULANG</t>
  </si>
  <si>
    <t>BOYONG</t>
  </si>
  <si>
    <t xml:space="preserve"> </t>
  </si>
  <si>
    <t>SAKIT</t>
  </si>
  <si>
    <t>ASUHAN : UST. AHMAD MAULANA</t>
  </si>
  <si>
    <t>KELAS : V C</t>
  </si>
  <si>
    <t>KELAS : V D</t>
  </si>
  <si>
    <t>ASUHAN : UST. ABDUL AL HALIM</t>
  </si>
  <si>
    <t>ASUHAN : UST. NUWAFI</t>
  </si>
  <si>
    <t>KELAS : V E</t>
  </si>
  <si>
    <t>TM</t>
  </si>
  <si>
    <t>ASUHAN : UST SYUKRON JAZILA</t>
  </si>
  <si>
    <t>KELAS : IV A</t>
  </si>
  <si>
    <t>KELAS : IV B</t>
  </si>
  <si>
    <t>KELAS : IV C</t>
  </si>
  <si>
    <t>KELAS : IV D</t>
  </si>
  <si>
    <t>KELAS : IV E</t>
  </si>
  <si>
    <t>KELAS : IV F</t>
  </si>
  <si>
    <t>KELAS : IV G</t>
  </si>
  <si>
    <t>KELAS : IV H</t>
  </si>
  <si>
    <t>ASUHAN : UST . ABDURROHMAN WAFI</t>
  </si>
  <si>
    <t>ASUHAN : UST. YOFI</t>
  </si>
  <si>
    <t>KELAS : V F</t>
  </si>
  <si>
    <t xml:space="preserve">    </t>
  </si>
  <si>
    <t>Alfan Mahendra</t>
  </si>
  <si>
    <t>D02</t>
  </si>
  <si>
    <t>ASUHAN : UST. ABD MU'IS</t>
  </si>
  <si>
    <t>ASUHAN : UST FARIQ</t>
  </si>
  <si>
    <t>ASUHAN : UST. M BADRI</t>
  </si>
  <si>
    <t>ASUHAN : UST. MUHAMMAD ROIB</t>
  </si>
  <si>
    <t>ASUHAN : UST. M WAFUR HIDAYAT</t>
  </si>
  <si>
    <t>ASUHAN : UST. ALI MURTADHO</t>
  </si>
  <si>
    <t>KLS: III D MDTA</t>
  </si>
  <si>
    <t>KLS: III C MDTA</t>
  </si>
  <si>
    <t>KLS: III B MDTA</t>
  </si>
  <si>
    <t>KLS: III A MDTA</t>
  </si>
  <si>
    <t>KLS: III E MDTA</t>
  </si>
  <si>
    <t>KLS: III F MDTA</t>
  </si>
  <si>
    <t>ASUHAN : UST. ANDI MAULANA YUSUF</t>
  </si>
  <si>
    <t>KLS : IV I</t>
  </si>
  <si>
    <t>ASUHAN: UST. IKHWAN BAIHAKI</t>
  </si>
  <si>
    <t>ASUHAN: UST. RISKI ARIYADI</t>
  </si>
  <si>
    <t>ASUHAN: UST. FATHUL ULUM</t>
  </si>
  <si>
    <t>ASUHAN: UST. MUHAMMAD AZHARI</t>
  </si>
  <si>
    <t>KLS: III G MDTA</t>
  </si>
  <si>
    <t>KLS: III H MDTA</t>
  </si>
  <si>
    <t>KLS: III I MDTA</t>
  </si>
  <si>
    <t>KLS: III J MDTA</t>
  </si>
  <si>
    <t>ASUHAN: UST.M MAKILUL ULUM</t>
  </si>
  <si>
    <t>ASUHAN: UST. AHMAD ROSYIDI</t>
  </si>
  <si>
    <t>ASUHAN: UST. ITSBAT MUHYIDDIN</t>
  </si>
  <si>
    <t>ASUHAN: UST. ZAINAL ABIDIN</t>
  </si>
  <si>
    <t>ASUHAN: UST. MAHRUS ALI</t>
  </si>
  <si>
    <t>ASUHAN: UST. MUFID ADNAN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</si>
</sst>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charset val="1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8"/>
      <name val="Calibri"/>
      <family val="2"/>
      <scheme val="minor"/>
    </font>
    <font>
      <sz val="8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4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0" quotePrefix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quotePrefix="1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>
      <alignment horizontal="center" vertical="center"/>
    </xf>
    <xf numFmtId="0" fontId="8" fillId="5" borderId="1" xfId="0" quotePrefix="1" applyFont="1" applyFill="1" applyBorder="1" applyAlignment="1" applyProtection="1">
      <alignment horizontal="center" vertical="center"/>
      <protection locked="0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textRotation="90"/>
    </xf>
    <xf numFmtId="0" fontId="5" fillId="2" borderId="5" xfId="0" applyFont="1" applyFill="1" applyBorder="1" applyAlignment="1">
      <alignment horizontal="center" vertical="center" textRotation="90"/>
    </xf>
    <xf numFmtId="0" fontId="5" fillId="0" borderId="6" xfId="0" applyFont="1" applyBorder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textRotation="90"/>
    </xf>
    <xf numFmtId="0" fontId="11" fillId="2" borderId="5" xfId="0" applyFont="1" applyFill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2000000}"/>
    <cellStyle name="Normal 2 2" xfId="2" xr:uid="{00000000-0005-0000-0000-000003000000}"/>
    <cellStyle name="Normal 3" xfId="3" xr:uid="{00000000-0005-0000-0000-000004000000}"/>
  </cellStyles>
  <dxfs count="269"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>
          <bgColor theme="9" tint="0.59996337778862885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E88BBF5-8310-4323-A248-A3BC458A581B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69950BC-757C-4F6F-8D1A-A55663F56F02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A0D50B6-E117-41CE-93DA-2B525395F397}"/>
            </a:ext>
          </a:extLst>
        </xdr:cNvPr>
        <xdr:cNvSpPr/>
      </xdr:nvSpPr>
      <xdr:spPr>
        <a:xfrm>
          <a:off x="7381875" y="95250"/>
          <a:ext cx="1645920" cy="39814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A747601-27D2-4BBD-B09B-7413CF77DB1F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A267AE-8CED-4DA1-AABE-7F7857799DEB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A2F8FF-BAB3-4A8B-9624-85CA48B7A5D6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A0B8785-05AD-40E6-966B-597DFAE3DB8B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CAFBB97-B30F-4EF3-8A3E-12F15C750947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8FEEA3A-35DD-4CB2-9B63-E2CB3C84DFF9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19FE2F-5BED-4BDC-9B84-C49A39BDDF19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58E520F-24A8-41A0-B267-DA69A3C9C362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30FB736-FD6A-4707-BE8F-4FB55B0AC762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28AD92C-9028-4F2D-A2D9-2082401C2305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232CFA3-5E0C-4436-BC5F-38FA3615FF1F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4DB55A-530F-4FB6-AD73-84EA1506D5E9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1457D6C-ABB9-4656-AE5F-F819C852284D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0F011A0-3E0D-4189-B9A5-B7EC7AE78334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4AE9BC2-A474-4B00-AA26-24986D3FD27A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09704A6-27DD-422A-9A06-8B7D66FE8BE7}"/>
            </a:ext>
          </a:extLst>
        </xdr:cNvPr>
        <xdr:cNvSpPr/>
      </xdr:nvSpPr>
      <xdr:spPr>
        <a:xfrm>
          <a:off x="7200900" y="95250"/>
          <a:ext cx="1609725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A272AC1-BF2C-4CAB-A61D-E246AB971A01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4D67CBF-5536-4DF7-99E0-D89756AB409E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B91A74-9382-4A0B-90C5-E70BBA8279EB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98615B3-2075-40D9-A155-0B647A9B252B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30EC554-3D09-40A2-BA66-1B571ED315DD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81F15D-0781-46D7-ADAA-3A6DC021EE9F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97154</xdr:colOff>
      <xdr:row>0</xdr:row>
      <xdr:rowOff>80010</xdr:rowOff>
    </xdr:from>
    <xdr:to>
      <xdr:col>10</xdr:col>
      <xdr:colOff>853439</xdr:colOff>
      <xdr:row>2</xdr:row>
      <xdr:rowOff>127635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ECEEC2-8291-4979-BF37-92E49FBF58CD}"/>
            </a:ext>
          </a:extLst>
        </xdr:cNvPr>
        <xdr:cNvSpPr/>
      </xdr:nvSpPr>
      <xdr:spPr>
        <a:xfrm>
          <a:off x="4737734" y="80010"/>
          <a:ext cx="1304925" cy="39814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B436A3-DFCF-4A9D-A81B-E77FC0C44952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976B341-6D08-4101-985E-F9E499679917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7BC5901-3ED9-4B19-B27A-0EB80FAE229B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C56E7A-19D5-4DD4-8343-D93D26612414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95250</xdr:rowOff>
    </xdr:from>
    <xdr:to>
      <xdr:col>10</xdr:col>
      <xdr:colOff>257175</xdr:colOff>
      <xdr:row>2</xdr:row>
      <xdr:rowOff>142875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CAAC7AE-D571-4701-9573-F81EBAC145B4}"/>
            </a:ext>
          </a:extLst>
        </xdr:cNvPr>
        <xdr:cNvSpPr/>
      </xdr:nvSpPr>
      <xdr:spPr>
        <a:xfrm>
          <a:off x="7991475" y="95250"/>
          <a:ext cx="1181100" cy="466725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+mj-lt"/>
            </a:rPr>
            <a:t>KUARTAL 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 tint="0.59999389629810485"/>
  </sheetPr>
  <dimension ref="A1:M52"/>
  <sheetViews>
    <sheetView workbookViewId="0">
      <pane xSplit="1" ySplit="7" topLeftCell="B29" activePane="bottomRight" state="frozen"/>
      <selection activeCell="E18" sqref="E18"/>
      <selection pane="topRight" activeCell="E18" sqref="E18"/>
      <selection pane="bottomLeft" activeCell="E18" sqref="E18"/>
      <selection pane="bottomRight" activeCell="M8" sqref="M8:M52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9.570312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2" customFormat="1" ht="19.899999999999999" customHeight="1" x14ac:dyDescent="0.25">
      <c r="A4" s="51" t="s">
        <v>3304</v>
      </c>
      <c r="B4" s="51"/>
      <c r="C4" s="51"/>
      <c r="D4" s="51"/>
      <c r="E4" s="51"/>
      <c r="F4" s="51"/>
      <c r="G4" s="51"/>
      <c r="H4" s="51"/>
      <c r="I4" s="51"/>
      <c r="J4" s="32" t="s">
        <v>3299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1652</v>
      </c>
      <c r="C8" s="10" t="s">
        <v>1653</v>
      </c>
      <c r="D8" s="11" t="s">
        <v>15</v>
      </c>
      <c r="E8" s="12">
        <v>31</v>
      </c>
      <c r="F8" s="13">
        <v>31</v>
      </c>
      <c r="G8" s="14">
        <f>100-E8*3+100-F8*3</f>
        <v>14</v>
      </c>
      <c r="H8" s="15">
        <f>G8/2</f>
        <v>7</v>
      </c>
      <c r="I8" s="13">
        <f t="shared" ref="I8:I52" si="0">RANK(G8,$G$8:$G$52)</f>
        <v>41</v>
      </c>
      <c r="J8" s="16" t="str">
        <f>IF(H8&lt;4.1,"TIDAK HADIR",IF(H8&lt;7.1,"TIDAK BACA",IF(H8&lt;$J$7,"TIDAK TUNTAS","TUNTAS")))</f>
        <v>TIDAK BACA</v>
      </c>
      <c r="K8" s="13"/>
      <c r="M8" s="46">
        <f>H8/10</f>
        <v>0.7</v>
      </c>
    </row>
    <row r="9" spans="1:13" x14ac:dyDescent="0.25">
      <c r="A9" s="8">
        <v>2</v>
      </c>
      <c r="B9" s="9" t="s">
        <v>1654</v>
      </c>
      <c r="C9" s="17" t="s">
        <v>1655</v>
      </c>
      <c r="D9" s="18" t="s">
        <v>15</v>
      </c>
      <c r="E9" s="12">
        <v>13</v>
      </c>
      <c r="F9" s="13">
        <v>1</v>
      </c>
      <c r="G9" s="14">
        <f t="shared" ref="G9:G52" si="1">100-E9*3+100-F9*3</f>
        <v>158</v>
      </c>
      <c r="H9" s="15">
        <f t="shared" ref="H9:H52" si="2">G9/2</f>
        <v>79</v>
      </c>
      <c r="I9" s="13">
        <f t="shared" si="0"/>
        <v>28</v>
      </c>
      <c r="J9" s="16" t="str">
        <f t="shared" ref="J9:J52" si="3">IF(H9&lt;4.1,"TIDAK HADIR",IF(H9&lt;7.1,"TIDAK BACA",IF(H9&lt;$J$7,"TIDAK TUNTAS","TUNTAS")))</f>
        <v>TUNTAS</v>
      </c>
      <c r="K9" s="13"/>
      <c r="M9" s="46">
        <f t="shared" ref="M9:M52" si="4">H9/10</f>
        <v>7.9</v>
      </c>
    </row>
    <row r="10" spans="1:13" x14ac:dyDescent="0.25">
      <c r="A10" s="8">
        <v>3</v>
      </c>
      <c r="B10" s="9" t="s">
        <v>1656</v>
      </c>
      <c r="C10" s="10" t="s">
        <v>1657</v>
      </c>
      <c r="D10" s="11" t="s">
        <v>18</v>
      </c>
      <c r="E10" s="12">
        <v>3</v>
      </c>
      <c r="F10" s="13">
        <v>4</v>
      </c>
      <c r="G10" s="14">
        <f t="shared" si="1"/>
        <v>179</v>
      </c>
      <c r="H10" s="15">
        <f t="shared" si="2"/>
        <v>89.5</v>
      </c>
      <c r="I10" s="13">
        <f t="shared" si="0"/>
        <v>17</v>
      </c>
      <c r="J10" s="16" t="str">
        <f t="shared" si="3"/>
        <v>TUNTAS</v>
      </c>
      <c r="K10" s="13"/>
      <c r="M10" s="46">
        <f t="shared" si="4"/>
        <v>8.9499999999999993</v>
      </c>
    </row>
    <row r="11" spans="1:13" x14ac:dyDescent="0.25">
      <c r="A11" s="8">
        <v>4</v>
      </c>
      <c r="B11" s="9" t="s">
        <v>1658</v>
      </c>
      <c r="C11" s="10" t="s">
        <v>1659</v>
      </c>
      <c r="D11" s="11" t="s">
        <v>27</v>
      </c>
      <c r="E11" s="12">
        <v>10</v>
      </c>
      <c r="F11" s="13">
        <v>7</v>
      </c>
      <c r="G11" s="14">
        <f t="shared" si="1"/>
        <v>149</v>
      </c>
      <c r="H11" s="15">
        <f t="shared" si="2"/>
        <v>74.5</v>
      </c>
      <c r="I11" s="13">
        <f t="shared" si="0"/>
        <v>30</v>
      </c>
      <c r="J11" s="16" t="str">
        <f t="shared" si="3"/>
        <v>TUNTAS</v>
      </c>
      <c r="K11" s="13"/>
      <c r="M11" s="46">
        <f t="shared" si="4"/>
        <v>7.45</v>
      </c>
    </row>
    <row r="12" spans="1:13" x14ac:dyDescent="0.25">
      <c r="A12" s="8">
        <v>5</v>
      </c>
      <c r="B12" s="9" t="s">
        <v>1660</v>
      </c>
      <c r="C12" s="17" t="s">
        <v>1661</v>
      </c>
      <c r="D12" s="18" t="s">
        <v>91</v>
      </c>
      <c r="E12" s="12">
        <v>30</v>
      </c>
      <c r="F12" s="13">
        <v>30</v>
      </c>
      <c r="G12" s="14">
        <f t="shared" si="1"/>
        <v>20</v>
      </c>
      <c r="H12" s="15">
        <f t="shared" si="2"/>
        <v>10</v>
      </c>
      <c r="I12" s="13">
        <f t="shared" si="0"/>
        <v>40</v>
      </c>
      <c r="J12" s="16" t="str">
        <f t="shared" si="3"/>
        <v>TIDAK TUNTAS</v>
      </c>
      <c r="K12" s="13"/>
      <c r="M12" s="46">
        <f t="shared" si="4"/>
        <v>1</v>
      </c>
    </row>
    <row r="13" spans="1:13" x14ac:dyDescent="0.25">
      <c r="A13" s="8">
        <v>6</v>
      </c>
      <c r="B13" s="9" t="s">
        <v>1662</v>
      </c>
      <c r="C13" s="17" t="s">
        <v>1663</v>
      </c>
      <c r="D13" s="18" t="s">
        <v>91</v>
      </c>
      <c r="E13" s="12">
        <v>32</v>
      </c>
      <c r="F13" s="13">
        <v>32</v>
      </c>
      <c r="G13" s="14">
        <f t="shared" si="1"/>
        <v>8</v>
      </c>
      <c r="H13" s="15">
        <f t="shared" si="2"/>
        <v>4</v>
      </c>
      <c r="I13" s="13">
        <f t="shared" si="0"/>
        <v>42</v>
      </c>
      <c r="J13" s="16" t="str">
        <f t="shared" si="3"/>
        <v>TIDAK HADIR</v>
      </c>
      <c r="K13" s="13" t="s">
        <v>3265</v>
      </c>
      <c r="M13" s="46">
        <f t="shared" si="4"/>
        <v>0.4</v>
      </c>
    </row>
    <row r="14" spans="1:13" x14ac:dyDescent="0.25">
      <c r="A14" s="8">
        <v>7</v>
      </c>
      <c r="B14" s="9" t="s">
        <v>1664</v>
      </c>
      <c r="C14" s="17" t="s">
        <v>1665</v>
      </c>
      <c r="D14" s="18" t="s">
        <v>140</v>
      </c>
      <c r="E14" s="12">
        <v>5</v>
      </c>
      <c r="F14" s="13">
        <v>1</v>
      </c>
      <c r="G14" s="14">
        <f t="shared" si="1"/>
        <v>182</v>
      </c>
      <c r="H14" s="15">
        <f t="shared" si="2"/>
        <v>91</v>
      </c>
      <c r="I14" s="13">
        <f t="shared" si="0"/>
        <v>16</v>
      </c>
      <c r="J14" s="16" t="str">
        <f t="shared" si="3"/>
        <v>TUNTAS</v>
      </c>
      <c r="K14" s="13"/>
      <c r="M14" s="46">
        <f t="shared" si="4"/>
        <v>9.1</v>
      </c>
    </row>
    <row r="15" spans="1:13" x14ac:dyDescent="0.25">
      <c r="A15" s="8">
        <v>8</v>
      </c>
      <c r="B15" s="9" t="s">
        <v>1666</v>
      </c>
      <c r="C15" s="10" t="s">
        <v>1667</v>
      </c>
      <c r="D15" s="11" t="s">
        <v>125</v>
      </c>
      <c r="E15" s="12">
        <v>5</v>
      </c>
      <c r="F15" s="13">
        <v>0</v>
      </c>
      <c r="G15" s="14">
        <f t="shared" si="1"/>
        <v>185</v>
      </c>
      <c r="H15" s="15">
        <f t="shared" si="2"/>
        <v>92.5</v>
      </c>
      <c r="I15" s="13">
        <f t="shared" si="0"/>
        <v>11</v>
      </c>
      <c r="J15" s="16" t="str">
        <f t="shared" si="3"/>
        <v>TUNTAS</v>
      </c>
      <c r="K15" s="13"/>
      <c r="M15" s="46">
        <f t="shared" si="4"/>
        <v>9.25</v>
      </c>
    </row>
    <row r="16" spans="1:13" x14ac:dyDescent="0.25">
      <c r="A16" s="8">
        <v>9</v>
      </c>
      <c r="B16" s="9" t="s">
        <v>1668</v>
      </c>
      <c r="C16" s="20" t="s">
        <v>1669</v>
      </c>
      <c r="D16" s="18" t="s">
        <v>103</v>
      </c>
      <c r="E16" s="12">
        <v>6</v>
      </c>
      <c r="F16" s="13">
        <v>1</v>
      </c>
      <c r="G16" s="14">
        <f t="shared" si="1"/>
        <v>179</v>
      </c>
      <c r="H16" s="15">
        <f t="shared" si="2"/>
        <v>89.5</v>
      </c>
      <c r="I16" s="13">
        <f t="shared" si="0"/>
        <v>17</v>
      </c>
      <c r="J16" s="16" t="str">
        <f t="shared" si="3"/>
        <v>TUNTAS</v>
      </c>
      <c r="K16" s="13"/>
      <c r="M16" s="46">
        <f t="shared" si="4"/>
        <v>8.9499999999999993</v>
      </c>
    </row>
    <row r="17" spans="1:13" x14ac:dyDescent="0.25">
      <c r="A17" s="8">
        <v>10</v>
      </c>
      <c r="B17" s="9" t="s">
        <v>1670</v>
      </c>
      <c r="C17" s="10" t="s">
        <v>1671</v>
      </c>
      <c r="D17" s="11" t="s">
        <v>93</v>
      </c>
      <c r="E17" s="12">
        <v>12</v>
      </c>
      <c r="F17" s="13">
        <v>11</v>
      </c>
      <c r="G17" s="14">
        <f t="shared" si="1"/>
        <v>131</v>
      </c>
      <c r="H17" s="15">
        <f t="shared" si="2"/>
        <v>65.5</v>
      </c>
      <c r="I17" s="13">
        <f t="shared" si="0"/>
        <v>34</v>
      </c>
      <c r="J17" s="16" t="str">
        <f t="shared" si="3"/>
        <v>TUNTAS</v>
      </c>
      <c r="K17" s="13"/>
      <c r="M17" s="46">
        <f t="shared" si="4"/>
        <v>6.55</v>
      </c>
    </row>
    <row r="18" spans="1:13" x14ac:dyDescent="0.25">
      <c r="A18" s="8">
        <v>11</v>
      </c>
      <c r="B18" s="9" t="s">
        <v>1672</v>
      </c>
      <c r="C18" s="10" t="s">
        <v>1673</v>
      </c>
      <c r="D18" s="11" t="s">
        <v>36</v>
      </c>
      <c r="E18" s="12">
        <v>2</v>
      </c>
      <c r="F18" s="13">
        <v>1</v>
      </c>
      <c r="G18" s="14">
        <f t="shared" si="1"/>
        <v>191</v>
      </c>
      <c r="H18" s="15">
        <f t="shared" si="2"/>
        <v>95.5</v>
      </c>
      <c r="I18" s="13">
        <f t="shared" si="0"/>
        <v>4</v>
      </c>
      <c r="J18" s="16" t="str">
        <f t="shared" si="3"/>
        <v>TUNTAS</v>
      </c>
      <c r="K18" s="13"/>
      <c r="M18" s="46">
        <f t="shared" si="4"/>
        <v>9.5500000000000007</v>
      </c>
    </row>
    <row r="19" spans="1:13" x14ac:dyDescent="0.25">
      <c r="A19" s="8">
        <v>12</v>
      </c>
      <c r="B19" s="9" t="s">
        <v>1674</v>
      </c>
      <c r="C19" s="10" t="s">
        <v>1675</v>
      </c>
      <c r="D19" s="11" t="s">
        <v>36</v>
      </c>
      <c r="E19" s="12">
        <v>20</v>
      </c>
      <c r="F19" s="13">
        <v>22</v>
      </c>
      <c r="G19" s="14">
        <f t="shared" si="1"/>
        <v>74</v>
      </c>
      <c r="H19" s="15">
        <f t="shared" si="2"/>
        <v>37</v>
      </c>
      <c r="I19" s="13">
        <f t="shared" si="0"/>
        <v>39</v>
      </c>
      <c r="J19" s="16" t="str">
        <f t="shared" si="3"/>
        <v>TIDAK TUNTAS</v>
      </c>
      <c r="K19" s="13"/>
      <c r="M19" s="46">
        <f t="shared" si="4"/>
        <v>3.7</v>
      </c>
    </row>
    <row r="20" spans="1:13" x14ac:dyDescent="0.25">
      <c r="A20" s="8">
        <v>13</v>
      </c>
      <c r="B20" s="9" t="s">
        <v>1676</v>
      </c>
      <c r="C20" s="10" t="s">
        <v>1677</v>
      </c>
      <c r="D20" s="18" t="s">
        <v>36</v>
      </c>
      <c r="E20" s="12">
        <v>32</v>
      </c>
      <c r="F20" s="13">
        <v>32</v>
      </c>
      <c r="G20" s="14">
        <f t="shared" si="1"/>
        <v>8</v>
      </c>
      <c r="H20" s="15">
        <f t="shared" si="2"/>
        <v>4</v>
      </c>
      <c r="I20" s="13">
        <f t="shared" si="0"/>
        <v>42</v>
      </c>
      <c r="J20" s="16" t="str">
        <f t="shared" si="3"/>
        <v>TIDAK HADIR</v>
      </c>
      <c r="K20" s="13" t="s">
        <v>3264</v>
      </c>
      <c r="M20" s="46">
        <f t="shared" si="4"/>
        <v>0.4</v>
      </c>
    </row>
    <row r="21" spans="1:13" x14ac:dyDescent="0.25">
      <c r="A21" s="8">
        <v>14</v>
      </c>
      <c r="B21" s="9" t="s">
        <v>1678</v>
      </c>
      <c r="C21" s="10" t="s">
        <v>1679</v>
      </c>
      <c r="D21" s="11" t="s">
        <v>36</v>
      </c>
      <c r="E21" s="12">
        <v>13</v>
      </c>
      <c r="F21" s="13">
        <v>6</v>
      </c>
      <c r="G21" s="14">
        <f t="shared" si="1"/>
        <v>143</v>
      </c>
      <c r="H21" s="15">
        <f t="shared" si="2"/>
        <v>71.5</v>
      </c>
      <c r="I21" s="13">
        <f t="shared" si="0"/>
        <v>32</v>
      </c>
      <c r="J21" s="16" t="str">
        <f t="shared" si="3"/>
        <v>TUNTAS</v>
      </c>
      <c r="K21" s="13"/>
      <c r="M21" s="46">
        <f t="shared" si="4"/>
        <v>7.15</v>
      </c>
    </row>
    <row r="22" spans="1:13" x14ac:dyDescent="0.25">
      <c r="A22" s="8">
        <v>15</v>
      </c>
      <c r="B22" s="9" t="s">
        <v>1680</v>
      </c>
      <c r="C22" s="21" t="s">
        <v>1681</v>
      </c>
      <c r="D22" s="19" t="s">
        <v>38</v>
      </c>
      <c r="E22" s="12">
        <v>1</v>
      </c>
      <c r="F22" s="13">
        <v>1</v>
      </c>
      <c r="G22" s="14">
        <f t="shared" si="1"/>
        <v>194</v>
      </c>
      <c r="H22" s="15">
        <f t="shared" si="2"/>
        <v>97</v>
      </c>
      <c r="I22" s="13">
        <f t="shared" si="0"/>
        <v>3</v>
      </c>
      <c r="J22" s="16" t="str">
        <f t="shared" si="3"/>
        <v>TUNTAS</v>
      </c>
      <c r="K22" s="13"/>
      <c r="M22" s="46">
        <f t="shared" si="4"/>
        <v>9.6999999999999993</v>
      </c>
    </row>
    <row r="23" spans="1:13" x14ac:dyDescent="0.25">
      <c r="A23" s="8">
        <v>16</v>
      </c>
      <c r="B23" s="9" t="s">
        <v>1682</v>
      </c>
      <c r="C23" s="21" t="s">
        <v>1683</v>
      </c>
      <c r="D23" s="19" t="s">
        <v>80</v>
      </c>
      <c r="E23" s="12">
        <v>16</v>
      </c>
      <c r="F23" s="13">
        <v>8</v>
      </c>
      <c r="G23" s="14">
        <f t="shared" si="1"/>
        <v>128</v>
      </c>
      <c r="H23" s="15">
        <f t="shared" si="2"/>
        <v>64</v>
      </c>
      <c r="I23" s="13">
        <f t="shared" si="0"/>
        <v>35</v>
      </c>
      <c r="J23" s="16" t="str">
        <f t="shared" si="3"/>
        <v>TUNTAS</v>
      </c>
      <c r="K23" s="13"/>
      <c r="M23" s="46">
        <f t="shared" si="4"/>
        <v>6.4</v>
      </c>
    </row>
    <row r="24" spans="1:13" x14ac:dyDescent="0.25">
      <c r="A24" s="8">
        <v>17</v>
      </c>
      <c r="B24" s="9" t="s">
        <v>1684</v>
      </c>
      <c r="C24" s="10" t="s">
        <v>1685</v>
      </c>
      <c r="D24" s="11" t="s">
        <v>105</v>
      </c>
      <c r="E24" s="12">
        <v>7</v>
      </c>
      <c r="F24" s="13">
        <v>6</v>
      </c>
      <c r="G24" s="14">
        <f t="shared" si="1"/>
        <v>161</v>
      </c>
      <c r="H24" s="15">
        <f t="shared" si="2"/>
        <v>80.5</v>
      </c>
      <c r="I24" s="13">
        <f t="shared" si="0"/>
        <v>25</v>
      </c>
      <c r="J24" s="16" t="str">
        <f t="shared" si="3"/>
        <v>TUNTAS</v>
      </c>
      <c r="K24" s="13"/>
      <c r="M24" s="46">
        <f t="shared" si="4"/>
        <v>8.0500000000000007</v>
      </c>
    </row>
    <row r="25" spans="1:13" x14ac:dyDescent="0.25">
      <c r="A25" s="8">
        <v>18</v>
      </c>
      <c r="B25" s="9" t="s">
        <v>1686</v>
      </c>
      <c r="C25" s="20" t="s">
        <v>1687</v>
      </c>
      <c r="D25" s="18" t="s">
        <v>40</v>
      </c>
      <c r="E25" s="12">
        <v>32</v>
      </c>
      <c r="F25" s="13">
        <v>32</v>
      </c>
      <c r="G25" s="14">
        <f t="shared" si="1"/>
        <v>8</v>
      </c>
      <c r="H25" s="15">
        <f t="shared" si="2"/>
        <v>4</v>
      </c>
      <c r="I25" s="13">
        <f t="shared" si="0"/>
        <v>42</v>
      </c>
      <c r="J25" s="16" t="str">
        <f t="shared" si="3"/>
        <v>TIDAK HADIR</v>
      </c>
      <c r="K25" s="13" t="s">
        <v>3265</v>
      </c>
      <c r="M25" s="46">
        <f t="shared" si="4"/>
        <v>0.4</v>
      </c>
    </row>
    <row r="26" spans="1:13" x14ac:dyDescent="0.25">
      <c r="A26" s="8">
        <v>19</v>
      </c>
      <c r="B26" s="9" t="s">
        <v>1688</v>
      </c>
      <c r="C26" s="10" t="s">
        <v>1689</v>
      </c>
      <c r="D26" s="11" t="s">
        <v>40</v>
      </c>
      <c r="E26" s="12">
        <v>3</v>
      </c>
      <c r="F26" s="13">
        <v>0</v>
      </c>
      <c r="G26" s="14">
        <f t="shared" si="1"/>
        <v>191</v>
      </c>
      <c r="H26" s="15">
        <f t="shared" si="2"/>
        <v>95.5</v>
      </c>
      <c r="I26" s="13">
        <f t="shared" si="0"/>
        <v>4</v>
      </c>
      <c r="J26" s="16" t="str">
        <f t="shared" si="3"/>
        <v>TUNTAS</v>
      </c>
      <c r="K26" s="13"/>
      <c r="M26" s="46">
        <f t="shared" si="4"/>
        <v>9.5500000000000007</v>
      </c>
    </row>
    <row r="27" spans="1:13" x14ac:dyDescent="0.25">
      <c r="A27" s="8">
        <v>20</v>
      </c>
      <c r="B27" s="9" t="s">
        <v>1690</v>
      </c>
      <c r="C27" s="10" t="s">
        <v>1691</v>
      </c>
      <c r="D27" s="11" t="s">
        <v>127</v>
      </c>
      <c r="E27" s="12">
        <v>19</v>
      </c>
      <c r="F27" s="13">
        <v>5</v>
      </c>
      <c r="G27" s="14">
        <f t="shared" si="1"/>
        <v>128</v>
      </c>
      <c r="H27" s="15">
        <f t="shared" si="2"/>
        <v>64</v>
      </c>
      <c r="I27" s="13">
        <f t="shared" si="0"/>
        <v>35</v>
      </c>
      <c r="J27" s="16" t="str">
        <f t="shared" si="3"/>
        <v>TUNTAS</v>
      </c>
      <c r="K27" s="13"/>
      <c r="M27" s="46">
        <f t="shared" si="4"/>
        <v>6.4</v>
      </c>
    </row>
    <row r="28" spans="1:13" x14ac:dyDescent="0.25">
      <c r="A28" s="8">
        <v>21</v>
      </c>
      <c r="B28" s="9" t="s">
        <v>1692</v>
      </c>
      <c r="C28" s="10" t="s">
        <v>1693</v>
      </c>
      <c r="D28" s="11" t="s">
        <v>127</v>
      </c>
      <c r="E28" s="12">
        <v>10</v>
      </c>
      <c r="F28" s="13">
        <v>0</v>
      </c>
      <c r="G28" s="14">
        <f t="shared" si="1"/>
        <v>170</v>
      </c>
      <c r="H28" s="15">
        <f t="shared" si="2"/>
        <v>85</v>
      </c>
      <c r="I28" s="13">
        <f t="shared" si="0"/>
        <v>24</v>
      </c>
      <c r="J28" s="16" t="str">
        <f t="shared" si="3"/>
        <v>TUNTAS</v>
      </c>
      <c r="K28" s="13"/>
      <c r="M28" s="46">
        <f t="shared" si="4"/>
        <v>8.5</v>
      </c>
    </row>
    <row r="29" spans="1:13" x14ac:dyDescent="0.25">
      <c r="A29" s="8">
        <v>22</v>
      </c>
      <c r="B29" s="9" t="s">
        <v>1694</v>
      </c>
      <c r="C29" s="10" t="s">
        <v>112</v>
      </c>
      <c r="D29" s="11" t="s">
        <v>41</v>
      </c>
      <c r="E29" s="12">
        <v>12</v>
      </c>
      <c r="F29" s="13">
        <v>7</v>
      </c>
      <c r="G29" s="14">
        <f t="shared" si="1"/>
        <v>143</v>
      </c>
      <c r="H29" s="15">
        <f t="shared" si="2"/>
        <v>71.5</v>
      </c>
      <c r="I29" s="13">
        <f t="shared" si="0"/>
        <v>32</v>
      </c>
      <c r="J29" s="16" t="str">
        <f t="shared" si="3"/>
        <v>TUNTAS</v>
      </c>
      <c r="K29" s="13"/>
      <c r="M29" s="46">
        <f t="shared" si="4"/>
        <v>7.15</v>
      </c>
    </row>
    <row r="30" spans="1:13" x14ac:dyDescent="0.25">
      <c r="A30" s="8">
        <v>23</v>
      </c>
      <c r="B30" s="9" t="s">
        <v>1695</v>
      </c>
      <c r="C30" s="10" t="s">
        <v>1696</v>
      </c>
      <c r="D30" s="11" t="s">
        <v>136</v>
      </c>
      <c r="E30" s="12">
        <v>0</v>
      </c>
      <c r="F30" s="13">
        <v>0</v>
      </c>
      <c r="G30" s="14">
        <f t="shared" si="1"/>
        <v>200</v>
      </c>
      <c r="H30" s="15">
        <f t="shared" si="2"/>
        <v>100</v>
      </c>
      <c r="I30" s="13">
        <f t="shared" si="0"/>
        <v>1</v>
      </c>
      <c r="J30" s="16" t="str">
        <f t="shared" si="3"/>
        <v>TUNTAS</v>
      </c>
      <c r="K30" s="13"/>
      <c r="M30" s="46">
        <f t="shared" si="4"/>
        <v>10</v>
      </c>
    </row>
    <row r="31" spans="1:13" x14ac:dyDescent="0.25">
      <c r="A31" s="8">
        <v>24</v>
      </c>
      <c r="B31" s="9" t="s">
        <v>1697</v>
      </c>
      <c r="C31" s="10" t="s">
        <v>1698</v>
      </c>
      <c r="D31" s="11" t="s">
        <v>45</v>
      </c>
      <c r="E31" s="12">
        <v>10</v>
      </c>
      <c r="F31" s="13">
        <v>5</v>
      </c>
      <c r="G31" s="14">
        <f t="shared" si="1"/>
        <v>155</v>
      </c>
      <c r="H31" s="15">
        <f t="shared" si="2"/>
        <v>77.5</v>
      </c>
      <c r="I31" s="13">
        <f t="shared" si="0"/>
        <v>29</v>
      </c>
      <c r="J31" s="16" t="str">
        <f t="shared" si="3"/>
        <v>TUNTAS</v>
      </c>
      <c r="K31" s="13"/>
      <c r="M31" s="46">
        <f t="shared" si="4"/>
        <v>7.75</v>
      </c>
    </row>
    <row r="32" spans="1:13" x14ac:dyDescent="0.25">
      <c r="A32" s="8">
        <v>25</v>
      </c>
      <c r="B32" s="9" t="s">
        <v>1699</v>
      </c>
      <c r="C32" s="10" t="s">
        <v>1700</v>
      </c>
      <c r="D32" s="11" t="s">
        <v>45</v>
      </c>
      <c r="E32" s="12">
        <v>3</v>
      </c>
      <c r="F32" s="13">
        <v>1</v>
      </c>
      <c r="G32" s="14">
        <f t="shared" si="1"/>
        <v>188</v>
      </c>
      <c r="H32" s="15">
        <f t="shared" si="2"/>
        <v>94</v>
      </c>
      <c r="I32" s="13">
        <f t="shared" si="0"/>
        <v>10</v>
      </c>
      <c r="J32" s="16" t="str">
        <f t="shared" si="3"/>
        <v>TUNTAS</v>
      </c>
      <c r="K32" s="13"/>
      <c r="M32" s="46">
        <f t="shared" si="4"/>
        <v>9.4</v>
      </c>
    </row>
    <row r="33" spans="1:13" x14ac:dyDescent="0.25">
      <c r="A33" s="8">
        <v>26</v>
      </c>
      <c r="B33" s="9" t="s">
        <v>1701</v>
      </c>
      <c r="C33" s="21" t="s">
        <v>1702</v>
      </c>
      <c r="D33" s="19" t="s">
        <v>45</v>
      </c>
      <c r="E33" s="12">
        <v>32</v>
      </c>
      <c r="F33" s="13">
        <v>32</v>
      </c>
      <c r="G33" s="14">
        <f t="shared" si="1"/>
        <v>8</v>
      </c>
      <c r="H33" s="15">
        <f t="shared" si="2"/>
        <v>4</v>
      </c>
      <c r="I33" s="13">
        <f t="shared" si="0"/>
        <v>42</v>
      </c>
      <c r="J33" s="16" t="str">
        <f t="shared" si="3"/>
        <v>TIDAK HADIR</v>
      </c>
      <c r="K33" s="13" t="s">
        <v>3265</v>
      </c>
      <c r="M33" s="46">
        <f t="shared" si="4"/>
        <v>0.4</v>
      </c>
    </row>
    <row r="34" spans="1:13" x14ac:dyDescent="0.25">
      <c r="A34" s="8">
        <v>27</v>
      </c>
      <c r="B34" s="9" t="s">
        <v>1703</v>
      </c>
      <c r="C34" s="10" t="s">
        <v>1704</v>
      </c>
      <c r="D34" s="11" t="s">
        <v>116</v>
      </c>
      <c r="E34" s="12">
        <v>1</v>
      </c>
      <c r="F34" s="13">
        <v>0</v>
      </c>
      <c r="G34" s="14">
        <f t="shared" si="1"/>
        <v>197</v>
      </c>
      <c r="H34" s="15">
        <f t="shared" si="2"/>
        <v>98.5</v>
      </c>
      <c r="I34" s="13">
        <f t="shared" si="0"/>
        <v>2</v>
      </c>
      <c r="J34" s="16" t="str">
        <f t="shared" si="3"/>
        <v>TUNTAS</v>
      </c>
      <c r="K34" s="13"/>
      <c r="M34" s="46">
        <f t="shared" si="4"/>
        <v>9.85</v>
      </c>
    </row>
    <row r="35" spans="1:13" x14ac:dyDescent="0.25">
      <c r="A35" s="8">
        <v>28</v>
      </c>
      <c r="B35" s="9" t="s">
        <v>1705</v>
      </c>
      <c r="C35" s="10" t="s">
        <v>1706</v>
      </c>
      <c r="D35" s="11" t="s">
        <v>116</v>
      </c>
      <c r="E35" s="12">
        <v>3</v>
      </c>
      <c r="F35" s="13">
        <v>0</v>
      </c>
      <c r="G35" s="14">
        <f t="shared" si="1"/>
        <v>191</v>
      </c>
      <c r="H35" s="15">
        <f t="shared" si="2"/>
        <v>95.5</v>
      </c>
      <c r="I35" s="13">
        <f t="shared" si="0"/>
        <v>4</v>
      </c>
      <c r="J35" s="16" t="str">
        <f t="shared" si="3"/>
        <v>TUNTAS</v>
      </c>
      <c r="K35" s="13"/>
      <c r="M35" s="46">
        <f t="shared" si="4"/>
        <v>9.5500000000000007</v>
      </c>
    </row>
    <row r="36" spans="1:13" x14ac:dyDescent="0.25">
      <c r="A36" s="8">
        <v>29</v>
      </c>
      <c r="B36" s="9" t="s">
        <v>1707</v>
      </c>
      <c r="C36" s="10" t="s">
        <v>1708</v>
      </c>
      <c r="D36" s="11" t="s">
        <v>107</v>
      </c>
      <c r="E36" s="12">
        <v>6</v>
      </c>
      <c r="F36" s="13">
        <v>1</v>
      </c>
      <c r="G36" s="14">
        <f t="shared" si="1"/>
        <v>179</v>
      </c>
      <c r="H36" s="15">
        <f t="shared" si="2"/>
        <v>89.5</v>
      </c>
      <c r="I36" s="13">
        <f t="shared" si="0"/>
        <v>17</v>
      </c>
      <c r="J36" s="16" t="str">
        <f t="shared" si="3"/>
        <v>TUNTAS</v>
      </c>
      <c r="K36" s="13"/>
      <c r="M36" s="46">
        <f t="shared" si="4"/>
        <v>8.9499999999999993</v>
      </c>
    </row>
    <row r="37" spans="1:13" x14ac:dyDescent="0.25">
      <c r="A37" s="8">
        <v>30</v>
      </c>
      <c r="B37" s="9" t="s">
        <v>1709</v>
      </c>
      <c r="C37" s="17" t="s">
        <v>1710</v>
      </c>
      <c r="D37" s="18" t="s">
        <v>47</v>
      </c>
      <c r="E37" s="12">
        <v>17</v>
      </c>
      <c r="F37" s="13">
        <v>10</v>
      </c>
      <c r="G37" s="14">
        <f t="shared" si="1"/>
        <v>119</v>
      </c>
      <c r="H37" s="15">
        <f t="shared" si="2"/>
        <v>59.5</v>
      </c>
      <c r="I37" s="13">
        <f t="shared" si="0"/>
        <v>37</v>
      </c>
      <c r="J37" s="16" t="str">
        <f t="shared" si="3"/>
        <v>TIDAK TUNTAS</v>
      </c>
      <c r="K37" s="13"/>
      <c r="M37" s="46">
        <f t="shared" si="4"/>
        <v>5.95</v>
      </c>
    </row>
    <row r="38" spans="1:13" x14ac:dyDescent="0.25">
      <c r="A38" s="8">
        <v>31</v>
      </c>
      <c r="B38" s="9" t="s">
        <v>1711</v>
      </c>
      <c r="C38" s="10" t="s">
        <v>1712</v>
      </c>
      <c r="D38" s="11" t="s">
        <v>50</v>
      </c>
      <c r="E38" s="12">
        <v>10</v>
      </c>
      <c r="F38" s="13">
        <v>3</v>
      </c>
      <c r="G38" s="14">
        <f t="shared" si="1"/>
        <v>161</v>
      </c>
      <c r="H38" s="15">
        <f t="shared" si="2"/>
        <v>80.5</v>
      </c>
      <c r="I38" s="13">
        <f t="shared" si="0"/>
        <v>25</v>
      </c>
      <c r="J38" s="16" t="str">
        <f t="shared" si="3"/>
        <v>TUNTAS</v>
      </c>
      <c r="K38" s="13"/>
      <c r="M38" s="46">
        <f t="shared" si="4"/>
        <v>8.0500000000000007</v>
      </c>
    </row>
    <row r="39" spans="1:13" x14ac:dyDescent="0.25">
      <c r="A39" s="8">
        <v>32</v>
      </c>
      <c r="B39" s="9" t="s">
        <v>1713</v>
      </c>
      <c r="C39" s="10" t="s">
        <v>1714</v>
      </c>
      <c r="D39" s="11" t="s">
        <v>53</v>
      </c>
      <c r="E39" s="12">
        <v>5</v>
      </c>
      <c r="F39" s="13">
        <v>0</v>
      </c>
      <c r="G39" s="14">
        <f t="shared" si="1"/>
        <v>185</v>
      </c>
      <c r="H39" s="15">
        <f t="shared" si="2"/>
        <v>92.5</v>
      </c>
      <c r="I39" s="13">
        <f t="shared" si="0"/>
        <v>11</v>
      </c>
      <c r="J39" s="16" t="str">
        <f t="shared" si="3"/>
        <v>TUNTAS</v>
      </c>
      <c r="K39" s="13"/>
      <c r="M39" s="46">
        <f t="shared" si="4"/>
        <v>9.25</v>
      </c>
    </row>
    <row r="40" spans="1:13" x14ac:dyDescent="0.25">
      <c r="A40" s="8">
        <v>33</v>
      </c>
      <c r="B40" s="9" t="s">
        <v>1715</v>
      </c>
      <c r="C40" s="10" t="s">
        <v>1716</v>
      </c>
      <c r="D40" s="11" t="s">
        <v>96</v>
      </c>
      <c r="E40" s="12">
        <v>8</v>
      </c>
      <c r="F40" s="13">
        <v>1</v>
      </c>
      <c r="G40" s="14">
        <f t="shared" si="1"/>
        <v>173</v>
      </c>
      <c r="H40" s="15">
        <f t="shared" si="2"/>
        <v>86.5</v>
      </c>
      <c r="I40" s="13">
        <f t="shared" si="0"/>
        <v>21</v>
      </c>
      <c r="J40" s="16" t="str">
        <f t="shared" si="3"/>
        <v>TUNTAS</v>
      </c>
      <c r="K40" s="13"/>
      <c r="M40" s="46">
        <f t="shared" si="4"/>
        <v>8.65</v>
      </c>
    </row>
    <row r="41" spans="1:13" x14ac:dyDescent="0.25">
      <c r="A41" s="8">
        <v>34</v>
      </c>
      <c r="B41" s="9" t="s">
        <v>1717</v>
      </c>
      <c r="C41" s="10" t="s">
        <v>1718</v>
      </c>
      <c r="D41" s="11" t="s">
        <v>62</v>
      </c>
      <c r="E41" s="12">
        <v>3</v>
      </c>
      <c r="F41" s="13">
        <v>2</v>
      </c>
      <c r="G41" s="14">
        <f t="shared" si="1"/>
        <v>185</v>
      </c>
      <c r="H41" s="15">
        <f t="shared" si="2"/>
        <v>92.5</v>
      </c>
      <c r="I41" s="13">
        <f t="shared" si="0"/>
        <v>11</v>
      </c>
      <c r="J41" s="16" t="str">
        <f t="shared" si="3"/>
        <v>TUNTAS</v>
      </c>
      <c r="K41" s="13"/>
      <c r="M41" s="46">
        <f t="shared" si="4"/>
        <v>9.25</v>
      </c>
    </row>
    <row r="42" spans="1:13" x14ac:dyDescent="0.25">
      <c r="A42" s="8">
        <v>35</v>
      </c>
      <c r="B42" s="9" t="s">
        <v>1719</v>
      </c>
      <c r="C42" s="10" t="s">
        <v>1720</v>
      </c>
      <c r="D42" s="11" t="s">
        <v>64</v>
      </c>
      <c r="E42" s="12">
        <v>2</v>
      </c>
      <c r="F42" s="13">
        <v>1</v>
      </c>
      <c r="G42" s="14">
        <f t="shared" si="1"/>
        <v>191</v>
      </c>
      <c r="H42" s="15">
        <f t="shared" si="2"/>
        <v>95.5</v>
      </c>
      <c r="I42" s="13">
        <f t="shared" si="0"/>
        <v>4</v>
      </c>
      <c r="J42" s="16" t="str">
        <f t="shared" si="3"/>
        <v>TUNTAS</v>
      </c>
      <c r="K42" s="13"/>
      <c r="M42" s="46">
        <f t="shared" si="4"/>
        <v>9.5500000000000007</v>
      </c>
    </row>
    <row r="43" spans="1:13" x14ac:dyDescent="0.25">
      <c r="A43" s="8">
        <v>36</v>
      </c>
      <c r="B43" s="9" t="s">
        <v>1721</v>
      </c>
      <c r="C43" s="10" t="s">
        <v>1722</v>
      </c>
      <c r="D43" s="11" t="s">
        <v>65</v>
      </c>
      <c r="E43" s="12">
        <v>2</v>
      </c>
      <c r="F43" s="13">
        <v>3</v>
      </c>
      <c r="G43" s="14">
        <f t="shared" si="1"/>
        <v>185</v>
      </c>
      <c r="H43" s="15">
        <f t="shared" si="2"/>
        <v>92.5</v>
      </c>
      <c r="I43" s="13">
        <f t="shared" si="0"/>
        <v>11</v>
      </c>
      <c r="J43" s="16" t="str">
        <f t="shared" si="3"/>
        <v>TUNTAS</v>
      </c>
      <c r="K43" s="13"/>
      <c r="M43" s="46">
        <f t="shared" si="4"/>
        <v>9.25</v>
      </c>
    </row>
    <row r="44" spans="1:13" x14ac:dyDescent="0.25">
      <c r="A44" s="8">
        <v>37</v>
      </c>
      <c r="B44" s="9" t="s">
        <v>1723</v>
      </c>
      <c r="C44" s="10" t="s">
        <v>1724</v>
      </c>
      <c r="D44" s="11" t="s">
        <v>88</v>
      </c>
      <c r="E44" s="12">
        <v>15</v>
      </c>
      <c r="F44" s="13">
        <v>2</v>
      </c>
      <c r="G44" s="14">
        <f t="shared" si="1"/>
        <v>149</v>
      </c>
      <c r="H44" s="15">
        <f t="shared" si="2"/>
        <v>74.5</v>
      </c>
      <c r="I44" s="13">
        <f t="shared" si="0"/>
        <v>30</v>
      </c>
      <c r="J44" s="16" t="str">
        <f t="shared" si="3"/>
        <v>TUNTAS</v>
      </c>
      <c r="K44" s="13"/>
      <c r="M44" s="46">
        <f t="shared" si="4"/>
        <v>7.45</v>
      </c>
    </row>
    <row r="45" spans="1:13" x14ac:dyDescent="0.25">
      <c r="A45" s="8">
        <v>38</v>
      </c>
      <c r="B45" s="9" t="s">
        <v>1725</v>
      </c>
      <c r="C45" s="10" t="s">
        <v>1726</v>
      </c>
      <c r="D45" s="11" t="s">
        <v>87</v>
      </c>
      <c r="E45" s="12">
        <v>14</v>
      </c>
      <c r="F45" s="13">
        <v>18</v>
      </c>
      <c r="G45" s="14">
        <f t="shared" si="1"/>
        <v>104</v>
      </c>
      <c r="H45" s="15">
        <f t="shared" si="2"/>
        <v>52</v>
      </c>
      <c r="I45" s="13">
        <f t="shared" si="0"/>
        <v>38</v>
      </c>
      <c r="J45" s="16" t="str">
        <f t="shared" si="3"/>
        <v>TIDAK TUNTAS</v>
      </c>
      <c r="K45" s="13"/>
      <c r="M45" s="46">
        <f t="shared" si="4"/>
        <v>5.2</v>
      </c>
    </row>
    <row r="46" spans="1:13" x14ac:dyDescent="0.25">
      <c r="A46" s="8">
        <v>39</v>
      </c>
      <c r="B46" s="9" t="s">
        <v>1727</v>
      </c>
      <c r="C46" s="10" t="s">
        <v>1728</v>
      </c>
      <c r="D46" s="11" t="s">
        <v>68</v>
      </c>
      <c r="E46" s="12">
        <v>10</v>
      </c>
      <c r="F46" s="13">
        <v>3</v>
      </c>
      <c r="G46" s="14">
        <f t="shared" si="1"/>
        <v>161</v>
      </c>
      <c r="H46" s="15">
        <f t="shared" si="2"/>
        <v>80.5</v>
      </c>
      <c r="I46" s="13">
        <f t="shared" si="0"/>
        <v>25</v>
      </c>
      <c r="J46" s="16" t="str">
        <f t="shared" si="3"/>
        <v>TUNTAS</v>
      </c>
      <c r="K46" s="13"/>
      <c r="M46" s="46">
        <f t="shared" si="4"/>
        <v>8.0500000000000007</v>
      </c>
    </row>
    <row r="47" spans="1:13" x14ac:dyDescent="0.25">
      <c r="A47" s="8">
        <v>40</v>
      </c>
      <c r="B47" s="9" t="s">
        <v>1729</v>
      </c>
      <c r="C47" s="10" t="s">
        <v>1730</v>
      </c>
      <c r="D47" s="11" t="s">
        <v>68</v>
      </c>
      <c r="E47" s="12">
        <v>1</v>
      </c>
      <c r="F47" s="13">
        <v>2</v>
      </c>
      <c r="G47" s="14">
        <f t="shared" si="1"/>
        <v>191</v>
      </c>
      <c r="H47" s="15">
        <f t="shared" si="2"/>
        <v>95.5</v>
      </c>
      <c r="I47" s="13">
        <f t="shared" si="0"/>
        <v>4</v>
      </c>
      <c r="J47" s="16" t="str">
        <f t="shared" si="3"/>
        <v>TUNTAS</v>
      </c>
      <c r="K47" s="13"/>
      <c r="M47" s="46">
        <f t="shared" si="4"/>
        <v>9.5500000000000007</v>
      </c>
    </row>
    <row r="48" spans="1:13" x14ac:dyDescent="0.25">
      <c r="A48" s="8">
        <v>41</v>
      </c>
      <c r="B48" s="9" t="s">
        <v>1731</v>
      </c>
      <c r="C48" s="10" t="s">
        <v>1732</v>
      </c>
      <c r="D48" s="11" t="s">
        <v>72</v>
      </c>
      <c r="E48" s="12">
        <v>3</v>
      </c>
      <c r="F48" s="13">
        <v>0</v>
      </c>
      <c r="G48" s="14">
        <f t="shared" si="1"/>
        <v>191</v>
      </c>
      <c r="H48" s="15">
        <f t="shared" si="2"/>
        <v>95.5</v>
      </c>
      <c r="I48" s="13">
        <f t="shared" si="0"/>
        <v>4</v>
      </c>
      <c r="J48" s="16" t="str">
        <f t="shared" si="3"/>
        <v>TUNTAS</v>
      </c>
      <c r="K48" s="13"/>
      <c r="M48" s="46">
        <f t="shared" si="4"/>
        <v>9.5500000000000007</v>
      </c>
    </row>
    <row r="49" spans="1:13" x14ac:dyDescent="0.25">
      <c r="A49" s="8">
        <v>42</v>
      </c>
      <c r="B49" s="9" t="s">
        <v>1733</v>
      </c>
      <c r="C49" s="10" t="s">
        <v>1734</v>
      </c>
      <c r="D49" s="11" t="s">
        <v>72</v>
      </c>
      <c r="E49" s="12">
        <v>7</v>
      </c>
      <c r="F49" s="13">
        <v>0</v>
      </c>
      <c r="G49" s="14">
        <f t="shared" si="1"/>
        <v>179</v>
      </c>
      <c r="H49" s="15">
        <f t="shared" si="2"/>
        <v>89.5</v>
      </c>
      <c r="I49" s="13">
        <f t="shared" si="0"/>
        <v>17</v>
      </c>
      <c r="J49" s="16" t="str">
        <f t="shared" si="3"/>
        <v>TUNTAS</v>
      </c>
      <c r="K49" s="13"/>
      <c r="M49" s="46">
        <f t="shared" si="4"/>
        <v>8.9499999999999993</v>
      </c>
    </row>
    <row r="50" spans="1:13" x14ac:dyDescent="0.25">
      <c r="A50" s="8">
        <v>43</v>
      </c>
      <c r="B50" s="9" t="s">
        <v>1735</v>
      </c>
      <c r="C50" s="21" t="s">
        <v>1736</v>
      </c>
      <c r="D50" s="19" t="s">
        <v>72</v>
      </c>
      <c r="E50" s="12">
        <v>4</v>
      </c>
      <c r="F50" s="13">
        <v>1</v>
      </c>
      <c r="G50" s="14">
        <f t="shared" si="1"/>
        <v>185</v>
      </c>
      <c r="H50" s="15">
        <f t="shared" si="2"/>
        <v>92.5</v>
      </c>
      <c r="I50" s="13">
        <f t="shared" si="0"/>
        <v>11</v>
      </c>
      <c r="J50" s="16" t="str">
        <f t="shared" si="3"/>
        <v>TUNTAS</v>
      </c>
      <c r="K50" s="13"/>
      <c r="M50" s="46">
        <f t="shared" si="4"/>
        <v>9.25</v>
      </c>
    </row>
    <row r="51" spans="1:13" x14ac:dyDescent="0.25">
      <c r="A51" s="8">
        <v>44</v>
      </c>
      <c r="B51" s="9" t="s">
        <v>1737</v>
      </c>
      <c r="C51" s="17" t="s">
        <v>1738</v>
      </c>
      <c r="D51" s="18" t="s">
        <v>89</v>
      </c>
      <c r="E51" s="12">
        <v>8</v>
      </c>
      <c r="F51" s="13">
        <v>1</v>
      </c>
      <c r="G51" s="14">
        <f t="shared" si="1"/>
        <v>173</v>
      </c>
      <c r="H51" s="15">
        <f t="shared" si="2"/>
        <v>86.5</v>
      </c>
      <c r="I51" s="13">
        <f t="shared" si="0"/>
        <v>21</v>
      </c>
      <c r="J51" s="16" t="str">
        <f t="shared" si="3"/>
        <v>TUNTAS</v>
      </c>
      <c r="K51" s="13"/>
      <c r="M51" s="46">
        <f t="shared" si="4"/>
        <v>8.65</v>
      </c>
    </row>
    <row r="52" spans="1:13" x14ac:dyDescent="0.25">
      <c r="A52" s="8">
        <v>45</v>
      </c>
      <c r="B52" s="9" t="s">
        <v>1739</v>
      </c>
      <c r="C52" s="17" t="s">
        <v>1740</v>
      </c>
      <c r="D52" s="18" t="s">
        <v>349</v>
      </c>
      <c r="E52" s="12">
        <v>8</v>
      </c>
      <c r="F52" s="13">
        <v>1</v>
      </c>
      <c r="G52" s="14">
        <f t="shared" si="1"/>
        <v>173</v>
      </c>
      <c r="H52" s="15">
        <f t="shared" si="2"/>
        <v>86.5</v>
      </c>
      <c r="I52" s="13">
        <f t="shared" si="0"/>
        <v>21</v>
      </c>
      <c r="J52" s="16" t="str">
        <f t="shared" si="3"/>
        <v>TUNTAS</v>
      </c>
      <c r="K52" s="13"/>
      <c r="M52" s="46">
        <f t="shared" si="4"/>
        <v>8.65</v>
      </c>
    </row>
  </sheetData>
  <mergeCells count="11">
    <mergeCell ref="K5:K7"/>
    <mergeCell ref="J5:J6"/>
    <mergeCell ref="A4:I4"/>
    <mergeCell ref="E5:F5"/>
    <mergeCell ref="A5:A7"/>
    <mergeCell ref="B5:B7"/>
    <mergeCell ref="C5:C7"/>
    <mergeCell ref="D5:D7"/>
    <mergeCell ref="G5:G7"/>
    <mergeCell ref="H5:H7"/>
    <mergeCell ref="I5:I7"/>
  </mergeCells>
  <conditionalFormatting sqref="D8:D10">
    <cfRule type="cellIs" dxfId="268" priority="3" operator="equal">
      <formula>0</formula>
    </cfRule>
  </conditionalFormatting>
  <conditionalFormatting sqref="H8:H52">
    <cfRule type="cellIs" dxfId="267" priority="4" operator="lessThan">
      <formula>60</formula>
    </cfRule>
    <cfRule type="cellIs" dxfId="266" priority="5" operator="lessThan">
      <formula>60</formula>
    </cfRule>
    <cfRule type="cellIs" dxfId="265" priority="8" operator="lessThan">
      <formula>50</formula>
    </cfRule>
  </conditionalFormatting>
  <conditionalFormatting sqref="J8:J52">
    <cfRule type="cellIs" dxfId="264" priority="1" operator="equal">
      <formula>"TIDAK BACA"</formula>
    </cfRule>
    <cfRule type="cellIs" dxfId="263" priority="2" operator="equal">
      <formula>"TIDAK HADIR"</formula>
    </cfRule>
    <cfRule type="cellIs" dxfId="262" priority="6" operator="equal">
      <formula>"TUNTAS"</formula>
    </cfRule>
    <cfRule type="cellIs" dxfId="261" priority="7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00000000-0002-0000-0100-000000000000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229B-BEA8-4829-B730-1E3ABD1C1BEC}">
  <sheetPr>
    <tabColor theme="3" tint="0.59999389629810485"/>
  </sheetPr>
  <dimension ref="A1:M62"/>
  <sheetViews>
    <sheetView workbookViewId="0">
      <pane xSplit="1" ySplit="7" topLeftCell="B8" activePane="bottomRight" state="frozen"/>
      <selection activeCell="Q16" sqref="Q16"/>
      <selection pane="topRight" activeCell="Q16" sqref="Q16"/>
      <selection pane="bottomLeft" activeCell="Q16" sqref="Q16"/>
      <selection pane="bottomRight" activeCell="M62" sqref="M8:M62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2" customFormat="1" ht="19.899999999999999" customHeight="1" x14ac:dyDescent="0.25">
      <c r="A4" s="51" t="s">
        <v>3306</v>
      </c>
      <c r="B4" s="51"/>
      <c r="C4" s="51"/>
      <c r="D4" s="51"/>
      <c r="E4" s="51"/>
      <c r="F4" s="51"/>
      <c r="G4" s="51"/>
      <c r="H4" s="51"/>
      <c r="I4" s="51"/>
      <c r="J4" s="32" t="s">
        <v>3298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1741</v>
      </c>
      <c r="C8" s="10" t="s">
        <v>1742</v>
      </c>
      <c r="D8" s="11" t="s">
        <v>14</v>
      </c>
      <c r="E8" s="12">
        <v>0</v>
      </c>
      <c r="F8" s="13">
        <v>0</v>
      </c>
      <c r="G8" s="14">
        <f>100-E8*3+100-F8*3</f>
        <v>200</v>
      </c>
      <c r="H8" s="15">
        <f>G8/2</f>
        <v>100</v>
      </c>
      <c r="I8" s="13">
        <f t="shared" ref="I8:I62" si="0">RANK(G8,$G$8:$G$62)</f>
        <v>1</v>
      </c>
      <c r="J8" s="16" t="str">
        <f>IF(H8&lt;4.1,"TIDAK HADIR",IF(H8&lt;7.1,"TIDAK BACA",IF(H8&lt;$J$7,"TIDAK TUNTAS","TUNTAS")))</f>
        <v>TUNTAS</v>
      </c>
      <c r="K8" s="13"/>
      <c r="M8" s="46">
        <f>H8/10</f>
        <v>10</v>
      </c>
    </row>
    <row r="9" spans="1:13" x14ac:dyDescent="0.25">
      <c r="A9" s="8">
        <v>2</v>
      </c>
      <c r="B9" s="9" t="s">
        <v>1743</v>
      </c>
      <c r="C9" s="17" t="s">
        <v>1744</v>
      </c>
      <c r="D9" s="18" t="s">
        <v>15</v>
      </c>
      <c r="E9" s="12">
        <v>10</v>
      </c>
      <c r="F9" s="13">
        <v>2</v>
      </c>
      <c r="G9" s="14">
        <f t="shared" ref="G9:G62" si="1">100-E9*3+100-F9*3</f>
        <v>164</v>
      </c>
      <c r="H9" s="15">
        <f t="shared" ref="H9:H62" si="2">G9/2</f>
        <v>82</v>
      </c>
      <c r="I9" s="13">
        <f t="shared" si="0"/>
        <v>38</v>
      </c>
      <c r="J9" s="16" t="str">
        <f t="shared" ref="J9:J62" si="3">IF(H9&lt;4.1,"TIDAK HADIR",IF(H9&lt;7.1,"TIDAK BACA",IF(H9&lt;$J$7,"TIDAK TUNTAS","TUNTAS")))</f>
        <v>TUNTAS</v>
      </c>
      <c r="K9" s="13"/>
      <c r="M9" s="46">
        <f t="shared" ref="M9:M62" si="4">H9/10</f>
        <v>8.1999999999999993</v>
      </c>
    </row>
    <row r="10" spans="1:13" x14ac:dyDescent="0.25">
      <c r="A10" s="8">
        <v>3</v>
      </c>
      <c r="B10" s="9" t="s">
        <v>1745</v>
      </c>
      <c r="C10" s="10" t="s">
        <v>1746</v>
      </c>
      <c r="D10" s="11" t="s">
        <v>17</v>
      </c>
      <c r="E10" s="12">
        <v>0</v>
      </c>
      <c r="F10" s="13">
        <v>0</v>
      </c>
      <c r="G10" s="14">
        <f t="shared" si="1"/>
        <v>200</v>
      </c>
      <c r="H10" s="15">
        <f t="shared" si="2"/>
        <v>100</v>
      </c>
      <c r="I10" s="13">
        <f t="shared" si="0"/>
        <v>1</v>
      </c>
      <c r="J10" s="16" t="str">
        <f t="shared" si="3"/>
        <v>TUNTAS</v>
      </c>
      <c r="K10" s="13"/>
      <c r="M10" s="46">
        <f t="shared" si="4"/>
        <v>10</v>
      </c>
    </row>
    <row r="11" spans="1:13" x14ac:dyDescent="0.25">
      <c r="A11" s="8">
        <v>4</v>
      </c>
      <c r="B11" s="9" t="s">
        <v>1747</v>
      </c>
      <c r="C11" s="10" t="s">
        <v>1748</v>
      </c>
      <c r="D11" s="11" t="s">
        <v>18</v>
      </c>
      <c r="E11" s="12">
        <v>7</v>
      </c>
      <c r="F11" s="13">
        <v>0</v>
      </c>
      <c r="G11" s="14">
        <f t="shared" si="1"/>
        <v>179</v>
      </c>
      <c r="H11" s="15">
        <f t="shared" si="2"/>
        <v>89.5</v>
      </c>
      <c r="I11" s="13">
        <f t="shared" si="0"/>
        <v>27</v>
      </c>
      <c r="J11" s="16" t="str">
        <f t="shared" si="3"/>
        <v>TUNTAS</v>
      </c>
      <c r="K11" s="13"/>
      <c r="M11" s="46">
        <f t="shared" si="4"/>
        <v>8.9499999999999993</v>
      </c>
    </row>
    <row r="12" spans="1:13" x14ac:dyDescent="0.25">
      <c r="A12" s="8">
        <v>5</v>
      </c>
      <c r="B12" s="9" t="s">
        <v>1749</v>
      </c>
      <c r="C12" s="17" t="s">
        <v>1750</v>
      </c>
      <c r="D12" s="18" t="s">
        <v>19</v>
      </c>
      <c r="E12" s="12">
        <v>3</v>
      </c>
      <c r="F12" s="13">
        <v>2</v>
      </c>
      <c r="G12" s="14">
        <f t="shared" si="1"/>
        <v>185</v>
      </c>
      <c r="H12" s="15">
        <f t="shared" si="2"/>
        <v>92.5</v>
      </c>
      <c r="I12" s="13">
        <f t="shared" si="0"/>
        <v>17</v>
      </c>
      <c r="J12" s="16" t="str">
        <f t="shared" si="3"/>
        <v>TUNTAS</v>
      </c>
      <c r="K12" s="13"/>
      <c r="M12" s="46">
        <f t="shared" si="4"/>
        <v>9.25</v>
      </c>
    </row>
    <row r="13" spans="1:13" x14ac:dyDescent="0.25">
      <c r="A13" s="8">
        <v>6</v>
      </c>
      <c r="B13" s="9" t="s">
        <v>1751</v>
      </c>
      <c r="C13" s="17" t="s">
        <v>1752</v>
      </c>
      <c r="D13" s="18" t="s">
        <v>20</v>
      </c>
      <c r="E13" s="12">
        <v>5</v>
      </c>
      <c r="F13" s="13">
        <v>0</v>
      </c>
      <c r="G13" s="14">
        <f t="shared" si="1"/>
        <v>185</v>
      </c>
      <c r="H13" s="15">
        <f t="shared" si="2"/>
        <v>92.5</v>
      </c>
      <c r="I13" s="13">
        <f t="shared" si="0"/>
        <v>17</v>
      </c>
      <c r="J13" s="16" t="str">
        <f t="shared" si="3"/>
        <v>TUNTAS</v>
      </c>
      <c r="K13" s="13"/>
      <c r="M13" s="46">
        <f t="shared" si="4"/>
        <v>9.25</v>
      </c>
    </row>
    <row r="14" spans="1:13" x14ac:dyDescent="0.25">
      <c r="A14" s="8">
        <v>7</v>
      </c>
      <c r="B14" s="9" t="s">
        <v>1753</v>
      </c>
      <c r="C14" s="17" t="s">
        <v>1754</v>
      </c>
      <c r="D14" s="18" t="s">
        <v>22</v>
      </c>
      <c r="E14" s="12">
        <v>6</v>
      </c>
      <c r="F14" s="13">
        <v>2</v>
      </c>
      <c r="G14" s="14">
        <f t="shared" si="1"/>
        <v>176</v>
      </c>
      <c r="H14" s="15">
        <f t="shared" si="2"/>
        <v>88</v>
      </c>
      <c r="I14" s="13">
        <f t="shared" si="0"/>
        <v>30</v>
      </c>
      <c r="J14" s="16" t="str">
        <f t="shared" si="3"/>
        <v>TUNTAS</v>
      </c>
      <c r="K14" s="13"/>
      <c r="M14" s="46">
        <f t="shared" si="4"/>
        <v>8.8000000000000007</v>
      </c>
    </row>
    <row r="15" spans="1:13" x14ac:dyDescent="0.25">
      <c r="A15" s="8">
        <v>8</v>
      </c>
      <c r="B15" s="9" t="s">
        <v>1755</v>
      </c>
      <c r="C15" s="10" t="s">
        <v>1756</v>
      </c>
      <c r="D15" s="11" t="s">
        <v>23</v>
      </c>
      <c r="E15" s="12">
        <v>7</v>
      </c>
      <c r="F15" s="13">
        <v>7</v>
      </c>
      <c r="G15" s="14">
        <f t="shared" si="1"/>
        <v>158</v>
      </c>
      <c r="H15" s="15">
        <f t="shared" si="2"/>
        <v>79</v>
      </c>
      <c r="I15" s="13">
        <f t="shared" si="0"/>
        <v>43</v>
      </c>
      <c r="J15" s="16" t="str">
        <f t="shared" si="3"/>
        <v>TUNTAS</v>
      </c>
      <c r="K15" s="13"/>
      <c r="M15" s="46">
        <f t="shared" si="4"/>
        <v>7.9</v>
      </c>
    </row>
    <row r="16" spans="1:13" x14ac:dyDescent="0.25">
      <c r="A16" s="8">
        <v>9</v>
      </c>
      <c r="B16" s="9" t="s">
        <v>1757</v>
      </c>
      <c r="C16" s="20" t="s">
        <v>1758</v>
      </c>
      <c r="D16" s="18" t="s">
        <v>24</v>
      </c>
      <c r="E16" s="12">
        <v>4</v>
      </c>
      <c r="F16" s="13">
        <v>2</v>
      </c>
      <c r="G16" s="14">
        <f t="shared" si="1"/>
        <v>182</v>
      </c>
      <c r="H16" s="15">
        <f t="shared" si="2"/>
        <v>91</v>
      </c>
      <c r="I16" s="13">
        <f t="shared" si="0"/>
        <v>21</v>
      </c>
      <c r="J16" s="16" t="str">
        <f t="shared" si="3"/>
        <v>TUNTAS</v>
      </c>
      <c r="K16" s="13"/>
      <c r="M16" s="46">
        <f t="shared" si="4"/>
        <v>9.1</v>
      </c>
    </row>
    <row r="17" spans="1:13" x14ac:dyDescent="0.25">
      <c r="A17" s="8">
        <v>10</v>
      </c>
      <c r="B17" s="9" t="s">
        <v>1759</v>
      </c>
      <c r="C17" s="10" t="s">
        <v>1760</v>
      </c>
      <c r="D17" s="11" t="s">
        <v>124</v>
      </c>
      <c r="E17" s="12">
        <v>10</v>
      </c>
      <c r="F17" s="13">
        <v>3</v>
      </c>
      <c r="G17" s="14">
        <f t="shared" si="1"/>
        <v>161</v>
      </c>
      <c r="H17" s="15">
        <f t="shared" si="2"/>
        <v>80.5</v>
      </c>
      <c r="I17" s="13">
        <f t="shared" si="0"/>
        <v>41</v>
      </c>
      <c r="J17" s="16" t="str">
        <f t="shared" si="3"/>
        <v>TUNTAS</v>
      </c>
      <c r="K17" s="13"/>
      <c r="M17" s="46">
        <f t="shared" si="4"/>
        <v>8.0500000000000007</v>
      </c>
    </row>
    <row r="18" spans="1:13" x14ac:dyDescent="0.25">
      <c r="A18" s="8">
        <v>11</v>
      </c>
      <c r="B18" s="9" t="s">
        <v>1761</v>
      </c>
      <c r="C18" s="10" t="s">
        <v>1762</v>
      </c>
      <c r="D18" s="11" t="s">
        <v>25</v>
      </c>
      <c r="E18" s="12">
        <v>4</v>
      </c>
      <c r="F18" s="13">
        <v>5</v>
      </c>
      <c r="G18" s="14">
        <f t="shared" si="1"/>
        <v>173</v>
      </c>
      <c r="H18" s="15">
        <f t="shared" si="2"/>
        <v>86.5</v>
      </c>
      <c r="I18" s="13">
        <f t="shared" si="0"/>
        <v>31</v>
      </c>
      <c r="J18" s="16" t="str">
        <f t="shared" si="3"/>
        <v>TUNTAS</v>
      </c>
      <c r="K18" s="13"/>
      <c r="M18" s="46">
        <f t="shared" si="4"/>
        <v>8.65</v>
      </c>
    </row>
    <row r="19" spans="1:13" x14ac:dyDescent="0.25">
      <c r="A19" s="8">
        <v>12</v>
      </c>
      <c r="B19" s="9" t="s">
        <v>1763</v>
      </c>
      <c r="C19" s="10" t="s">
        <v>1764</v>
      </c>
      <c r="D19" s="11" t="s">
        <v>26</v>
      </c>
      <c r="E19" s="12">
        <v>4</v>
      </c>
      <c r="F19" s="13">
        <v>0</v>
      </c>
      <c r="G19" s="14">
        <f t="shared" si="1"/>
        <v>188</v>
      </c>
      <c r="H19" s="15">
        <f t="shared" si="2"/>
        <v>94</v>
      </c>
      <c r="I19" s="13">
        <f t="shared" si="0"/>
        <v>13</v>
      </c>
      <c r="J19" s="16" t="str">
        <f t="shared" si="3"/>
        <v>TUNTAS</v>
      </c>
      <c r="K19" s="13"/>
      <c r="M19" s="46">
        <f t="shared" si="4"/>
        <v>9.4</v>
      </c>
    </row>
    <row r="20" spans="1:13" x14ac:dyDescent="0.25">
      <c r="A20" s="8">
        <v>13</v>
      </c>
      <c r="B20" s="9" t="s">
        <v>1765</v>
      </c>
      <c r="C20" s="10" t="s">
        <v>1766</v>
      </c>
      <c r="D20" s="18" t="s">
        <v>27</v>
      </c>
      <c r="E20" s="12">
        <v>32</v>
      </c>
      <c r="F20" s="13">
        <v>32</v>
      </c>
      <c r="G20" s="14">
        <f t="shared" si="1"/>
        <v>8</v>
      </c>
      <c r="H20" s="15">
        <f t="shared" si="2"/>
        <v>4</v>
      </c>
      <c r="I20" s="13">
        <f t="shared" si="0"/>
        <v>49</v>
      </c>
      <c r="J20" s="16" t="str">
        <f t="shared" si="3"/>
        <v>TIDAK HADIR</v>
      </c>
      <c r="K20" s="13" t="s">
        <v>3265</v>
      </c>
      <c r="M20" s="46">
        <f t="shared" si="4"/>
        <v>0.4</v>
      </c>
    </row>
    <row r="21" spans="1:13" x14ac:dyDescent="0.25">
      <c r="A21" s="8">
        <v>14</v>
      </c>
      <c r="B21" s="9" t="s">
        <v>1767</v>
      </c>
      <c r="C21" s="10" t="s">
        <v>1768</v>
      </c>
      <c r="D21" s="11" t="s">
        <v>75</v>
      </c>
      <c r="E21" s="12">
        <v>8</v>
      </c>
      <c r="F21" s="13">
        <v>1</v>
      </c>
      <c r="G21" s="14">
        <f t="shared" si="1"/>
        <v>173</v>
      </c>
      <c r="H21" s="15">
        <f t="shared" si="2"/>
        <v>86.5</v>
      </c>
      <c r="I21" s="13">
        <f t="shared" si="0"/>
        <v>31</v>
      </c>
      <c r="J21" s="16" t="str">
        <f t="shared" si="3"/>
        <v>TUNTAS</v>
      </c>
      <c r="K21" s="13"/>
      <c r="M21" s="46">
        <f t="shared" si="4"/>
        <v>8.65</v>
      </c>
    </row>
    <row r="22" spans="1:13" x14ac:dyDescent="0.25">
      <c r="A22" s="8">
        <v>15</v>
      </c>
      <c r="B22" s="9" t="s">
        <v>1769</v>
      </c>
      <c r="C22" s="21" t="s">
        <v>1770</v>
      </c>
      <c r="D22" s="19" t="s">
        <v>28</v>
      </c>
      <c r="E22" s="12">
        <v>18</v>
      </c>
      <c r="F22" s="13">
        <v>4</v>
      </c>
      <c r="G22" s="14">
        <f t="shared" si="1"/>
        <v>134</v>
      </c>
      <c r="H22" s="15">
        <f t="shared" si="2"/>
        <v>67</v>
      </c>
      <c r="I22" s="13">
        <f t="shared" si="0"/>
        <v>45</v>
      </c>
      <c r="J22" s="16" t="str">
        <f t="shared" si="3"/>
        <v>TUNTAS</v>
      </c>
      <c r="K22" s="13"/>
      <c r="M22" s="46">
        <f t="shared" si="4"/>
        <v>6.7</v>
      </c>
    </row>
    <row r="23" spans="1:13" x14ac:dyDescent="0.25">
      <c r="A23" s="8">
        <v>16</v>
      </c>
      <c r="B23" s="9" t="s">
        <v>1771</v>
      </c>
      <c r="C23" s="21" t="s">
        <v>1772</v>
      </c>
      <c r="D23" s="19" t="s">
        <v>29</v>
      </c>
      <c r="E23" s="12">
        <v>5</v>
      </c>
      <c r="F23" s="13">
        <v>1</v>
      </c>
      <c r="G23" s="14">
        <f t="shared" si="1"/>
        <v>182</v>
      </c>
      <c r="H23" s="15">
        <f t="shared" si="2"/>
        <v>91</v>
      </c>
      <c r="I23" s="13">
        <f t="shared" si="0"/>
        <v>21</v>
      </c>
      <c r="J23" s="16" t="str">
        <f t="shared" si="3"/>
        <v>TUNTAS</v>
      </c>
      <c r="K23" s="13"/>
      <c r="M23" s="46">
        <f t="shared" si="4"/>
        <v>9.1</v>
      </c>
    </row>
    <row r="24" spans="1:13" x14ac:dyDescent="0.25">
      <c r="A24" s="8">
        <v>17</v>
      </c>
      <c r="B24" s="9" t="s">
        <v>1773</v>
      </c>
      <c r="C24" s="10" t="s">
        <v>1774</v>
      </c>
      <c r="D24" s="11" t="s">
        <v>77</v>
      </c>
      <c r="E24" s="12">
        <v>2</v>
      </c>
      <c r="F24" s="13">
        <v>0</v>
      </c>
      <c r="G24" s="14">
        <f t="shared" si="1"/>
        <v>194</v>
      </c>
      <c r="H24" s="15">
        <f t="shared" si="2"/>
        <v>97</v>
      </c>
      <c r="I24" s="13">
        <f t="shared" si="0"/>
        <v>7</v>
      </c>
      <c r="J24" s="16" t="str">
        <f t="shared" si="3"/>
        <v>TUNTAS</v>
      </c>
      <c r="K24" s="13"/>
      <c r="M24" s="46">
        <f t="shared" si="4"/>
        <v>9.6999999999999993</v>
      </c>
    </row>
    <row r="25" spans="1:13" x14ac:dyDescent="0.25">
      <c r="A25" s="8">
        <v>18</v>
      </c>
      <c r="B25" s="9" t="s">
        <v>1775</v>
      </c>
      <c r="C25" s="20" t="s">
        <v>1776</v>
      </c>
      <c r="D25" s="18" t="s">
        <v>91</v>
      </c>
      <c r="E25" s="12">
        <v>11</v>
      </c>
      <c r="F25" s="13">
        <v>0</v>
      </c>
      <c r="G25" s="14">
        <f t="shared" si="1"/>
        <v>167</v>
      </c>
      <c r="H25" s="15">
        <f t="shared" si="2"/>
        <v>83.5</v>
      </c>
      <c r="I25" s="13">
        <f t="shared" si="0"/>
        <v>35</v>
      </c>
      <c r="J25" s="16" t="str">
        <f t="shared" si="3"/>
        <v>TUNTAS</v>
      </c>
      <c r="K25" s="13"/>
      <c r="M25" s="46">
        <f t="shared" si="4"/>
        <v>8.35</v>
      </c>
    </row>
    <row r="26" spans="1:13" x14ac:dyDescent="0.25">
      <c r="A26" s="8">
        <v>19</v>
      </c>
      <c r="B26" s="9" t="s">
        <v>1777</v>
      </c>
      <c r="C26" s="10" t="s">
        <v>1778</v>
      </c>
      <c r="D26" s="11" t="s">
        <v>125</v>
      </c>
      <c r="E26" s="12">
        <v>3</v>
      </c>
      <c r="F26" s="13">
        <v>2</v>
      </c>
      <c r="G26" s="14">
        <f t="shared" si="1"/>
        <v>185</v>
      </c>
      <c r="H26" s="15">
        <f t="shared" si="2"/>
        <v>92.5</v>
      </c>
      <c r="I26" s="13">
        <f t="shared" si="0"/>
        <v>17</v>
      </c>
      <c r="J26" s="16" t="str">
        <f t="shared" si="3"/>
        <v>TUNTAS</v>
      </c>
      <c r="K26" s="13"/>
      <c r="M26" s="46">
        <f t="shared" si="4"/>
        <v>9.25</v>
      </c>
    </row>
    <row r="27" spans="1:13" x14ac:dyDescent="0.25">
      <c r="A27" s="8">
        <v>20</v>
      </c>
      <c r="B27" s="9" t="s">
        <v>1779</v>
      </c>
      <c r="C27" s="10" t="s">
        <v>1780</v>
      </c>
      <c r="D27" s="11" t="s">
        <v>569</v>
      </c>
      <c r="E27" s="12">
        <v>32</v>
      </c>
      <c r="F27" s="13">
        <v>32</v>
      </c>
      <c r="G27" s="14">
        <f t="shared" si="1"/>
        <v>8</v>
      </c>
      <c r="H27" s="15">
        <f t="shared" si="2"/>
        <v>4</v>
      </c>
      <c r="I27" s="13">
        <f t="shared" si="0"/>
        <v>49</v>
      </c>
      <c r="J27" s="16" t="str">
        <f t="shared" si="3"/>
        <v>TIDAK HADIR</v>
      </c>
      <c r="K27" s="13" t="s">
        <v>3264</v>
      </c>
      <c r="M27" s="46">
        <f t="shared" si="4"/>
        <v>0.4</v>
      </c>
    </row>
    <row r="28" spans="1:13" x14ac:dyDescent="0.25">
      <c r="A28" s="8">
        <v>21</v>
      </c>
      <c r="B28" s="9" t="s">
        <v>1781</v>
      </c>
      <c r="C28" s="10" t="s">
        <v>1782</v>
      </c>
      <c r="D28" s="11" t="s">
        <v>34</v>
      </c>
      <c r="E28" s="12">
        <v>26</v>
      </c>
      <c r="F28" s="13">
        <v>13</v>
      </c>
      <c r="G28" s="14">
        <f t="shared" si="1"/>
        <v>83</v>
      </c>
      <c r="H28" s="15">
        <f t="shared" si="2"/>
        <v>41.5</v>
      </c>
      <c r="I28" s="13">
        <f t="shared" si="0"/>
        <v>48</v>
      </c>
      <c r="J28" s="16" t="str">
        <f t="shared" si="3"/>
        <v>TIDAK TUNTAS</v>
      </c>
      <c r="K28" s="13"/>
      <c r="M28" s="46">
        <f t="shared" si="4"/>
        <v>4.1500000000000004</v>
      </c>
    </row>
    <row r="29" spans="1:13" x14ac:dyDescent="0.25">
      <c r="A29" s="8">
        <v>22</v>
      </c>
      <c r="B29" s="9" t="s">
        <v>1783</v>
      </c>
      <c r="C29" s="10" t="s">
        <v>1784</v>
      </c>
      <c r="D29" s="11" t="s">
        <v>93</v>
      </c>
      <c r="E29" s="12">
        <v>8</v>
      </c>
      <c r="F29" s="13">
        <v>1</v>
      </c>
      <c r="G29" s="14">
        <f t="shared" si="1"/>
        <v>173</v>
      </c>
      <c r="H29" s="15">
        <f t="shared" si="2"/>
        <v>86.5</v>
      </c>
      <c r="I29" s="13">
        <f t="shared" si="0"/>
        <v>31</v>
      </c>
      <c r="J29" s="16" t="str">
        <f t="shared" si="3"/>
        <v>TUNTAS</v>
      </c>
      <c r="K29" s="13"/>
      <c r="M29" s="46">
        <f t="shared" si="4"/>
        <v>8.65</v>
      </c>
    </row>
    <row r="30" spans="1:13" x14ac:dyDescent="0.25">
      <c r="A30" s="8">
        <v>23</v>
      </c>
      <c r="B30" s="9" t="s">
        <v>1785</v>
      </c>
      <c r="C30" s="10" t="s">
        <v>1786</v>
      </c>
      <c r="D30" s="11" t="s">
        <v>36</v>
      </c>
      <c r="E30" s="12">
        <v>6</v>
      </c>
      <c r="F30" s="13">
        <v>0</v>
      </c>
      <c r="G30" s="14">
        <f t="shared" si="1"/>
        <v>182</v>
      </c>
      <c r="H30" s="15">
        <f t="shared" si="2"/>
        <v>91</v>
      </c>
      <c r="I30" s="13">
        <f t="shared" si="0"/>
        <v>21</v>
      </c>
      <c r="J30" s="16" t="str">
        <f t="shared" si="3"/>
        <v>TUNTAS</v>
      </c>
      <c r="K30" s="13"/>
      <c r="M30" s="46">
        <f t="shared" si="4"/>
        <v>9.1</v>
      </c>
    </row>
    <row r="31" spans="1:13" x14ac:dyDescent="0.25">
      <c r="A31" s="8">
        <v>24</v>
      </c>
      <c r="B31" s="9" t="s">
        <v>1787</v>
      </c>
      <c r="C31" s="10" t="s">
        <v>1788</v>
      </c>
      <c r="D31" s="11" t="s">
        <v>36</v>
      </c>
      <c r="E31" s="12">
        <v>3</v>
      </c>
      <c r="F31" s="13">
        <v>0</v>
      </c>
      <c r="G31" s="14">
        <f t="shared" si="1"/>
        <v>191</v>
      </c>
      <c r="H31" s="15">
        <f t="shared" si="2"/>
        <v>95.5</v>
      </c>
      <c r="I31" s="13">
        <f t="shared" si="0"/>
        <v>11</v>
      </c>
      <c r="J31" s="16" t="str">
        <f t="shared" si="3"/>
        <v>TUNTAS</v>
      </c>
      <c r="K31" s="13"/>
      <c r="M31" s="46">
        <f t="shared" si="4"/>
        <v>9.5500000000000007</v>
      </c>
    </row>
    <row r="32" spans="1:13" x14ac:dyDescent="0.25">
      <c r="A32" s="8">
        <v>25</v>
      </c>
      <c r="B32" s="9" t="s">
        <v>1789</v>
      </c>
      <c r="C32" s="10" t="s">
        <v>1790</v>
      </c>
      <c r="D32" s="11" t="s">
        <v>38</v>
      </c>
      <c r="E32" s="12">
        <v>10</v>
      </c>
      <c r="F32" s="13">
        <v>3</v>
      </c>
      <c r="G32" s="14">
        <f t="shared" si="1"/>
        <v>161</v>
      </c>
      <c r="H32" s="15">
        <f t="shared" si="2"/>
        <v>80.5</v>
      </c>
      <c r="I32" s="13">
        <f t="shared" si="0"/>
        <v>41</v>
      </c>
      <c r="J32" s="16" t="str">
        <f t="shared" si="3"/>
        <v>TUNTAS</v>
      </c>
      <c r="K32" s="13"/>
      <c r="M32" s="46">
        <f t="shared" si="4"/>
        <v>8.0500000000000007</v>
      </c>
    </row>
    <row r="33" spans="1:13" x14ac:dyDescent="0.25">
      <c r="A33" s="8">
        <v>26</v>
      </c>
      <c r="B33" s="9" t="s">
        <v>1791</v>
      </c>
      <c r="C33" s="21" t="s">
        <v>1792</v>
      </c>
      <c r="D33" s="19" t="s">
        <v>40</v>
      </c>
      <c r="E33" s="12">
        <v>0</v>
      </c>
      <c r="F33" s="13">
        <v>1</v>
      </c>
      <c r="G33" s="14">
        <f t="shared" si="1"/>
        <v>197</v>
      </c>
      <c r="H33" s="15">
        <f t="shared" si="2"/>
        <v>98.5</v>
      </c>
      <c r="I33" s="13">
        <f t="shared" si="0"/>
        <v>4</v>
      </c>
      <c r="J33" s="16" t="str">
        <f t="shared" si="3"/>
        <v>TUNTAS</v>
      </c>
      <c r="K33" s="13"/>
      <c r="M33" s="46">
        <f t="shared" si="4"/>
        <v>9.85</v>
      </c>
    </row>
    <row r="34" spans="1:13" x14ac:dyDescent="0.25">
      <c r="A34" s="8">
        <v>27</v>
      </c>
      <c r="B34" s="9" t="s">
        <v>1793</v>
      </c>
      <c r="C34" s="10" t="s">
        <v>1794</v>
      </c>
      <c r="D34" s="11" t="s">
        <v>127</v>
      </c>
      <c r="E34" s="12">
        <v>1</v>
      </c>
      <c r="F34" s="13">
        <v>1</v>
      </c>
      <c r="G34" s="14">
        <f t="shared" si="1"/>
        <v>194</v>
      </c>
      <c r="H34" s="15">
        <f t="shared" si="2"/>
        <v>97</v>
      </c>
      <c r="I34" s="13">
        <f t="shared" si="0"/>
        <v>7</v>
      </c>
      <c r="J34" s="16" t="str">
        <f t="shared" si="3"/>
        <v>TUNTAS</v>
      </c>
      <c r="K34" s="13"/>
      <c r="M34" s="46">
        <f t="shared" si="4"/>
        <v>9.6999999999999993</v>
      </c>
    </row>
    <row r="35" spans="1:13" x14ac:dyDescent="0.25">
      <c r="A35" s="8">
        <v>28</v>
      </c>
      <c r="B35" s="9" t="s">
        <v>1795</v>
      </c>
      <c r="C35" s="10" t="s">
        <v>1796</v>
      </c>
      <c r="D35" s="11" t="s">
        <v>106</v>
      </c>
      <c r="E35" s="12">
        <v>7</v>
      </c>
      <c r="F35" s="13">
        <v>2</v>
      </c>
      <c r="G35" s="14">
        <f t="shared" si="1"/>
        <v>173</v>
      </c>
      <c r="H35" s="15">
        <f t="shared" si="2"/>
        <v>86.5</v>
      </c>
      <c r="I35" s="13">
        <f t="shared" si="0"/>
        <v>31</v>
      </c>
      <c r="J35" s="16" t="str">
        <f t="shared" si="3"/>
        <v>TUNTAS</v>
      </c>
      <c r="K35" s="13"/>
      <c r="M35" s="46">
        <f t="shared" si="4"/>
        <v>8.65</v>
      </c>
    </row>
    <row r="36" spans="1:13" x14ac:dyDescent="0.25">
      <c r="A36" s="8">
        <v>29</v>
      </c>
      <c r="B36" s="9" t="s">
        <v>1797</v>
      </c>
      <c r="C36" s="10" t="s">
        <v>1798</v>
      </c>
      <c r="D36" s="11" t="s">
        <v>43</v>
      </c>
      <c r="E36" s="12">
        <v>2</v>
      </c>
      <c r="F36" s="13">
        <v>2</v>
      </c>
      <c r="G36" s="14">
        <f t="shared" si="1"/>
        <v>188</v>
      </c>
      <c r="H36" s="15">
        <f t="shared" si="2"/>
        <v>94</v>
      </c>
      <c r="I36" s="13">
        <f t="shared" si="0"/>
        <v>13</v>
      </c>
      <c r="J36" s="16" t="str">
        <f t="shared" si="3"/>
        <v>TUNTAS</v>
      </c>
      <c r="K36" s="13"/>
      <c r="M36" s="46">
        <f t="shared" si="4"/>
        <v>9.4</v>
      </c>
    </row>
    <row r="37" spans="1:13" x14ac:dyDescent="0.25">
      <c r="A37" s="8">
        <v>30</v>
      </c>
      <c r="B37" s="9" t="s">
        <v>1799</v>
      </c>
      <c r="C37" s="17" t="s">
        <v>1800</v>
      </c>
      <c r="D37" s="18" t="s">
        <v>45</v>
      </c>
      <c r="E37" s="12">
        <v>4</v>
      </c>
      <c r="F37" s="13">
        <v>3</v>
      </c>
      <c r="G37" s="14">
        <f t="shared" si="1"/>
        <v>179</v>
      </c>
      <c r="H37" s="15">
        <f t="shared" si="2"/>
        <v>89.5</v>
      </c>
      <c r="I37" s="13">
        <f t="shared" si="0"/>
        <v>27</v>
      </c>
      <c r="J37" s="16" t="str">
        <f t="shared" si="3"/>
        <v>TUNTAS</v>
      </c>
      <c r="K37" s="13"/>
      <c r="M37" s="46">
        <f t="shared" si="4"/>
        <v>8.9499999999999993</v>
      </c>
    </row>
    <row r="38" spans="1:13" x14ac:dyDescent="0.25">
      <c r="A38" s="8">
        <v>31</v>
      </c>
      <c r="B38" s="9" t="s">
        <v>1801</v>
      </c>
      <c r="C38" s="10" t="s">
        <v>1802</v>
      </c>
      <c r="D38" s="11" t="s">
        <v>116</v>
      </c>
      <c r="E38" s="12">
        <v>5</v>
      </c>
      <c r="F38" s="13">
        <v>1</v>
      </c>
      <c r="G38" s="14">
        <f t="shared" si="1"/>
        <v>182</v>
      </c>
      <c r="H38" s="15">
        <f t="shared" si="2"/>
        <v>91</v>
      </c>
      <c r="I38" s="13">
        <f t="shared" si="0"/>
        <v>21</v>
      </c>
      <c r="J38" s="16" t="str">
        <f t="shared" si="3"/>
        <v>TUNTAS</v>
      </c>
      <c r="K38" s="13"/>
      <c r="M38" s="46">
        <f t="shared" si="4"/>
        <v>9.1</v>
      </c>
    </row>
    <row r="39" spans="1:13" x14ac:dyDescent="0.25">
      <c r="A39" s="8">
        <v>32</v>
      </c>
      <c r="B39" s="9" t="s">
        <v>1803</v>
      </c>
      <c r="C39" s="10" t="s">
        <v>1804</v>
      </c>
      <c r="D39" s="11" t="s">
        <v>47</v>
      </c>
      <c r="E39" s="12">
        <v>32</v>
      </c>
      <c r="F39" s="13">
        <v>32</v>
      </c>
      <c r="G39" s="14">
        <f t="shared" si="1"/>
        <v>8</v>
      </c>
      <c r="H39" s="15">
        <f t="shared" si="2"/>
        <v>4</v>
      </c>
      <c r="I39" s="13">
        <f t="shared" si="0"/>
        <v>49</v>
      </c>
      <c r="J39" s="16" t="str">
        <f t="shared" si="3"/>
        <v>TIDAK HADIR</v>
      </c>
      <c r="K39" s="13" t="s">
        <v>3265</v>
      </c>
      <c r="M39" s="46">
        <f t="shared" si="4"/>
        <v>0.4</v>
      </c>
    </row>
    <row r="40" spans="1:13" x14ac:dyDescent="0.25">
      <c r="A40" s="8">
        <v>33</v>
      </c>
      <c r="B40" s="9" t="s">
        <v>1805</v>
      </c>
      <c r="C40" s="10" t="s">
        <v>1806</v>
      </c>
      <c r="D40" s="11" t="s">
        <v>85</v>
      </c>
      <c r="E40" s="12">
        <v>0</v>
      </c>
      <c r="F40" s="13">
        <v>0</v>
      </c>
      <c r="G40" s="14">
        <f t="shared" si="1"/>
        <v>200</v>
      </c>
      <c r="H40" s="15">
        <f t="shared" si="2"/>
        <v>100</v>
      </c>
      <c r="I40" s="13">
        <f t="shared" si="0"/>
        <v>1</v>
      </c>
      <c r="J40" s="16" t="str">
        <f t="shared" si="3"/>
        <v>TUNTAS</v>
      </c>
      <c r="K40" s="13"/>
      <c r="M40" s="46">
        <f t="shared" si="4"/>
        <v>10</v>
      </c>
    </row>
    <row r="41" spans="1:13" x14ac:dyDescent="0.25">
      <c r="A41" s="8">
        <v>34</v>
      </c>
      <c r="B41" s="9" t="s">
        <v>1807</v>
      </c>
      <c r="C41" s="10" t="s">
        <v>1808</v>
      </c>
      <c r="D41" s="11" t="s">
        <v>51</v>
      </c>
      <c r="E41" s="12">
        <v>4</v>
      </c>
      <c r="F41" s="13">
        <v>0</v>
      </c>
      <c r="G41" s="14">
        <f t="shared" si="1"/>
        <v>188</v>
      </c>
      <c r="H41" s="15">
        <f t="shared" si="2"/>
        <v>94</v>
      </c>
      <c r="I41" s="13">
        <f t="shared" si="0"/>
        <v>13</v>
      </c>
      <c r="J41" s="16" t="str">
        <f t="shared" si="3"/>
        <v>TUNTAS</v>
      </c>
      <c r="K41" s="13"/>
      <c r="M41" s="46">
        <f t="shared" si="4"/>
        <v>9.4</v>
      </c>
    </row>
    <row r="42" spans="1:13" x14ac:dyDescent="0.25">
      <c r="A42" s="8">
        <v>35</v>
      </c>
      <c r="B42" s="9" t="s">
        <v>1809</v>
      </c>
      <c r="C42" s="10" t="s">
        <v>148</v>
      </c>
      <c r="D42" s="11" t="s">
        <v>52</v>
      </c>
      <c r="E42" s="12">
        <v>9</v>
      </c>
      <c r="F42" s="13">
        <v>2</v>
      </c>
      <c r="G42" s="14">
        <f t="shared" si="1"/>
        <v>167</v>
      </c>
      <c r="H42" s="15">
        <f t="shared" si="2"/>
        <v>83.5</v>
      </c>
      <c r="I42" s="13">
        <f t="shared" si="0"/>
        <v>35</v>
      </c>
      <c r="J42" s="16" t="str">
        <f t="shared" si="3"/>
        <v>TUNTAS</v>
      </c>
      <c r="K42" s="13"/>
      <c r="M42" s="46">
        <f t="shared" si="4"/>
        <v>8.35</v>
      </c>
    </row>
    <row r="43" spans="1:13" x14ac:dyDescent="0.25">
      <c r="A43" s="8">
        <v>36</v>
      </c>
      <c r="B43" s="9" t="s">
        <v>1810</v>
      </c>
      <c r="C43" s="10" t="s">
        <v>1811</v>
      </c>
      <c r="D43" s="11" t="s">
        <v>118</v>
      </c>
      <c r="E43" s="12">
        <v>7</v>
      </c>
      <c r="F43" s="13">
        <v>0</v>
      </c>
      <c r="G43" s="14">
        <f t="shared" si="1"/>
        <v>179</v>
      </c>
      <c r="H43" s="15">
        <f t="shared" si="2"/>
        <v>89.5</v>
      </c>
      <c r="I43" s="13">
        <f t="shared" si="0"/>
        <v>27</v>
      </c>
      <c r="J43" s="16" t="str">
        <f t="shared" si="3"/>
        <v>TUNTAS</v>
      </c>
      <c r="K43" s="13"/>
      <c r="M43" s="46">
        <f t="shared" si="4"/>
        <v>8.9499999999999993</v>
      </c>
    </row>
    <row r="44" spans="1:13" x14ac:dyDescent="0.25">
      <c r="A44" s="8">
        <v>37</v>
      </c>
      <c r="B44" s="9" t="s">
        <v>1812</v>
      </c>
      <c r="C44" s="10" t="s">
        <v>1813</v>
      </c>
      <c r="D44" s="11" t="s">
        <v>55</v>
      </c>
      <c r="E44" s="12">
        <v>3</v>
      </c>
      <c r="F44" s="13">
        <v>0</v>
      </c>
      <c r="G44" s="14">
        <f t="shared" si="1"/>
        <v>191</v>
      </c>
      <c r="H44" s="15">
        <f t="shared" si="2"/>
        <v>95.5</v>
      </c>
      <c r="I44" s="13">
        <f t="shared" si="0"/>
        <v>11</v>
      </c>
      <c r="J44" s="16" t="str">
        <f t="shared" si="3"/>
        <v>TUNTAS</v>
      </c>
      <c r="K44" s="13"/>
      <c r="M44" s="46">
        <f t="shared" si="4"/>
        <v>9.5500000000000007</v>
      </c>
    </row>
    <row r="45" spans="1:13" x14ac:dyDescent="0.25">
      <c r="A45" s="8">
        <v>38</v>
      </c>
      <c r="B45" s="9" t="s">
        <v>1814</v>
      </c>
      <c r="C45" s="10" t="s">
        <v>1815</v>
      </c>
      <c r="D45" s="11" t="s">
        <v>110</v>
      </c>
      <c r="E45" s="12">
        <v>2</v>
      </c>
      <c r="F45" s="13">
        <v>0</v>
      </c>
      <c r="G45" s="14">
        <f t="shared" si="1"/>
        <v>194</v>
      </c>
      <c r="H45" s="15">
        <f t="shared" si="2"/>
        <v>97</v>
      </c>
      <c r="I45" s="13">
        <f t="shared" si="0"/>
        <v>7</v>
      </c>
      <c r="J45" s="16" t="str">
        <f t="shared" si="3"/>
        <v>TUNTAS</v>
      </c>
      <c r="K45" s="13"/>
      <c r="M45" s="46">
        <f t="shared" si="4"/>
        <v>9.6999999999999993</v>
      </c>
    </row>
    <row r="46" spans="1:13" x14ac:dyDescent="0.25">
      <c r="A46" s="8">
        <v>39</v>
      </c>
      <c r="B46" s="9" t="s">
        <v>1816</v>
      </c>
      <c r="C46" s="10" t="s">
        <v>1817</v>
      </c>
      <c r="D46" s="11" t="s">
        <v>57</v>
      </c>
      <c r="E46" s="12">
        <v>15</v>
      </c>
      <c r="F46" s="13">
        <v>1</v>
      </c>
      <c r="G46" s="14">
        <f t="shared" si="1"/>
        <v>152</v>
      </c>
      <c r="H46" s="15">
        <f t="shared" si="2"/>
        <v>76</v>
      </c>
      <c r="I46" s="13">
        <f t="shared" si="0"/>
        <v>44</v>
      </c>
      <c r="J46" s="16" t="str">
        <f t="shared" si="3"/>
        <v>TUNTAS</v>
      </c>
      <c r="K46" s="13"/>
      <c r="M46" s="46">
        <f t="shared" si="4"/>
        <v>7.6</v>
      </c>
    </row>
    <row r="47" spans="1:13" x14ac:dyDescent="0.25">
      <c r="A47" s="8">
        <v>40</v>
      </c>
      <c r="B47" s="9" t="s">
        <v>1818</v>
      </c>
      <c r="C47" s="10" t="s">
        <v>1819</v>
      </c>
      <c r="D47" s="11" t="s">
        <v>58</v>
      </c>
      <c r="E47" s="12">
        <v>1</v>
      </c>
      <c r="F47" s="13">
        <v>0</v>
      </c>
      <c r="G47" s="14">
        <f t="shared" si="1"/>
        <v>197</v>
      </c>
      <c r="H47" s="15">
        <f t="shared" si="2"/>
        <v>98.5</v>
      </c>
      <c r="I47" s="13">
        <f t="shared" si="0"/>
        <v>4</v>
      </c>
      <c r="J47" s="16" t="str">
        <f t="shared" si="3"/>
        <v>TUNTAS</v>
      </c>
      <c r="K47" s="13"/>
      <c r="M47" s="46">
        <f t="shared" si="4"/>
        <v>9.85</v>
      </c>
    </row>
    <row r="48" spans="1:13" x14ac:dyDescent="0.25">
      <c r="A48" s="8">
        <v>41</v>
      </c>
      <c r="B48" s="9" t="s">
        <v>1820</v>
      </c>
      <c r="C48" s="10" t="s">
        <v>1821</v>
      </c>
      <c r="D48" s="11" t="s">
        <v>60</v>
      </c>
      <c r="E48" s="12">
        <v>22</v>
      </c>
      <c r="F48" s="13">
        <v>4</v>
      </c>
      <c r="G48" s="14">
        <f t="shared" si="1"/>
        <v>122</v>
      </c>
      <c r="H48" s="15">
        <f t="shared" si="2"/>
        <v>61</v>
      </c>
      <c r="I48" s="13">
        <f t="shared" si="0"/>
        <v>46</v>
      </c>
      <c r="J48" s="16" t="str">
        <f t="shared" si="3"/>
        <v>TUNTAS</v>
      </c>
      <c r="K48" s="13"/>
      <c r="M48" s="46">
        <f t="shared" si="4"/>
        <v>6.1</v>
      </c>
    </row>
    <row r="49" spans="1:13" x14ac:dyDescent="0.25">
      <c r="A49" s="8">
        <v>42</v>
      </c>
      <c r="B49" s="9" t="s">
        <v>1822</v>
      </c>
      <c r="C49" s="10" t="s">
        <v>1823</v>
      </c>
      <c r="D49" s="11" t="s">
        <v>60</v>
      </c>
      <c r="E49" s="12">
        <v>4</v>
      </c>
      <c r="F49" s="13">
        <v>0</v>
      </c>
      <c r="G49" s="14">
        <f t="shared" si="1"/>
        <v>188</v>
      </c>
      <c r="H49" s="15">
        <f t="shared" si="2"/>
        <v>94</v>
      </c>
      <c r="I49" s="13">
        <f t="shared" si="0"/>
        <v>13</v>
      </c>
      <c r="J49" s="16" t="str">
        <f t="shared" si="3"/>
        <v>TUNTAS</v>
      </c>
      <c r="K49" s="13"/>
      <c r="M49" s="46">
        <f t="shared" si="4"/>
        <v>9.4</v>
      </c>
    </row>
    <row r="50" spans="1:13" x14ac:dyDescent="0.25">
      <c r="A50" s="8">
        <v>43</v>
      </c>
      <c r="B50" s="9" t="s">
        <v>1824</v>
      </c>
      <c r="C50" s="21" t="s">
        <v>1825</v>
      </c>
      <c r="D50" s="19" t="s">
        <v>119</v>
      </c>
      <c r="E50" s="12">
        <v>2</v>
      </c>
      <c r="F50" s="13">
        <v>0</v>
      </c>
      <c r="G50" s="14">
        <f t="shared" si="1"/>
        <v>194</v>
      </c>
      <c r="H50" s="15">
        <f t="shared" si="2"/>
        <v>97</v>
      </c>
      <c r="I50" s="13">
        <f t="shared" si="0"/>
        <v>7</v>
      </c>
      <c r="J50" s="16" t="str">
        <f t="shared" si="3"/>
        <v>TUNTAS</v>
      </c>
      <c r="K50" s="13"/>
      <c r="M50" s="46">
        <f t="shared" si="4"/>
        <v>9.6999999999999993</v>
      </c>
    </row>
    <row r="51" spans="1:13" x14ac:dyDescent="0.25">
      <c r="A51" s="8">
        <v>44</v>
      </c>
      <c r="B51" s="9" t="s">
        <v>1826</v>
      </c>
      <c r="C51" s="17" t="s">
        <v>1827</v>
      </c>
      <c r="D51" s="18" t="s">
        <v>62</v>
      </c>
      <c r="E51" s="12">
        <v>1</v>
      </c>
      <c r="F51" s="13">
        <v>0</v>
      </c>
      <c r="G51" s="14">
        <f t="shared" si="1"/>
        <v>197</v>
      </c>
      <c r="H51" s="15">
        <f t="shared" si="2"/>
        <v>98.5</v>
      </c>
      <c r="I51" s="13">
        <f t="shared" si="0"/>
        <v>4</v>
      </c>
      <c r="J51" s="16" t="str">
        <f t="shared" si="3"/>
        <v>TUNTAS</v>
      </c>
      <c r="K51" s="13"/>
      <c r="M51" s="46">
        <f t="shared" si="4"/>
        <v>9.85</v>
      </c>
    </row>
    <row r="52" spans="1:13" x14ac:dyDescent="0.25">
      <c r="A52" s="8">
        <v>45</v>
      </c>
      <c r="B52" s="9" t="s">
        <v>1828</v>
      </c>
      <c r="C52" s="17" t="s">
        <v>1829</v>
      </c>
      <c r="D52" s="18" t="s">
        <v>63</v>
      </c>
      <c r="E52" s="12">
        <v>5</v>
      </c>
      <c r="F52" s="13">
        <v>0</v>
      </c>
      <c r="G52" s="14">
        <f t="shared" si="1"/>
        <v>185</v>
      </c>
      <c r="H52" s="15">
        <f t="shared" si="2"/>
        <v>92.5</v>
      </c>
      <c r="I52" s="13">
        <f t="shared" si="0"/>
        <v>17</v>
      </c>
      <c r="J52" s="16" t="str">
        <f t="shared" si="3"/>
        <v>TUNTAS</v>
      </c>
      <c r="K52" s="13"/>
      <c r="M52" s="46">
        <f t="shared" si="4"/>
        <v>9.25</v>
      </c>
    </row>
    <row r="53" spans="1:13" x14ac:dyDescent="0.25">
      <c r="A53" s="8">
        <v>46</v>
      </c>
      <c r="B53" s="9" t="s">
        <v>1830</v>
      </c>
      <c r="C53" s="17" t="s">
        <v>1831</v>
      </c>
      <c r="D53" s="18" t="s">
        <v>65</v>
      </c>
      <c r="E53" s="12">
        <v>6</v>
      </c>
      <c r="F53" s="13">
        <v>0</v>
      </c>
      <c r="G53" s="14">
        <f t="shared" si="1"/>
        <v>182</v>
      </c>
      <c r="H53" s="15">
        <f t="shared" si="2"/>
        <v>91</v>
      </c>
      <c r="I53" s="13">
        <f t="shared" si="0"/>
        <v>21</v>
      </c>
      <c r="J53" s="16" t="str">
        <f t="shared" si="3"/>
        <v>TUNTAS</v>
      </c>
      <c r="K53" s="13"/>
      <c r="M53" s="46">
        <f t="shared" si="4"/>
        <v>9.1</v>
      </c>
    </row>
    <row r="54" spans="1:13" x14ac:dyDescent="0.25">
      <c r="A54" s="8">
        <v>47</v>
      </c>
      <c r="B54" s="9" t="s">
        <v>1832</v>
      </c>
      <c r="C54" s="10" t="s">
        <v>1833</v>
      </c>
      <c r="D54" s="11" t="s">
        <v>66</v>
      </c>
      <c r="E54" s="12">
        <v>32</v>
      </c>
      <c r="F54" s="13">
        <v>32</v>
      </c>
      <c r="G54" s="14">
        <f t="shared" si="1"/>
        <v>8</v>
      </c>
      <c r="H54" s="15">
        <f t="shared" si="2"/>
        <v>4</v>
      </c>
      <c r="I54" s="13">
        <f t="shared" si="0"/>
        <v>49</v>
      </c>
      <c r="J54" s="16" t="str">
        <f t="shared" si="3"/>
        <v>TIDAK HADIR</v>
      </c>
      <c r="K54" s="13" t="s">
        <v>3264</v>
      </c>
      <c r="M54" s="46">
        <f t="shared" si="4"/>
        <v>0.4</v>
      </c>
    </row>
    <row r="55" spans="1:13" x14ac:dyDescent="0.25">
      <c r="A55" s="8">
        <v>48</v>
      </c>
      <c r="B55" s="9" t="s">
        <v>1834</v>
      </c>
      <c r="C55" s="10" t="s">
        <v>1835</v>
      </c>
      <c r="D55" s="11" t="s">
        <v>67</v>
      </c>
      <c r="E55" s="12">
        <v>7</v>
      </c>
      <c r="F55" s="13">
        <v>5</v>
      </c>
      <c r="G55" s="14">
        <f t="shared" si="1"/>
        <v>164</v>
      </c>
      <c r="H55" s="15">
        <f t="shared" si="2"/>
        <v>82</v>
      </c>
      <c r="I55" s="13">
        <f t="shared" si="0"/>
        <v>38</v>
      </c>
      <c r="J55" s="16" t="str">
        <f t="shared" si="3"/>
        <v>TUNTAS</v>
      </c>
      <c r="K55" s="13"/>
      <c r="M55" s="46">
        <f t="shared" si="4"/>
        <v>8.1999999999999993</v>
      </c>
    </row>
    <row r="56" spans="1:13" x14ac:dyDescent="0.25">
      <c r="A56" s="8">
        <v>49</v>
      </c>
      <c r="B56" s="9" t="s">
        <v>1836</v>
      </c>
      <c r="C56" s="10" t="s">
        <v>1837</v>
      </c>
      <c r="D56" s="11" t="s">
        <v>68</v>
      </c>
      <c r="E56" s="12">
        <v>32</v>
      </c>
      <c r="F56" s="13">
        <v>32</v>
      </c>
      <c r="G56" s="14">
        <f t="shared" si="1"/>
        <v>8</v>
      </c>
      <c r="H56" s="15">
        <f t="shared" si="2"/>
        <v>4</v>
      </c>
      <c r="I56" s="13">
        <f t="shared" si="0"/>
        <v>49</v>
      </c>
      <c r="J56" s="16" t="str">
        <f t="shared" si="3"/>
        <v>TIDAK HADIR</v>
      </c>
      <c r="K56" s="13" t="s">
        <v>3265</v>
      </c>
      <c r="M56" s="46">
        <f t="shared" si="4"/>
        <v>0.4</v>
      </c>
    </row>
    <row r="57" spans="1:13" x14ac:dyDescent="0.25">
      <c r="A57" s="8">
        <v>50</v>
      </c>
      <c r="B57" s="9" t="s">
        <v>1838</v>
      </c>
      <c r="C57" s="10" t="s">
        <v>1839</v>
      </c>
      <c r="D57" s="11" t="s">
        <v>69</v>
      </c>
      <c r="E57" s="12">
        <v>23</v>
      </c>
      <c r="F57" s="13">
        <v>13</v>
      </c>
      <c r="G57" s="14">
        <f t="shared" si="1"/>
        <v>92</v>
      </c>
      <c r="H57" s="15">
        <f t="shared" si="2"/>
        <v>46</v>
      </c>
      <c r="I57" s="13">
        <f t="shared" si="0"/>
        <v>47</v>
      </c>
      <c r="J57" s="16" t="str">
        <f t="shared" si="3"/>
        <v>TIDAK TUNTAS</v>
      </c>
      <c r="K57" s="13"/>
      <c r="M57" s="46">
        <f t="shared" si="4"/>
        <v>4.5999999999999996</v>
      </c>
    </row>
    <row r="58" spans="1:13" x14ac:dyDescent="0.25">
      <c r="A58" s="8">
        <v>51</v>
      </c>
      <c r="B58" s="9" t="s">
        <v>1840</v>
      </c>
      <c r="C58" s="10" t="s">
        <v>1841</v>
      </c>
      <c r="D58" s="11" t="s">
        <v>70</v>
      </c>
      <c r="E58" s="12">
        <v>32</v>
      </c>
      <c r="F58" s="13">
        <v>32</v>
      </c>
      <c r="G58" s="14">
        <f t="shared" si="1"/>
        <v>8</v>
      </c>
      <c r="H58" s="15">
        <f t="shared" si="2"/>
        <v>4</v>
      </c>
      <c r="I58" s="13">
        <f t="shared" si="0"/>
        <v>49</v>
      </c>
      <c r="J58" s="16" t="str">
        <f t="shared" si="3"/>
        <v>TIDAK HADIR</v>
      </c>
      <c r="K58" s="13"/>
      <c r="M58" s="46">
        <f t="shared" si="4"/>
        <v>0.4</v>
      </c>
    </row>
    <row r="59" spans="1:13" x14ac:dyDescent="0.25">
      <c r="A59" s="8">
        <v>52</v>
      </c>
      <c r="B59" s="9" t="s">
        <v>1842</v>
      </c>
      <c r="C59" s="22" t="s">
        <v>1843</v>
      </c>
      <c r="D59" s="18" t="s">
        <v>131</v>
      </c>
      <c r="E59" s="12">
        <v>6</v>
      </c>
      <c r="F59" s="13">
        <v>0</v>
      </c>
      <c r="G59" s="14">
        <f t="shared" si="1"/>
        <v>182</v>
      </c>
      <c r="H59" s="15">
        <f t="shared" si="2"/>
        <v>91</v>
      </c>
      <c r="I59" s="13">
        <f t="shared" si="0"/>
        <v>21</v>
      </c>
      <c r="J59" s="16" t="str">
        <f t="shared" si="3"/>
        <v>TUNTAS</v>
      </c>
      <c r="K59" s="13"/>
      <c r="M59" s="46">
        <f t="shared" si="4"/>
        <v>9.1</v>
      </c>
    </row>
    <row r="60" spans="1:13" x14ac:dyDescent="0.25">
      <c r="A60" s="8">
        <v>53</v>
      </c>
      <c r="B60" s="9" t="s">
        <v>1844</v>
      </c>
      <c r="C60" s="23" t="s">
        <v>1845</v>
      </c>
      <c r="D60" s="24" t="s">
        <v>71</v>
      </c>
      <c r="E60" s="12">
        <v>9</v>
      </c>
      <c r="F60" s="13">
        <v>2</v>
      </c>
      <c r="G60" s="14">
        <f t="shared" si="1"/>
        <v>167</v>
      </c>
      <c r="H60" s="15">
        <f t="shared" si="2"/>
        <v>83.5</v>
      </c>
      <c r="I60" s="13">
        <f t="shared" si="0"/>
        <v>35</v>
      </c>
      <c r="J60" s="16" t="str">
        <f t="shared" si="3"/>
        <v>TUNTAS</v>
      </c>
      <c r="K60" s="13"/>
      <c r="M60" s="46">
        <f t="shared" si="4"/>
        <v>8.35</v>
      </c>
    </row>
    <row r="61" spans="1:13" x14ac:dyDescent="0.25">
      <c r="A61" s="8">
        <v>54</v>
      </c>
      <c r="B61" s="9" t="s">
        <v>1846</v>
      </c>
      <c r="C61" s="25" t="s">
        <v>1847</v>
      </c>
      <c r="D61" s="18" t="s">
        <v>71</v>
      </c>
      <c r="E61" s="12">
        <v>7</v>
      </c>
      <c r="F61" s="13">
        <v>5</v>
      </c>
      <c r="G61" s="14">
        <f t="shared" si="1"/>
        <v>164</v>
      </c>
      <c r="H61" s="15">
        <f t="shared" si="2"/>
        <v>82</v>
      </c>
      <c r="I61" s="13">
        <f t="shared" si="0"/>
        <v>38</v>
      </c>
      <c r="J61" s="16" t="str">
        <f t="shared" si="3"/>
        <v>TUNTAS</v>
      </c>
      <c r="K61" s="13"/>
      <c r="M61" s="46">
        <f t="shared" si="4"/>
        <v>8.1999999999999993</v>
      </c>
    </row>
    <row r="62" spans="1:13" x14ac:dyDescent="0.25">
      <c r="A62" s="8">
        <v>55</v>
      </c>
      <c r="B62" s="9" t="s">
        <v>1848</v>
      </c>
      <c r="C62" s="20" t="s">
        <v>1849</v>
      </c>
      <c r="D62" s="18" t="s">
        <v>73</v>
      </c>
      <c r="E62" s="12">
        <v>32</v>
      </c>
      <c r="F62" s="13">
        <v>32</v>
      </c>
      <c r="G62" s="14">
        <f t="shared" si="1"/>
        <v>8</v>
      </c>
      <c r="H62" s="15">
        <f t="shared" si="2"/>
        <v>4</v>
      </c>
      <c r="I62" s="13">
        <f t="shared" si="0"/>
        <v>49</v>
      </c>
      <c r="J62" s="16" t="str">
        <f t="shared" si="3"/>
        <v>TIDAK HADIR</v>
      </c>
      <c r="K62" s="13"/>
      <c r="M62" s="46">
        <f t="shared" si="4"/>
        <v>0.4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conditionalFormatting sqref="D8:D10">
    <cfRule type="cellIs" dxfId="260" priority="9" operator="equal">
      <formula>0</formula>
    </cfRule>
  </conditionalFormatting>
  <conditionalFormatting sqref="H8:H62">
    <cfRule type="cellIs" dxfId="259" priority="10" operator="lessThan">
      <formula>60</formula>
    </cfRule>
    <cfRule type="cellIs" dxfId="258" priority="11" operator="lessThan">
      <formula>60</formula>
    </cfRule>
    <cfRule type="cellIs" dxfId="257" priority="14" operator="lessThan">
      <formula>50</formula>
    </cfRule>
  </conditionalFormatting>
  <conditionalFormatting sqref="J8:J62">
    <cfRule type="cellIs" dxfId="256" priority="1" operator="equal">
      <formula>"TIDAK BACA"</formula>
    </cfRule>
    <cfRule type="cellIs" dxfId="255" priority="2" operator="equal">
      <formula>"TIDAK HADIR"</formula>
    </cfRule>
    <cfRule type="cellIs" dxfId="254" priority="3" operator="equal">
      <formula>"TUNTAS"</formula>
    </cfRule>
    <cfRule type="cellIs" dxfId="253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1665506D-38E0-46FA-A3B1-D10BC8F54558}"/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FEE3-6722-450A-8591-E06B0F6E8D09}">
  <sheetPr>
    <tabColor theme="3" tint="0.59999389629810485"/>
  </sheetPr>
  <dimension ref="A1:M64"/>
  <sheetViews>
    <sheetView topLeftCell="A4" workbookViewId="0">
      <selection activeCell="M64" sqref="M8:M64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2" customFormat="1" ht="19.899999999999999" customHeight="1" x14ac:dyDescent="0.25">
      <c r="A4" s="51" t="s">
        <v>3307</v>
      </c>
      <c r="B4" s="51"/>
      <c r="C4" s="51"/>
      <c r="D4" s="51"/>
      <c r="E4" s="51"/>
      <c r="F4" s="51"/>
      <c r="G4" s="51"/>
      <c r="H4" s="51"/>
      <c r="I4" s="51"/>
      <c r="J4" s="32" t="s">
        <v>3297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1850</v>
      </c>
      <c r="C8" s="10" t="s">
        <v>1851</v>
      </c>
      <c r="D8" s="11" t="s">
        <v>14</v>
      </c>
      <c r="E8" s="12">
        <v>3</v>
      </c>
      <c r="F8" s="13">
        <v>1</v>
      </c>
      <c r="G8" s="14">
        <f>100-E8*3+100-F8*3</f>
        <v>188</v>
      </c>
      <c r="H8" s="15">
        <f>G8/2</f>
        <v>94</v>
      </c>
      <c r="I8" s="13">
        <f t="shared" ref="I8:I61" si="0">RANK(G8,$G$8:$G$62)</f>
        <v>9</v>
      </c>
      <c r="J8" s="16" t="str">
        <f>IF(H8&lt;4.1,"TIDAK HADIR",IF(H8&lt;7.1,"TIDAK BACA",IF(H8&lt;$J$7,"TIDAK TUNTAS","TUNTAS")))</f>
        <v>TUNTAS</v>
      </c>
      <c r="K8" s="13"/>
      <c r="M8" s="46">
        <f>H8/10</f>
        <v>9.4</v>
      </c>
    </row>
    <row r="9" spans="1:13" x14ac:dyDescent="0.25">
      <c r="A9" s="8">
        <v>2</v>
      </c>
      <c r="B9" s="9" t="s">
        <v>1852</v>
      </c>
      <c r="C9" s="17" t="s">
        <v>1853</v>
      </c>
      <c r="D9" s="18" t="s">
        <v>16</v>
      </c>
      <c r="E9" s="12">
        <v>3</v>
      </c>
      <c r="F9" s="13">
        <v>1</v>
      </c>
      <c r="G9" s="14">
        <f t="shared" ref="G9:G61" si="1">100-E9*3+100-F9*3</f>
        <v>188</v>
      </c>
      <c r="H9" s="15">
        <f t="shared" ref="H9:H61" si="2">G9/2</f>
        <v>94</v>
      </c>
      <c r="I9" s="13">
        <f t="shared" si="0"/>
        <v>9</v>
      </c>
      <c r="J9" s="16" t="str">
        <f t="shared" ref="J9:J61" si="3">IF(H9&lt;4.1,"TIDAK HADIR",IF(H9&lt;7.1,"TIDAK BACA",IF(H9&lt;$J$7,"TIDAK TUNTAS","TUNTAS")))</f>
        <v>TUNTAS</v>
      </c>
      <c r="K9" s="13"/>
      <c r="M9" s="46">
        <f t="shared" ref="M9:M64" si="4">H9/10</f>
        <v>9.4</v>
      </c>
    </row>
    <row r="10" spans="1:13" x14ac:dyDescent="0.25">
      <c r="A10" s="8">
        <v>3</v>
      </c>
      <c r="B10" s="9" t="s">
        <v>1854</v>
      </c>
      <c r="C10" s="10" t="s">
        <v>1855</v>
      </c>
      <c r="D10" s="11" t="s">
        <v>18</v>
      </c>
      <c r="E10" s="12">
        <v>5</v>
      </c>
      <c r="F10" s="13">
        <v>0</v>
      </c>
      <c r="G10" s="14">
        <f t="shared" si="1"/>
        <v>185</v>
      </c>
      <c r="H10" s="15">
        <f t="shared" si="2"/>
        <v>92.5</v>
      </c>
      <c r="I10" s="13">
        <f t="shared" si="0"/>
        <v>11</v>
      </c>
      <c r="J10" s="16" t="str">
        <f t="shared" si="3"/>
        <v>TUNTAS</v>
      </c>
      <c r="K10" s="13"/>
      <c r="M10" s="46">
        <f t="shared" si="4"/>
        <v>9.25</v>
      </c>
    </row>
    <row r="11" spans="1:13" x14ac:dyDescent="0.25">
      <c r="A11" s="8">
        <v>4</v>
      </c>
      <c r="B11" s="9" t="s">
        <v>1856</v>
      </c>
      <c r="C11" s="10" t="s">
        <v>1857</v>
      </c>
      <c r="D11" s="11" t="s">
        <v>18</v>
      </c>
      <c r="E11" s="12">
        <v>32</v>
      </c>
      <c r="F11" s="13">
        <v>32</v>
      </c>
      <c r="G11" s="14">
        <f t="shared" si="1"/>
        <v>8</v>
      </c>
      <c r="H11" s="15">
        <f t="shared" si="2"/>
        <v>4</v>
      </c>
      <c r="I11" s="13">
        <f t="shared" si="0"/>
        <v>53</v>
      </c>
      <c r="J11" s="16" t="str">
        <f t="shared" si="3"/>
        <v>TIDAK HADIR</v>
      </c>
      <c r="K11" s="13" t="s">
        <v>3264</v>
      </c>
      <c r="M11" s="46">
        <f t="shared" si="4"/>
        <v>0.4</v>
      </c>
    </row>
    <row r="12" spans="1:13" x14ac:dyDescent="0.25">
      <c r="A12" s="8">
        <v>5</v>
      </c>
      <c r="B12" s="9" t="s">
        <v>1858</v>
      </c>
      <c r="C12" s="17" t="s">
        <v>1859</v>
      </c>
      <c r="D12" s="18" t="s">
        <v>19</v>
      </c>
      <c r="E12" s="12">
        <v>1</v>
      </c>
      <c r="F12" s="13">
        <v>1</v>
      </c>
      <c r="G12" s="14">
        <f t="shared" si="1"/>
        <v>194</v>
      </c>
      <c r="H12" s="15">
        <f t="shared" si="2"/>
        <v>97</v>
      </c>
      <c r="I12" s="13">
        <f t="shared" si="0"/>
        <v>4</v>
      </c>
      <c r="J12" s="16" t="str">
        <f t="shared" si="3"/>
        <v>TUNTAS</v>
      </c>
      <c r="K12" s="13"/>
      <c r="M12" s="46">
        <f t="shared" si="4"/>
        <v>9.6999999999999993</v>
      </c>
    </row>
    <row r="13" spans="1:13" x14ac:dyDescent="0.25">
      <c r="A13" s="8">
        <v>6</v>
      </c>
      <c r="B13" s="9" t="s">
        <v>1860</v>
      </c>
      <c r="C13" s="17" t="s">
        <v>1861</v>
      </c>
      <c r="D13" s="18" t="s">
        <v>20</v>
      </c>
      <c r="E13" s="12">
        <v>6</v>
      </c>
      <c r="F13" s="13">
        <v>2</v>
      </c>
      <c r="G13" s="14">
        <f t="shared" si="1"/>
        <v>176</v>
      </c>
      <c r="H13" s="15">
        <f t="shared" si="2"/>
        <v>88</v>
      </c>
      <c r="I13" s="13">
        <f t="shared" si="0"/>
        <v>20</v>
      </c>
      <c r="J13" s="16" t="str">
        <f t="shared" si="3"/>
        <v>TUNTAS</v>
      </c>
      <c r="K13" s="13"/>
      <c r="M13" s="46">
        <f t="shared" si="4"/>
        <v>8.8000000000000007</v>
      </c>
    </row>
    <row r="14" spans="1:13" x14ac:dyDescent="0.25">
      <c r="A14" s="8">
        <v>7</v>
      </c>
      <c r="B14" s="9" t="s">
        <v>1862</v>
      </c>
      <c r="C14" s="17" t="s">
        <v>1863</v>
      </c>
      <c r="D14" s="18" t="s">
        <v>22</v>
      </c>
      <c r="E14" s="12">
        <v>13</v>
      </c>
      <c r="F14" s="13">
        <v>7</v>
      </c>
      <c r="G14" s="14">
        <f t="shared" si="1"/>
        <v>140</v>
      </c>
      <c r="H14" s="15">
        <f t="shared" si="2"/>
        <v>70</v>
      </c>
      <c r="I14" s="13">
        <f t="shared" si="0"/>
        <v>45</v>
      </c>
      <c r="J14" s="16" t="str">
        <f t="shared" si="3"/>
        <v>TUNTAS</v>
      </c>
      <c r="K14" s="13"/>
      <c r="M14" s="46">
        <f t="shared" si="4"/>
        <v>7</v>
      </c>
    </row>
    <row r="15" spans="1:13" x14ac:dyDescent="0.25">
      <c r="A15" s="8">
        <v>8</v>
      </c>
      <c r="B15" s="9" t="s">
        <v>1864</v>
      </c>
      <c r="C15" s="10" t="s">
        <v>1865</v>
      </c>
      <c r="D15" s="11" t="s">
        <v>23</v>
      </c>
      <c r="E15" s="12">
        <v>8</v>
      </c>
      <c r="F15" s="13">
        <v>4</v>
      </c>
      <c r="G15" s="14">
        <f t="shared" si="1"/>
        <v>164</v>
      </c>
      <c r="H15" s="15">
        <f t="shared" si="2"/>
        <v>82</v>
      </c>
      <c r="I15" s="13">
        <f t="shared" si="0"/>
        <v>29</v>
      </c>
      <c r="J15" s="16" t="str">
        <f t="shared" si="3"/>
        <v>TUNTAS</v>
      </c>
      <c r="K15" s="13"/>
      <c r="M15" s="46">
        <f t="shared" si="4"/>
        <v>8.1999999999999993</v>
      </c>
    </row>
    <row r="16" spans="1:13" x14ac:dyDescent="0.25">
      <c r="A16" s="8">
        <v>9</v>
      </c>
      <c r="B16" s="9" t="s">
        <v>1866</v>
      </c>
      <c r="C16" s="20" t="s">
        <v>1867</v>
      </c>
      <c r="D16" s="18" t="s">
        <v>23</v>
      </c>
      <c r="E16" s="12">
        <v>5</v>
      </c>
      <c r="F16" s="13">
        <v>1</v>
      </c>
      <c r="G16" s="14">
        <f t="shared" si="1"/>
        <v>182</v>
      </c>
      <c r="H16" s="15">
        <f t="shared" si="2"/>
        <v>91</v>
      </c>
      <c r="I16" s="13">
        <f t="shared" si="0"/>
        <v>12</v>
      </c>
      <c r="J16" s="16" t="str">
        <f t="shared" si="3"/>
        <v>TUNTAS</v>
      </c>
      <c r="K16" s="13"/>
      <c r="M16" s="46">
        <f t="shared" si="4"/>
        <v>9.1</v>
      </c>
    </row>
    <row r="17" spans="1:13" x14ac:dyDescent="0.25">
      <c r="A17" s="8">
        <v>10</v>
      </c>
      <c r="B17" s="9" t="s">
        <v>1868</v>
      </c>
      <c r="C17" s="10" t="s">
        <v>1869</v>
      </c>
      <c r="D17" s="11" t="s">
        <v>24</v>
      </c>
      <c r="E17" s="12">
        <v>6</v>
      </c>
      <c r="F17" s="13">
        <v>4</v>
      </c>
      <c r="G17" s="14">
        <f t="shared" si="1"/>
        <v>170</v>
      </c>
      <c r="H17" s="15">
        <f t="shared" si="2"/>
        <v>85</v>
      </c>
      <c r="I17" s="13">
        <f t="shared" si="0"/>
        <v>25</v>
      </c>
      <c r="J17" s="16" t="str">
        <f t="shared" si="3"/>
        <v>TUNTAS</v>
      </c>
      <c r="K17" s="13"/>
      <c r="M17" s="46">
        <f t="shared" si="4"/>
        <v>8.5</v>
      </c>
    </row>
    <row r="18" spans="1:13" x14ac:dyDescent="0.25">
      <c r="A18" s="8">
        <v>11</v>
      </c>
      <c r="B18" s="9" t="s">
        <v>1870</v>
      </c>
      <c r="C18" s="10" t="s">
        <v>1871</v>
      </c>
      <c r="D18" s="11" t="s">
        <v>124</v>
      </c>
      <c r="E18" s="12">
        <v>8</v>
      </c>
      <c r="F18" s="13">
        <v>1</v>
      </c>
      <c r="G18" s="14">
        <f t="shared" si="1"/>
        <v>173</v>
      </c>
      <c r="H18" s="15">
        <f t="shared" si="2"/>
        <v>86.5</v>
      </c>
      <c r="I18" s="13">
        <f t="shared" si="0"/>
        <v>24</v>
      </c>
      <c r="J18" s="16" t="str">
        <f t="shared" si="3"/>
        <v>TUNTAS</v>
      </c>
      <c r="K18" s="13"/>
      <c r="M18" s="46">
        <f t="shared" si="4"/>
        <v>8.65</v>
      </c>
    </row>
    <row r="19" spans="1:13" x14ac:dyDescent="0.25">
      <c r="A19" s="8">
        <v>12</v>
      </c>
      <c r="B19" s="9" t="s">
        <v>1872</v>
      </c>
      <c r="C19" s="10" t="s">
        <v>1466</v>
      </c>
      <c r="D19" s="11" t="s">
        <v>26</v>
      </c>
      <c r="E19" s="12">
        <v>1</v>
      </c>
      <c r="F19" s="13">
        <v>0</v>
      </c>
      <c r="G19" s="14">
        <f t="shared" si="1"/>
        <v>197</v>
      </c>
      <c r="H19" s="15">
        <f t="shared" si="2"/>
        <v>98.5</v>
      </c>
      <c r="I19" s="13">
        <f t="shared" si="0"/>
        <v>2</v>
      </c>
      <c r="J19" s="16" t="str">
        <f t="shared" si="3"/>
        <v>TUNTAS</v>
      </c>
      <c r="K19" s="13"/>
      <c r="M19" s="46">
        <f t="shared" si="4"/>
        <v>9.85</v>
      </c>
    </row>
    <row r="20" spans="1:13" x14ac:dyDescent="0.25">
      <c r="A20" s="8">
        <v>13</v>
      </c>
      <c r="B20" s="9" t="s">
        <v>1873</v>
      </c>
      <c r="C20" s="10" t="s">
        <v>1874</v>
      </c>
      <c r="D20" s="18" t="s">
        <v>101</v>
      </c>
      <c r="E20" s="12">
        <v>2</v>
      </c>
      <c r="F20" s="13">
        <v>0</v>
      </c>
      <c r="G20" s="14">
        <f t="shared" si="1"/>
        <v>194</v>
      </c>
      <c r="H20" s="15">
        <f t="shared" si="2"/>
        <v>97</v>
      </c>
      <c r="I20" s="13">
        <f t="shared" si="0"/>
        <v>4</v>
      </c>
      <c r="J20" s="16" t="str">
        <f t="shared" si="3"/>
        <v>TUNTAS</v>
      </c>
      <c r="K20" s="13"/>
      <c r="M20" s="46">
        <f t="shared" si="4"/>
        <v>9.6999999999999993</v>
      </c>
    </row>
    <row r="21" spans="1:13" x14ac:dyDescent="0.25">
      <c r="A21" s="8">
        <v>14</v>
      </c>
      <c r="B21" s="9" t="s">
        <v>1875</v>
      </c>
      <c r="C21" s="10" t="s">
        <v>1876</v>
      </c>
      <c r="D21" s="11" t="s">
        <v>146</v>
      </c>
      <c r="E21" s="12">
        <v>12</v>
      </c>
      <c r="F21" s="13">
        <v>0</v>
      </c>
      <c r="G21" s="14">
        <f t="shared" si="1"/>
        <v>164</v>
      </c>
      <c r="H21" s="15">
        <f t="shared" si="2"/>
        <v>82</v>
      </c>
      <c r="I21" s="13">
        <f t="shared" si="0"/>
        <v>29</v>
      </c>
      <c r="J21" s="16" t="str">
        <f t="shared" si="3"/>
        <v>TUNTAS</v>
      </c>
      <c r="K21" s="13"/>
      <c r="M21" s="46">
        <f t="shared" si="4"/>
        <v>8.1999999999999993</v>
      </c>
    </row>
    <row r="22" spans="1:13" x14ac:dyDescent="0.25">
      <c r="A22" s="8">
        <v>15</v>
      </c>
      <c r="B22" s="9" t="s">
        <v>1877</v>
      </c>
      <c r="C22" s="21" t="s">
        <v>1878</v>
      </c>
      <c r="D22" s="19" t="s">
        <v>28</v>
      </c>
      <c r="E22" s="12">
        <v>30</v>
      </c>
      <c r="F22" s="13">
        <v>9</v>
      </c>
      <c r="G22" s="14">
        <f t="shared" si="1"/>
        <v>83</v>
      </c>
      <c r="H22" s="15">
        <f t="shared" si="2"/>
        <v>41.5</v>
      </c>
      <c r="I22" s="13">
        <f t="shared" si="0"/>
        <v>51</v>
      </c>
      <c r="J22" s="16" t="str">
        <f t="shared" si="3"/>
        <v>TIDAK TUNTAS</v>
      </c>
      <c r="K22" s="13"/>
      <c r="M22" s="46">
        <f t="shared" si="4"/>
        <v>4.1500000000000004</v>
      </c>
    </row>
    <row r="23" spans="1:13" x14ac:dyDescent="0.25">
      <c r="A23" s="8">
        <v>16</v>
      </c>
      <c r="B23" s="9" t="s">
        <v>1879</v>
      </c>
      <c r="C23" s="21" t="s">
        <v>1880</v>
      </c>
      <c r="D23" s="19" t="s">
        <v>28</v>
      </c>
      <c r="E23" s="12">
        <v>13</v>
      </c>
      <c r="F23" s="13">
        <v>5</v>
      </c>
      <c r="G23" s="14">
        <f t="shared" si="1"/>
        <v>146</v>
      </c>
      <c r="H23" s="15">
        <f t="shared" si="2"/>
        <v>73</v>
      </c>
      <c r="I23" s="13">
        <f t="shared" si="0"/>
        <v>43</v>
      </c>
      <c r="J23" s="16" t="str">
        <f t="shared" si="3"/>
        <v>TUNTAS</v>
      </c>
      <c r="K23" s="13"/>
      <c r="M23" s="46">
        <f t="shared" si="4"/>
        <v>7.3</v>
      </c>
    </row>
    <row r="24" spans="1:13" x14ac:dyDescent="0.25">
      <c r="A24" s="8">
        <v>17</v>
      </c>
      <c r="B24" s="9" t="s">
        <v>1881</v>
      </c>
      <c r="C24" s="10" t="s">
        <v>1882</v>
      </c>
      <c r="D24" s="11" t="s">
        <v>29</v>
      </c>
      <c r="E24" s="12">
        <v>9</v>
      </c>
      <c r="F24" s="13">
        <v>1</v>
      </c>
      <c r="G24" s="14">
        <f t="shared" si="1"/>
        <v>170</v>
      </c>
      <c r="H24" s="15">
        <f t="shared" si="2"/>
        <v>85</v>
      </c>
      <c r="I24" s="13">
        <f t="shared" si="0"/>
        <v>25</v>
      </c>
      <c r="J24" s="16" t="str">
        <f t="shared" si="3"/>
        <v>TUNTAS</v>
      </c>
      <c r="K24" s="13"/>
      <c r="M24" s="46">
        <f t="shared" si="4"/>
        <v>8.5</v>
      </c>
    </row>
    <row r="25" spans="1:13" x14ac:dyDescent="0.25">
      <c r="A25" s="8">
        <v>18</v>
      </c>
      <c r="B25" s="9" t="s">
        <v>1883</v>
      </c>
      <c r="C25" s="20" t="s">
        <v>1884</v>
      </c>
      <c r="D25" s="18" t="s">
        <v>77</v>
      </c>
      <c r="E25" s="12">
        <v>6</v>
      </c>
      <c r="F25" s="13">
        <v>1</v>
      </c>
      <c r="G25" s="14">
        <f t="shared" si="1"/>
        <v>179</v>
      </c>
      <c r="H25" s="15">
        <f t="shared" si="2"/>
        <v>89.5</v>
      </c>
      <c r="I25" s="13">
        <f t="shared" si="0"/>
        <v>17</v>
      </c>
      <c r="J25" s="16" t="str">
        <f t="shared" si="3"/>
        <v>TUNTAS</v>
      </c>
      <c r="K25" s="13"/>
      <c r="M25" s="46">
        <f t="shared" si="4"/>
        <v>8.9499999999999993</v>
      </c>
    </row>
    <row r="26" spans="1:13" x14ac:dyDescent="0.25">
      <c r="A26" s="8">
        <v>19</v>
      </c>
      <c r="B26" s="9" t="s">
        <v>1885</v>
      </c>
      <c r="C26" s="10" t="s">
        <v>1886</v>
      </c>
      <c r="D26" s="11" t="s">
        <v>133</v>
      </c>
      <c r="E26" s="12">
        <v>2</v>
      </c>
      <c r="F26" s="13">
        <v>1</v>
      </c>
      <c r="G26" s="14">
        <f t="shared" si="1"/>
        <v>191</v>
      </c>
      <c r="H26" s="15">
        <f t="shared" si="2"/>
        <v>95.5</v>
      </c>
      <c r="I26" s="13">
        <f t="shared" si="0"/>
        <v>7</v>
      </c>
      <c r="J26" s="16" t="str">
        <f t="shared" si="3"/>
        <v>TUNTAS</v>
      </c>
      <c r="K26" s="13"/>
      <c r="M26" s="46">
        <f t="shared" si="4"/>
        <v>9.5500000000000007</v>
      </c>
    </row>
    <row r="27" spans="1:13" x14ac:dyDescent="0.25">
      <c r="A27" s="8">
        <v>20</v>
      </c>
      <c r="B27" s="9" t="s">
        <v>1887</v>
      </c>
      <c r="C27" s="10" t="s">
        <v>1888</v>
      </c>
      <c r="D27" s="11" t="s">
        <v>125</v>
      </c>
      <c r="E27" s="12">
        <v>10</v>
      </c>
      <c r="F27" s="13">
        <v>4</v>
      </c>
      <c r="G27" s="14">
        <f t="shared" si="1"/>
        <v>158</v>
      </c>
      <c r="H27" s="15">
        <f t="shared" si="2"/>
        <v>79</v>
      </c>
      <c r="I27" s="13">
        <f t="shared" si="0"/>
        <v>37</v>
      </c>
      <c r="J27" s="16" t="str">
        <f t="shared" si="3"/>
        <v>TUNTAS</v>
      </c>
      <c r="K27" s="13"/>
      <c r="M27" s="46">
        <f t="shared" si="4"/>
        <v>7.9</v>
      </c>
    </row>
    <row r="28" spans="1:13" x14ac:dyDescent="0.25">
      <c r="A28" s="8">
        <v>21</v>
      </c>
      <c r="B28" s="9" t="s">
        <v>1889</v>
      </c>
      <c r="C28" s="10" t="s">
        <v>1890</v>
      </c>
      <c r="D28" s="11" t="s">
        <v>34</v>
      </c>
      <c r="E28" s="12">
        <v>12</v>
      </c>
      <c r="F28" s="13">
        <v>8</v>
      </c>
      <c r="G28" s="14">
        <f t="shared" si="1"/>
        <v>140</v>
      </c>
      <c r="H28" s="15">
        <f t="shared" si="2"/>
        <v>70</v>
      </c>
      <c r="I28" s="13">
        <f t="shared" si="0"/>
        <v>45</v>
      </c>
      <c r="J28" s="16" t="str">
        <f t="shared" si="3"/>
        <v>TUNTAS</v>
      </c>
      <c r="K28" s="13"/>
      <c r="M28" s="46">
        <f t="shared" si="4"/>
        <v>7</v>
      </c>
    </row>
    <row r="29" spans="1:13" x14ac:dyDescent="0.25">
      <c r="A29" s="8">
        <v>22</v>
      </c>
      <c r="B29" s="9" t="s">
        <v>1891</v>
      </c>
      <c r="C29" s="10" t="s">
        <v>1892</v>
      </c>
      <c r="D29" s="11" t="s">
        <v>103</v>
      </c>
      <c r="E29" s="12">
        <v>9</v>
      </c>
      <c r="F29" s="13">
        <v>1</v>
      </c>
      <c r="G29" s="14">
        <f t="shared" si="1"/>
        <v>170</v>
      </c>
      <c r="H29" s="15">
        <f t="shared" si="2"/>
        <v>85</v>
      </c>
      <c r="I29" s="13">
        <f t="shared" si="0"/>
        <v>25</v>
      </c>
      <c r="J29" s="16" t="str">
        <f t="shared" si="3"/>
        <v>TUNTAS</v>
      </c>
      <c r="K29" s="13"/>
      <c r="M29" s="46">
        <f t="shared" si="4"/>
        <v>8.5</v>
      </c>
    </row>
    <row r="30" spans="1:13" x14ac:dyDescent="0.25">
      <c r="A30" s="8">
        <v>23</v>
      </c>
      <c r="B30" s="9" t="s">
        <v>1893</v>
      </c>
      <c r="C30" s="10" t="s">
        <v>1894</v>
      </c>
      <c r="D30" s="11" t="s">
        <v>93</v>
      </c>
      <c r="E30" s="12">
        <v>13</v>
      </c>
      <c r="F30" s="13">
        <v>4</v>
      </c>
      <c r="G30" s="14">
        <f t="shared" si="1"/>
        <v>149</v>
      </c>
      <c r="H30" s="15">
        <f t="shared" si="2"/>
        <v>74.5</v>
      </c>
      <c r="I30" s="13">
        <f t="shared" si="0"/>
        <v>40</v>
      </c>
      <c r="J30" s="16" t="str">
        <f t="shared" si="3"/>
        <v>TUNTAS</v>
      </c>
      <c r="K30" s="13"/>
      <c r="M30" s="46">
        <f t="shared" si="4"/>
        <v>7.45</v>
      </c>
    </row>
    <row r="31" spans="1:13" x14ac:dyDescent="0.25">
      <c r="A31" s="8">
        <v>24</v>
      </c>
      <c r="B31" s="9" t="s">
        <v>1895</v>
      </c>
      <c r="C31" s="10" t="s">
        <v>1896</v>
      </c>
      <c r="D31" s="11" t="s">
        <v>36</v>
      </c>
      <c r="E31" s="12">
        <v>8</v>
      </c>
      <c r="F31" s="13">
        <v>0</v>
      </c>
      <c r="G31" s="14">
        <f t="shared" si="1"/>
        <v>176</v>
      </c>
      <c r="H31" s="15">
        <f t="shared" si="2"/>
        <v>88</v>
      </c>
      <c r="I31" s="13">
        <f t="shared" si="0"/>
        <v>20</v>
      </c>
      <c r="J31" s="16" t="str">
        <f t="shared" si="3"/>
        <v>TUNTAS</v>
      </c>
      <c r="K31" s="13"/>
      <c r="M31" s="46">
        <f t="shared" si="4"/>
        <v>8.8000000000000007</v>
      </c>
    </row>
    <row r="32" spans="1:13" x14ac:dyDescent="0.25">
      <c r="A32" s="8">
        <v>25</v>
      </c>
      <c r="B32" s="9" t="s">
        <v>1897</v>
      </c>
      <c r="C32" s="10" t="s">
        <v>1898</v>
      </c>
      <c r="D32" s="11" t="s">
        <v>36</v>
      </c>
      <c r="E32" s="12">
        <v>13</v>
      </c>
      <c r="F32" s="13">
        <v>12</v>
      </c>
      <c r="G32" s="14">
        <f t="shared" si="1"/>
        <v>125</v>
      </c>
      <c r="H32" s="15">
        <f t="shared" si="2"/>
        <v>62.5</v>
      </c>
      <c r="I32" s="13">
        <f t="shared" si="0"/>
        <v>48</v>
      </c>
      <c r="J32" s="16" t="str">
        <f t="shared" si="3"/>
        <v>TUNTAS</v>
      </c>
      <c r="K32" s="13"/>
      <c r="M32" s="46">
        <f t="shared" si="4"/>
        <v>6.25</v>
      </c>
    </row>
    <row r="33" spans="1:13" x14ac:dyDescent="0.25">
      <c r="A33" s="8">
        <v>26</v>
      </c>
      <c r="B33" s="9" t="s">
        <v>1899</v>
      </c>
      <c r="C33" s="21" t="s">
        <v>1900</v>
      </c>
      <c r="D33" s="19" t="s">
        <v>38</v>
      </c>
      <c r="E33" s="12">
        <v>11</v>
      </c>
      <c r="F33" s="13">
        <v>1</v>
      </c>
      <c r="G33" s="14">
        <f t="shared" si="1"/>
        <v>164</v>
      </c>
      <c r="H33" s="15">
        <f t="shared" si="2"/>
        <v>82</v>
      </c>
      <c r="I33" s="13">
        <f t="shared" si="0"/>
        <v>29</v>
      </c>
      <c r="J33" s="16" t="str">
        <f t="shared" si="3"/>
        <v>TUNTAS</v>
      </c>
      <c r="K33" s="13"/>
      <c r="M33" s="46">
        <f t="shared" si="4"/>
        <v>8.1999999999999993</v>
      </c>
    </row>
    <row r="34" spans="1:13" x14ac:dyDescent="0.25">
      <c r="A34" s="8">
        <v>27</v>
      </c>
      <c r="B34" s="9" t="s">
        <v>1901</v>
      </c>
      <c r="C34" s="10" t="s">
        <v>1902</v>
      </c>
      <c r="D34" s="11" t="s">
        <v>40</v>
      </c>
      <c r="E34" s="12">
        <v>5</v>
      </c>
      <c r="F34" s="13">
        <v>2</v>
      </c>
      <c r="G34" s="14">
        <f t="shared" si="1"/>
        <v>179</v>
      </c>
      <c r="H34" s="15">
        <f t="shared" si="2"/>
        <v>89.5</v>
      </c>
      <c r="I34" s="13">
        <f t="shared" si="0"/>
        <v>17</v>
      </c>
      <c r="J34" s="16" t="str">
        <f t="shared" si="3"/>
        <v>TUNTAS</v>
      </c>
      <c r="K34" s="13"/>
      <c r="M34" s="46">
        <f t="shared" si="4"/>
        <v>8.9499999999999993</v>
      </c>
    </row>
    <row r="35" spans="1:13" x14ac:dyDescent="0.25">
      <c r="A35" s="8">
        <v>28</v>
      </c>
      <c r="B35" s="9" t="s">
        <v>1903</v>
      </c>
      <c r="C35" s="10" t="s">
        <v>1904</v>
      </c>
      <c r="D35" s="11" t="s">
        <v>127</v>
      </c>
      <c r="E35" s="12">
        <v>3</v>
      </c>
      <c r="F35" s="13">
        <v>3</v>
      </c>
      <c r="G35" s="14">
        <f t="shared" si="1"/>
        <v>182</v>
      </c>
      <c r="H35" s="15">
        <f t="shared" si="2"/>
        <v>91</v>
      </c>
      <c r="I35" s="13">
        <f t="shared" si="0"/>
        <v>12</v>
      </c>
      <c r="J35" s="16" t="str">
        <f t="shared" si="3"/>
        <v>TUNTAS</v>
      </c>
      <c r="K35" s="13"/>
      <c r="M35" s="46">
        <f t="shared" si="4"/>
        <v>9.1</v>
      </c>
    </row>
    <row r="36" spans="1:13" x14ac:dyDescent="0.25">
      <c r="A36" s="8">
        <v>29</v>
      </c>
      <c r="B36" s="9" t="s">
        <v>1905</v>
      </c>
      <c r="C36" s="10" t="s">
        <v>1906</v>
      </c>
      <c r="D36" s="11" t="s">
        <v>106</v>
      </c>
      <c r="E36" s="12">
        <v>10</v>
      </c>
      <c r="F36" s="13">
        <v>8</v>
      </c>
      <c r="G36" s="14">
        <f t="shared" si="1"/>
        <v>146</v>
      </c>
      <c r="H36" s="15">
        <f t="shared" si="2"/>
        <v>73</v>
      </c>
      <c r="I36" s="13">
        <f t="shared" si="0"/>
        <v>43</v>
      </c>
      <c r="J36" s="16" t="str">
        <f t="shared" si="3"/>
        <v>TUNTAS</v>
      </c>
      <c r="K36" s="13"/>
      <c r="M36" s="46">
        <f t="shared" si="4"/>
        <v>7.3</v>
      </c>
    </row>
    <row r="37" spans="1:13" x14ac:dyDescent="0.25">
      <c r="A37" s="8">
        <v>30</v>
      </c>
      <c r="B37" s="9" t="s">
        <v>1907</v>
      </c>
      <c r="C37" s="17" t="s">
        <v>1908</v>
      </c>
      <c r="D37" s="18" t="s">
        <v>1909</v>
      </c>
      <c r="E37" s="12">
        <v>1</v>
      </c>
      <c r="F37" s="13">
        <v>1</v>
      </c>
      <c r="G37" s="14">
        <f t="shared" si="1"/>
        <v>194</v>
      </c>
      <c r="H37" s="15">
        <f t="shared" si="2"/>
        <v>97</v>
      </c>
      <c r="I37" s="13">
        <f t="shared" si="0"/>
        <v>4</v>
      </c>
      <c r="J37" s="16" t="str">
        <f t="shared" si="3"/>
        <v>TUNTAS</v>
      </c>
      <c r="K37" s="13"/>
      <c r="M37" s="46">
        <f t="shared" si="4"/>
        <v>9.6999999999999993</v>
      </c>
    </row>
    <row r="38" spans="1:13" x14ac:dyDescent="0.25">
      <c r="A38" s="8">
        <v>31</v>
      </c>
      <c r="B38" s="9" t="s">
        <v>1910</v>
      </c>
      <c r="C38" s="10" t="s">
        <v>1911</v>
      </c>
      <c r="D38" s="11" t="s">
        <v>45</v>
      </c>
      <c r="E38" s="12">
        <v>1</v>
      </c>
      <c r="F38" s="13">
        <v>0</v>
      </c>
      <c r="G38" s="14">
        <f t="shared" si="1"/>
        <v>197</v>
      </c>
      <c r="H38" s="15">
        <f t="shared" si="2"/>
        <v>98.5</v>
      </c>
      <c r="I38" s="13">
        <f t="shared" si="0"/>
        <v>2</v>
      </c>
      <c r="J38" s="16" t="str">
        <f t="shared" si="3"/>
        <v>TUNTAS</v>
      </c>
      <c r="K38" s="13"/>
      <c r="M38" s="46">
        <f t="shared" si="4"/>
        <v>9.85</v>
      </c>
    </row>
    <row r="39" spans="1:13" x14ac:dyDescent="0.25">
      <c r="A39" s="8">
        <v>32</v>
      </c>
      <c r="B39" s="9" t="s">
        <v>1912</v>
      </c>
      <c r="C39" s="10" t="s">
        <v>1913</v>
      </c>
      <c r="D39" s="11" t="s">
        <v>116</v>
      </c>
      <c r="E39" s="12">
        <v>6</v>
      </c>
      <c r="F39" s="13">
        <v>1</v>
      </c>
      <c r="G39" s="14">
        <f t="shared" si="1"/>
        <v>179</v>
      </c>
      <c r="H39" s="15">
        <f t="shared" si="2"/>
        <v>89.5</v>
      </c>
      <c r="I39" s="13">
        <f t="shared" si="0"/>
        <v>17</v>
      </c>
      <c r="J39" s="16" t="str">
        <f t="shared" si="3"/>
        <v>TUNTAS</v>
      </c>
      <c r="K39" s="13"/>
      <c r="M39" s="46">
        <f t="shared" si="4"/>
        <v>8.9499999999999993</v>
      </c>
    </row>
    <row r="40" spans="1:13" x14ac:dyDescent="0.25">
      <c r="A40" s="8">
        <v>33</v>
      </c>
      <c r="B40" s="9" t="s">
        <v>1914</v>
      </c>
      <c r="C40" s="10" t="s">
        <v>1915</v>
      </c>
      <c r="D40" s="11" t="s">
        <v>47</v>
      </c>
      <c r="E40" s="12">
        <v>0</v>
      </c>
      <c r="F40" s="13">
        <v>0</v>
      </c>
      <c r="G40" s="14">
        <f t="shared" si="1"/>
        <v>200</v>
      </c>
      <c r="H40" s="15">
        <f t="shared" si="2"/>
        <v>100</v>
      </c>
      <c r="I40" s="13">
        <f t="shared" si="0"/>
        <v>1</v>
      </c>
      <c r="J40" s="16" t="str">
        <f t="shared" si="3"/>
        <v>TUNTAS</v>
      </c>
      <c r="K40" s="13"/>
      <c r="M40" s="46">
        <f t="shared" si="4"/>
        <v>10</v>
      </c>
    </row>
    <row r="41" spans="1:13" x14ac:dyDescent="0.25">
      <c r="A41" s="8">
        <v>34</v>
      </c>
      <c r="B41" s="9" t="s">
        <v>1916</v>
      </c>
      <c r="C41" s="10" t="s">
        <v>1917</v>
      </c>
      <c r="D41" s="11" t="s">
        <v>85</v>
      </c>
      <c r="E41" s="12">
        <v>10</v>
      </c>
      <c r="F41" s="13">
        <v>2</v>
      </c>
      <c r="G41" s="14">
        <f t="shared" si="1"/>
        <v>164</v>
      </c>
      <c r="H41" s="15">
        <f t="shared" si="2"/>
        <v>82</v>
      </c>
      <c r="I41" s="13">
        <f t="shared" si="0"/>
        <v>29</v>
      </c>
      <c r="J41" s="16" t="str">
        <f t="shared" si="3"/>
        <v>TUNTAS</v>
      </c>
      <c r="K41" s="13"/>
      <c r="M41" s="46">
        <f t="shared" si="4"/>
        <v>8.1999999999999993</v>
      </c>
    </row>
    <row r="42" spans="1:13" x14ac:dyDescent="0.25">
      <c r="A42" s="8">
        <v>35</v>
      </c>
      <c r="B42" s="9" t="s">
        <v>1918</v>
      </c>
      <c r="C42" s="10" t="s">
        <v>1919</v>
      </c>
      <c r="D42" s="11" t="s">
        <v>108</v>
      </c>
      <c r="E42" s="12">
        <v>14</v>
      </c>
      <c r="F42" s="13">
        <v>3</v>
      </c>
      <c r="G42" s="14">
        <f t="shared" si="1"/>
        <v>149</v>
      </c>
      <c r="H42" s="15">
        <f t="shared" si="2"/>
        <v>74.5</v>
      </c>
      <c r="I42" s="13">
        <f t="shared" si="0"/>
        <v>40</v>
      </c>
      <c r="J42" s="16" t="str">
        <f t="shared" si="3"/>
        <v>TUNTAS</v>
      </c>
      <c r="K42" s="13"/>
      <c r="M42" s="46">
        <f t="shared" si="4"/>
        <v>7.45</v>
      </c>
    </row>
    <row r="43" spans="1:13" x14ac:dyDescent="0.25">
      <c r="A43" s="8">
        <v>36</v>
      </c>
      <c r="B43" s="9" t="s">
        <v>1920</v>
      </c>
      <c r="C43" s="10" t="s">
        <v>1921</v>
      </c>
      <c r="D43" s="11" t="s">
        <v>51</v>
      </c>
      <c r="E43" s="12">
        <v>27</v>
      </c>
      <c r="F43" s="13">
        <v>9</v>
      </c>
      <c r="G43" s="14">
        <f t="shared" si="1"/>
        <v>92</v>
      </c>
      <c r="H43" s="15">
        <f t="shared" si="2"/>
        <v>46</v>
      </c>
      <c r="I43" s="13">
        <f t="shared" si="0"/>
        <v>50</v>
      </c>
      <c r="J43" s="16" t="str">
        <f t="shared" si="3"/>
        <v>TIDAK TUNTAS</v>
      </c>
      <c r="K43" s="13"/>
      <c r="M43" s="46">
        <f t="shared" si="4"/>
        <v>4.5999999999999996</v>
      </c>
    </row>
    <row r="44" spans="1:13" x14ac:dyDescent="0.25">
      <c r="A44" s="8">
        <v>37</v>
      </c>
      <c r="B44" s="9" t="s">
        <v>1922</v>
      </c>
      <c r="C44" s="10" t="s">
        <v>1923</v>
      </c>
      <c r="D44" s="11" t="s">
        <v>52</v>
      </c>
      <c r="E44" s="12">
        <v>11</v>
      </c>
      <c r="F44" s="13">
        <v>6</v>
      </c>
      <c r="G44" s="14">
        <f t="shared" si="1"/>
        <v>149</v>
      </c>
      <c r="H44" s="15">
        <f t="shared" si="2"/>
        <v>74.5</v>
      </c>
      <c r="I44" s="13">
        <f t="shared" si="0"/>
        <v>40</v>
      </c>
      <c r="J44" s="16" t="str">
        <f t="shared" si="3"/>
        <v>TUNTAS</v>
      </c>
      <c r="K44" s="13"/>
      <c r="M44" s="46">
        <f t="shared" si="4"/>
        <v>7.45</v>
      </c>
    </row>
    <row r="45" spans="1:13" x14ac:dyDescent="0.25">
      <c r="A45" s="8">
        <v>38</v>
      </c>
      <c r="B45" s="9" t="s">
        <v>1924</v>
      </c>
      <c r="C45" s="10" t="s">
        <v>1925</v>
      </c>
      <c r="D45" s="11" t="s">
        <v>118</v>
      </c>
      <c r="E45" s="12">
        <v>25</v>
      </c>
      <c r="F45" s="13">
        <v>25</v>
      </c>
      <c r="G45" s="14">
        <f t="shared" si="1"/>
        <v>50</v>
      </c>
      <c r="H45" s="15">
        <f t="shared" si="2"/>
        <v>25</v>
      </c>
      <c r="I45" s="13">
        <f t="shared" si="0"/>
        <v>52</v>
      </c>
      <c r="J45" s="16" t="str">
        <f t="shared" si="3"/>
        <v>TIDAK TUNTAS</v>
      </c>
      <c r="K45" s="13"/>
      <c r="M45" s="46">
        <f t="shared" si="4"/>
        <v>2.5</v>
      </c>
    </row>
    <row r="46" spans="1:13" x14ac:dyDescent="0.25">
      <c r="A46" s="8">
        <v>39</v>
      </c>
      <c r="B46" s="9" t="s">
        <v>1926</v>
      </c>
      <c r="C46" s="10" t="s">
        <v>1927</v>
      </c>
      <c r="D46" s="11" t="s">
        <v>55</v>
      </c>
      <c r="E46" s="12">
        <v>11</v>
      </c>
      <c r="F46" s="13">
        <v>2</v>
      </c>
      <c r="G46" s="14">
        <f t="shared" si="1"/>
        <v>161</v>
      </c>
      <c r="H46" s="15">
        <f t="shared" si="2"/>
        <v>80.5</v>
      </c>
      <c r="I46" s="13">
        <f t="shared" si="0"/>
        <v>35</v>
      </c>
      <c r="J46" s="16" t="str">
        <f t="shared" si="3"/>
        <v>TUNTAS</v>
      </c>
      <c r="K46" s="13"/>
      <c r="M46" s="46">
        <f t="shared" si="4"/>
        <v>8.0500000000000007</v>
      </c>
    </row>
    <row r="47" spans="1:13" x14ac:dyDescent="0.25">
      <c r="A47" s="8">
        <v>40</v>
      </c>
      <c r="B47" s="9" t="s">
        <v>1928</v>
      </c>
      <c r="C47" s="10" t="s">
        <v>1929</v>
      </c>
      <c r="D47" s="11" t="s">
        <v>55</v>
      </c>
      <c r="E47" s="12">
        <v>9</v>
      </c>
      <c r="F47" s="13">
        <v>3</v>
      </c>
      <c r="G47" s="14">
        <f t="shared" si="1"/>
        <v>164</v>
      </c>
      <c r="H47" s="15">
        <f t="shared" si="2"/>
        <v>82</v>
      </c>
      <c r="I47" s="13">
        <f t="shared" si="0"/>
        <v>29</v>
      </c>
      <c r="J47" s="16" t="str">
        <f t="shared" si="3"/>
        <v>TUNTAS</v>
      </c>
      <c r="K47" s="13"/>
      <c r="M47" s="46">
        <f t="shared" si="4"/>
        <v>8.1999999999999993</v>
      </c>
    </row>
    <row r="48" spans="1:13" x14ac:dyDescent="0.25">
      <c r="A48" s="8">
        <v>41</v>
      </c>
      <c r="B48" s="9" t="s">
        <v>1930</v>
      </c>
      <c r="C48" s="10" t="s">
        <v>1931</v>
      </c>
      <c r="D48" s="11" t="s">
        <v>110</v>
      </c>
      <c r="E48" s="12">
        <v>18</v>
      </c>
      <c r="F48" s="13">
        <v>6</v>
      </c>
      <c r="G48" s="14">
        <f t="shared" si="1"/>
        <v>128</v>
      </c>
      <c r="H48" s="15">
        <f t="shared" si="2"/>
        <v>64</v>
      </c>
      <c r="I48" s="13">
        <f t="shared" si="0"/>
        <v>47</v>
      </c>
      <c r="J48" s="16" t="str">
        <f t="shared" si="3"/>
        <v>TUNTAS</v>
      </c>
      <c r="K48" s="13"/>
      <c r="M48" s="46">
        <f t="shared" si="4"/>
        <v>6.4</v>
      </c>
    </row>
    <row r="49" spans="1:13" x14ac:dyDescent="0.25">
      <c r="A49" s="8">
        <v>42</v>
      </c>
      <c r="B49" s="9" t="s">
        <v>1932</v>
      </c>
      <c r="C49" s="10" t="s">
        <v>1933</v>
      </c>
      <c r="D49" s="11" t="s">
        <v>57</v>
      </c>
      <c r="E49" s="12">
        <v>11</v>
      </c>
      <c r="F49" s="13">
        <v>2</v>
      </c>
      <c r="G49" s="14">
        <f t="shared" si="1"/>
        <v>161</v>
      </c>
      <c r="H49" s="15">
        <f t="shared" si="2"/>
        <v>80.5</v>
      </c>
      <c r="I49" s="13">
        <f t="shared" si="0"/>
        <v>35</v>
      </c>
      <c r="J49" s="16" t="str">
        <f t="shared" si="3"/>
        <v>TUNTAS</v>
      </c>
      <c r="K49" s="13"/>
      <c r="M49" s="46">
        <f t="shared" si="4"/>
        <v>8.0500000000000007</v>
      </c>
    </row>
    <row r="50" spans="1:13" x14ac:dyDescent="0.25">
      <c r="A50" s="8">
        <v>43</v>
      </c>
      <c r="B50" s="9" t="s">
        <v>1934</v>
      </c>
      <c r="C50" s="21" t="s">
        <v>1935</v>
      </c>
      <c r="D50" s="19" t="s">
        <v>58</v>
      </c>
      <c r="E50" s="12">
        <v>3</v>
      </c>
      <c r="F50" s="13">
        <v>0</v>
      </c>
      <c r="G50" s="14">
        <f t="shared" si="1"/>
        <v>191</v>
      </c>
      <c r="H50" s="15">
        <f t="shared" si="2"/>
        <v>95.5</v>
      </c>
      <c r="I50" s="13">
        <f t="shared" si="0"/>
        <v>7</v>
      </c>
      <c r="J50" s="16" t="str">
        <f t="shared" si="3"/>
        <v>TUNTAS</v>
      </c>
      <c r="K50" s="13"/>
      <c r="M50" s="46">
        <f t="shared" si="4"/>
        <v>9.5500000000000007</v>
      </c>
    </row>
    <row r="51" spans="1:13" x14ac:dyDescent="0.25">
      <c r="A51" s="8">
        <v>44</v>
      </c>
      <c r="B51" s="9" t="s">
        <v>1936</v>
      </c>
      <c r="C51" s="17" t="s">
        <v>1937</v>
      </c>
      <c r="D51" s="18" t="s">
        <v>60</v>
      </c>
      <c r="E51" s="12">
        <v>10</v>
      </c>
      <c r="F51" s="13">
        <v>5</v>
      </c>
      <c r="G51" s="14">
        <f t="shared" si="1"/>
        <v>155</v>
      </c>
      <c r="H51" s="15">
        <f t="shared" si="2"/>
        <v>77.5</v>
      </c>
      <c r="I51" s="13">
        <f t="shared" si="0"/>
        <v>38</v>
      </c>
      <c r="J51" s="16" t="str">
        <f t="shared" si="3"/>
        <v>TUNTAS</v>
      </c>
      <c r="K51" s="13"/>
      <c r="M51" s="46">
        <f t="shared" si="4"/>
        <v>7.75</v>
      </c>
    </row>
    <row r="52" spans="1:13" x14ac:dyDescent="0.25">
      <c r="A52" s="8">
        <v>45</v>
      </c>
      <c r="B52" s="9" t="s">
        <v>1938</v>
      </c>
      <c r="C52" s="17" t="s">
        <v>1939</v>
      </c>
      <c r="D52" s="18" t="s">
        <v>60</v>
      </c>
      <c r="E52" s="12">
        <v>16</v>
      </c>
      <c r="F52" s="13">
        <v>9</v>
      </c>
      <c r="G52" s="14">
        <f t="shared" si="1"/>
        <v>125</v>
      </c>
      <c r="H52" s="15">
        <f t="shared" si="2"/>
        <v>62.5</v>
      </c>
      <c r="I52" s="13">
        <f t="shared" si="0"/>
        <v>48</v>
      </c>
      <c r="J52" s="16" t="str">
        <f t="shared" si="3"/>
        <v>TUNTAS</v>
      </c>
      <c r="K52" s="13"/>
      <c r="M52" s="46">
        <f t="shared" si="4"/>
        <v>6.25</v>
      </c>
    </row>
    <row r="53" spans="1:13" x14ac:dyDescent="0.25">
      <c r="A53" s="8">
        <v>46</v>
      </c>
      <c r="B53" s="9" t="s">
        <v>1940</v>
      </c>
      <c r="C53" s="17" t="s">
        <v>1941</v>
      </c>
      <c r="D53" s="18" t="s">
        <v>119</v>
      </c>
      <c r="E53" s="12">
        <v>5</v>
      </c>
      <c r="F53" s="13">
        <v>1</v>
      </c>
      <c r="G53" s="14">
        <f t="shared" si="1"/>
        <v>182</v>
      </c>
      <c r="H53" s="15">
        <f t="shared" si="2"/>
        <v>91</v>
      </c>
      <c r="I53" s="13">
        <f t="shared" si="0"/>
        <v>12</v>
      </c>
      <c r="J53" s="16" t="str">
        <f t="shared" si="3"/>
        <v>TUNTAS</v>
      </c>
      <c r="K53" s="13"/>
      <c r="M53" s="46">
        <f t="shared" si="4"/>
        <v>9.1</v>
      </c>
    </row>
    <row r="54" spans="1:13" x14ac:dyDescent="0.25">
      <c r="A54" s="8">
        <v>47</v>
      </c>
      <c r="B54" s="9" t="s">
        <v>1942</v>
      </c>
      <c r="C54" s="10" t="s">
        <v>1943</v>
      </c>
      <c r="D54" s="11" t="s">
        <v>62</v>
      </c>
      <c r="E54" s="12">
        <v>5</v>
      </c>
      <c r="F54" s="13">
        <v>3</v>
      </c>
      <c r="G54" s="14">
        <f t="shared" si="1"/>
        <v>176</v>
      </c>
      <c r="H54" s="15">
        <f t="shared" si="2"/>
        <v>88</v>
      </c>
      <c r="I54" s="13">
        <f t="shared" si="0"/>
        <v>20</v>
      </c>
      <c r="J54" s="16" t="str">
        <f t="shared" si="3"/>
        <v>TUNTAS</v>
      </c>
      <c r="K54" s="13"/>
      <c r="M54" s="46">
        <f t="shared" si="4"/>
        <v>8.8000000000000007</v>
      </c>
    </row>
    <row r="55" spans="1:13" x14ac:dyDescent="0.25">
      <c r="A55" s="8">
        <v>48</v>
      </c>
      <c r="B55" s="9" t="s">
        <v>1944</v>
      </c>
      <c r="C55" s="10" t="s">
        <v>1945</v>
      </c>
      <c r="D55" s="11" t="s">
        <v>63</v>
      </c>
      <c r="E55" s="12">
        <v>7</v>
      </c>
      <c r="F55" s="13">
        <v>8</v>
      </c>
      <c r="G55" s="14">
        <f t="shared" si="1"/>
        <v>155</v>
      </c>
      <c r="H55" s="15">
        <f t="shared" si="2"/>
        <v>77.5</v>
      </c>
      <c r="I55" s="13">
        <f t="shared" si="0"/>
        <v>38</v>
      </c>
      <c r="J55" s="16" t="str">
        <f t="shared" si="3"/>
        <v>TUNTAS</v>
      </c>
      <c r="K55" s="13"/>
      <c r="M55" s="46">
        <f t="shared" si="4"/>
        <v>7.75</v>
      </c>
    </row>
    <row r="56" spans="1:13" x14ac:dyDescent="0.25">
      <c r="A56" s="8">
        <v>49</v>
      </c>
      <c r="B56" s="9" t="s">
        <v>1946</v>
      </c>
      <c r="C56" s="10" t="s">
        <v>1947</v>
      </c>
      <c r="D56" s="11" t="s">
        <v>65</v>
      </c>
      <c r="E56" s="12">
        <v>9</v>
      </c>
      <c r="F56" s="13">
        <v>2</v>
      </c>
      <c r="G56" s="14">
        <f t="shared" si="1"/>
        <v>167</v>
      </c>
      <c r="H56" s="15">
        <f t="shared" si="2"/>
        <v>83.5</v>
      </c>
      <c r="I56" s="13">
        <f t="shared" si="0"/>
        <v>28</v>
      </c>
      <c r="J56" s="16" t="str">
        <f t="shared" si="3"/>
        <v>TUNTAS</v>
      </c>
      <c r="K56" s="13"/>
      <c r="M56" s="46">
        <f t="shared" si="4"/>
        <v>8.35</v>
      </c>
    </row>
    <row r="57" spans="1:13" x14ac:dyDescent="0.25">
      <c r="A57" s="8">
        <v>50</v>
      </c>
      <c r="B57" s="9" t="s">
        <v>1948</v>
      </c>
      <c r="C57" s="10" t="s">
        <v>1949</v>
      </c>
      <c r="D57" s="11" t="s">
        <v>66</v>
      </c>
      <c r="E57" s="12">
        <v>7</v>
      </c>
      <c r="F57" s="13">
        <v>1</v>
      </c>
      <c r="G57" s="14">
        <f t="shared" si="1"/>
        <v>176</v>
      </c>
      <c r="H57" s="15">
        <f t="shared" si="2"/>
        <v>88</v>
      </c>
      <c r="I57" s="13">
        <f t="shared" si="0"/>
        <v>20</v>
      </c>
      <c r="J57" s="16" t="str">
        <f t="shared" si="3"/>
        <v>TUNTAS</v>
      </c>
      <c r="K57" s="13"/>
      <c r="M57" s="46">
        <f t="shared" si="4"/>
        <v>8.8000000000000007</v>
      </c>
    </row>
    <row r="58" spans="1:13" x14ac:dyDescent="0.25">
      <c r="A58" s="8">
        <v>51</v>
      </c>
      <c r="B58" s="9" t="s">
        <v>1950</v>
      </c>
      <c r="C58" s="10" t="s">
        <v>1951</v>
      </c>
      <c r="D58" s="11" t="s">
        <v>67</v>
      </c>
      <c r="E58" s="12">
        <v>32</v>
      </c>
      <c r="F58" s="13">
        <v>32</v>
      </c>
      <c r="G58" s="14">
        <f t="shared" si="1"/>
        <v>8</v>
      </c>
      <c r="H58" s="15">
        <f t="shared" si="2"/>
        <v>4</v>
      </c>
      <c r="I58" s="13">
        <f t="shared" si="0"/>
        <v>53</v>
      </c>
      <c r="J58" s="16" t="str">
        <f t="shared" si="3"/>
        <v>TIDAK HADIR</v>
      </c>
      <c r="K58" s="13" t="s">
        <v>3265</v>
      </c>
      <c r="M58" s="46">
        <f t="shared" si="4"/>
        <v>0.4</v>
      </c>
    </row>
    <row r="59" spans="1:13" x14ac:dyDescent="0.25">
      <c r="A59" s="8">
        <v>52</v>
      </c>
      <c r="B59" s="9" t="s">
        <v>1952</v>
      </c>
      <c r="C59" s="22" t="s">
        <v>1953</v>
      </c>
      <c r="D59" s="18" t="s">
        <v>68</v>
      </c>
      <c r="E59" s="12">
        <v>6</v>
      </c>
      <c r="F59" s="13">
        <v>0</v>
      </c>
      <c r="G59" s="14">
        <f t="shared" si="1"/>
        <v>182</v>
      </c>
      <c r="H59" s="15">
        <f t="shared" si="2"/>
        <v>91</v>
      </c>
      <c r="I59" s="13">
        <f t="shared" si="0"/>
        <v>12</v>
      </c>
      <c r="J59" s="16" t="str">
        <f t="shared" si="3"/>
        <v>TUNTAS</v>
      </c>
      <c r="K59" s="13"/>
      <c r="M59" s="46">
        <f t="shared" si="4"/>
        <v>9.1</v>
      </c>
    </row>
    <row r="60" spans="1:13" x14ac:dyDescent="0.25">
      <c r="A60" s="8">
        <v>53</v>
      </c>
      <c r="B60" s="9" t="s">
        <v>1954</v>
      </c>
      <c r="C60" s="23" t="s">
        <v>1955</v>
      </c>
      <c r="D60" s="24" t="s">
        <v>69</v>
      </c>
      <c r="E60" s="12">
        <v>32</v>
      </c>
      <c r="F60" s="13">
        <v>32</v>
      </c>
      <c r="G60" s="14">
        <f t="shared" si="1"/>
        <v>8</v>
      </c>
      <c r="H60" s="15">
        <f t="shared" si="2"/>
        <v>4</v>
      </c>
      <c r="I60" s="13">
        <f t="shared" si="0"/>
        <v>53</v>
      </c>
      <c r="J60" s="16" t="str">
        <f t="shared" si="3"/>
        <v>TIDAK HADIR</v>
      </c>
      <c r="K60" s="13" t="s">
        <v>3265</v>
      </c>
      <c r="M60" s="46">
        <f t="shared" si="4"/>
        <v>0.4</v>
      </c>
    </row>
    <row r="61" spans="1:13" x14ac:dyDescent="0.25">
      <c r="A61" s="8">
        <v>54</v>
      </c>
      <c r="B61" s="9" t="s">
        <v>1956</v>
      </c>
      <c r="C61" s="25" t="s">
        <v>1957</v>
      </c>
      <c r="D61" s="18" t="s">
        <v>70</v>
      </c>
      <c r="E61" s="12">
        <v>6</v>
      </c>
      <c r="F61" s="13">
        <v>0</v>
      </c>
      <c r="G61" s="14">
        <f t="shared" si="1"/>
        <v>182</v>
      </c>
      <c r="H61" s="15">
        <f t="shared" si="2"/>
        <v>91</v>
      </c>
      <c r="I61" s="13">
        <f t="shared" si="0"/>
        <v>12</v>
      </c>
      <c r="J61" s="16" t="str">
        <f t="shared" si="3"/>
        <v>TUNTAS</v>
      </c>
      <c r="K61" s="13"/>
      <c r="M61" s="46">
        <f t="shared" si="4"/>
        <v>9.1</v>
      </c>
    </row>
    <row r="62" spans="1:13" x14ac:dyDescent="0.25">
      <c r="A62" s="8">
        <v>55</v>
      </c>
      <c r="B62" s="9" t="s">
        <v>1958</v>
      </c>
      <c r="C62" s="20" t="s">
        <v>1959</v>
      </c>
      <c r="D62" s="18" t="s">
        <v>131</v>
      </c>
      <c r="E62" s="12">
        <v>10</v>
      </c>
      <c r="F62" s="13">
        <v>2</v>
      </c>
      <c r="G62" s="14">
        <f t="shared" ref="G62:G64" si="5">100-E62*3+100-F62*3</f>
        <v>164</v>
      </c>
      <c r="H62" s="15">
        <f t="shared" ref="H62:H64" si="6">G62/2</f>
        <v>82</v>
      </c>
      <c r="I62" s="13">
        <f t="shared" ref="I62:I64" si="7">RANK(G62,$G$8:$G$62)</f>
        <v>29</v>
      </c>
      <c r="J62" s="16" t="str">
        <f t="shared" ref="J62:J64" si="8">IF(H62&lt;4.1,"TIDAK HADIR",IF(H62&lt;7.1,"TIDAK BACA",IF(H62&lt;$J$7,"TIDAK TUNTAS","TUNTAS")))</f>
        <v>TUNTAS</v>
      </c>
      <c r="K62" s="13"/>
      <c r="M62" s="46">
        <f t="shared" si="4"/>
        <v>8.1999999999999993</v>
      </c>
    </row>
    <row r="63" spans="1:13" x14ac:dyDescent="0.25">
      <c r="A63" s="8">
        <v>56</v>
      </c>
      <c r="B63" s="9" t="s">
        <v>1960</v>
      </c>
      <c r="C63" s="25" t="s">
        <v>1961</v>
      </c>
      <c r="D63" s="18" t="s">
        <v>72</v>
      </c>
      <c r="E63" s="12">
        <v>2</v>
      </c>
      <c r="F63" s="13">
        <v>1</v>
      </c>
      <c r="G63" s="14">
        <f t="shared" si="5"/>
        <v>191</v>
      </c>
      <c r="H63" s="15">
        <f t="shared" si="6"/>
        <v>95.5</v>
      </c>
      <c r="I63" s="13">
        <f t="shared" si="7"/>
        <v>7</v>
      </c>
      <c r="J63" s="16" t="str">
        <f t="shared" si="8"/>
        <v>TUNTAS</v>
      </c>
      <c r="K63" s="13"/>
      <c r="M63" s="46">
        <f t="shared" si="4"/>
        <v>9.5500000000000007</v>
      </c>
    </row>
    <row r="64" spans="1:13" x14ac:dyDescent="0.25">
      <c r="A64" s="8">
        <v>57</v>
      </c>
      <c r="B64" s="9" t="s">
        <v>1962</v>
      </c>
      <c r="C64" s="20" t="s">
        <v>1963</v>
      </c>
      <c r="D64" s="18" t="s">
        <v>73</v>
      </c>
      <c r="E64" s="12">
        <v>0</v>
      </c>
      <c r="F64" s="13">
        <v>0</v>
      </c>
      <c r="G64" s="14">
        <f t="shared" si="5"/>
        <v>200</v>
      </c>
      <c r="H64" s="15">
        <f t="shared" si="6"/>
        <v>100</v>
      </c>
      <c r="I64" s="13">
        <f t="shared" si="7"/>
        <v>1</v>
      </c>
      <c r="J64" s="16" t="str">
        <f t="shared" si="8"/>
        <v>TUNTAS</v>
      </c>
      <c r="K64" s="13"/>
      <c r="M64" s="46">
        <f t="shared" si="4"/>
        <v>10</v>
      </c>
    </row>
  </sheetData>
  <mergeCells count="11">
    <mergeCell ref="J5:J6"/>
    <mergeCell ref="K5:K7"/>
    <mergeCell ref="A4:I4"/>
    <mergeCell ref="A5:A7"/>
    <mergeCell ref="B5:B7"/>
    <mergeCell ref="C5:C7"/>
    <mergeCell ref="D5:D7"/>
    <mergeCell ref="E5:F5"/>
    <mergeCell ref="G5:G7"/>
    <mergeCell ref="H5:H7"/>
    <mergeCell ref="I5:I7"/>
  </mergeCells>
  <phoneticPr fontId="13" type="noConversion"/>
  <conditionalFormatting sqref="D8:D10">
    <cfRule type="cellIs" dxfId="252" priority="5" operator="equal">
      <formula>0</formula>
    </cfRule>
  </conditionalFormatting>
  <conditionalFormatting sqref="H8:H64">
    <cfRule type="cellIs" dxfId="251" priority="6" operator="lessThan">
      <formula>60</formula>
    </cfRule>
    <cfRule type="cellIs" dxfId="250" priority="7" operator="lessThan">
      <formula>60</formula>
    </cfRule>
    <cfRule type="cellIs" dxfId="249" priority="8" operator="lessThan">
      <formula>50</formula>
    </cfRule>
  </conditionalFormatting>
  <conditionalFormatting sqref="J8:J64">
    <cfRule type="cellIs" dxfId="248" priority="1" operator="equal">
      <formula>"TIDAK BACA"</formula>
    </cfRule>
    <cfRule type="cellIs" dxfId="247" priority="2" operator="equal">
      <formula>"TIDAK HADIR"</formula>
    </cfRule>
    <cfRule type="cellIs" dxfId="246" priority="3" operator="equal">
      <formula>"TUNTAS"</formula>
    </cfRule>
    <cfRule type="cellIs" dxfId="245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E6FBD2FD-58C0-4971-B9E8-D5CCA7BE284D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FA4A-B310-4352-B440-C0E2ACA5DDEA}">
  <sheetPr>
    <tabColor theme="3" tint="0.59999389629810485"/>
  </sheetPr>
  <dimension ref="A1:M62"/>
  <sheetViews>
    <sheetView topLeftCell="A6" workbookViewId="0">
      <selection activeCell="M62" sqref="M8:M62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2" customFormat="1" ht="19.899999999999999" customHeight="1" x14ac:dyDescent="0.25">
      <c r="A4" s="51" t="s">
        <v>3305</v>
      </c>
      <c r="B4" s="51"/>
      <c r="C4" s="51"/>
      <c r="D4" s="51"/>
      <c r="E4" s="51"/>
      <c r="F4" s="51"/>
      <c r="G4" s="51"/>
      <c r="H4" s="51"/>
      <c r="I4" s="51"/>
      <c r="J4" s="32" t="s">
        <v>3296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1964</v>
      </c>
      <c r="C8" s="10" t="s">
        <v>1965</v>
      </c>
      <c r="D8" s="11" t="s">
        <v>14</v>
      </c>
      <c r="E8" s="12">
        <v>4</v>
      </c>
      <c r="F8" s="13">
        <v>1</v>
      </c>
      <c r="G8" s="14">
        <f>100-E8*3+100-F8*3</f>
        <v>185</v>
      </c>
      <c r="H8" s="15">
        <f>G8/2</f>
        <v>92.5</v>
      </c>
      <c r="I8" s="13">
        <f t="shared" ref="I8:I39" si="0">RANK(G8,$G$8:$G$62)</f>
        <v>24</v>
      </c>
      <c r="J8" s="16" t="str">
        <f>IF(H8&lt;4.1,"TIDAK HADIR",IF(H8&lt;7.1,"TIDAK BACA",IF(H8&lt;$J$7,"TIDAK TUNTAS","TUNTAS")))</f>
        <v>TUNTAS</v>
      </c>
      <c r="K8" s="13"/>
      <c r="M8" s="46">
        <f>H8/10</f>
        <v>9.25</v>
      </c>
    </row>
    <row r="9" spans="1:13" x14ac:dyDescent="0.25">
      <c r="A9" s="8">
        <v>2</v>
      </c>
      <c r="B9" s="9" t="s">
        <v>1966</v>
      </c>
      <c r="C9" s="17" t="s">
        <v>1967</v>
      </c>
      <c r="D9" s="18" t="s">
        <v>14</v>
      </c>
      <c r="E9" s="12">
        <v>0</v>
      </c>
      <c r="F9" s="13">
        <v>0</v>
      </c>
      <c r="G9" s="14">
        <f t="shared" ref="G9:G62" si="1">100-E9*3+100-F9*3</f>
        <v>200</v>
      </c>
      <c r="H9" s="15">
        <f t="shared" ref="H9:H62" si="2">G9/2</f>
        <v>100</v>
      </c>
      <c r="I9" s="13">
        <f t="shared" si="0"/>
        <v>1</v>
      </c>
      <c r="J9" s="16" t="str">
        <f t="shared" ref="J9:J62" si="3">IF(H9&lt;4.1,"TIDAK HADIR",IF(H9&lt;7.1,"TIDAK BACA",IF(H9&lt;$J$7,"TIDAK TUNTAS","TUNTAS")))</f>
        <v>TUNTAS</v>
      </c>
      <c r="K9" s="13"/>
      <c r="M9" s="46">
        <f t="shared" ref="M9:M62" si="4">H9/10</f>
        <v>10</v>
      </c>
    </row>
    <row r="10" spans="1:13" x14ac:dyDescent="0.25">
      <c r="A10" s="8">
        <v>3</v>
      </c>
      <c r="B10" s="9" t="s">
        <v>1968</v>
      </c>
      <c r="C10" s="10" t="s">
        <v>1969</v>
      </c>
      <c r="D10" s="11" t="s">
        <v>16</v>
      </c>
      <c r="E10" s="12">
        <v>32</v>
      </c>
      <c r="F10" s="13">
        <v>32</v>
      </c>
      <c r="G10" s="14">
        <f t="shared" si="1"/>
        <v>8</v>
      </c>
      <c r="H10" s="15">
        <f t="shared" si="2"/>
        <v>4</v>
      </c>
      <c r="I10" s="13">
        <f t="shared" si="0"/>
        <v>51</v>
      </c>
      <c r="J10" s="16" t="str">
        <f t="shared" si="3"/>
        <v>TIDAK HADIR</v>
      </c>
      <c r="K10" s="13" t="s">
        <v>3264</v>
      </c>
      <c r="M10" s="46">
        <f t="shared" si="4"/>
        <v>0.4</v>
      </c>
    </row>
    <row r="11" spans="1:13" x14ac:dyDescent="0.25">
      <c r="A11" s="8">
        <v>4</v>
      </c>
      <c r="B11" s="9" t="s">
        <v>1970</v>
      </c>
      <c r="C11" s="10" t="s">
        <v>1971</v>
      </c>
      <c r="D11" s="11" t="s">
        <v>18</v>
      </c>
      <c r="E11" s="12">
        <v>9</v>
      </c>
      <c r="F11" s="13">
        <v>3</v>
      </c>
      <c r="G11" s="14">
        <f t="shared" si="1"/>
        <v>164</v>
      </c>
      <c r="H11" s="15">
        <f t="shared" si="2"/>
        <v>82</v>
      </c>
      <c r="I11" s="13">
        <f t="shared" si="0"/>
        <v>36</v>
      </c>
      <c r="J11" s="16" t="str">
        <f t="shared" si="3"/>
        <v>TUNTAS</v>
      </c>
      <c r="K11" s="13"/>
      <c r="M11" s="46">
        <f t="shared" si="4"/>
        <v>8.1999999999999993</v>
      </c>
    </row>
    <row r="12" spans="1:13" x14ac:dyDescent="0.25">
      <c r="A12" s="8">
        <v>5</v>
      </c>
      <c r="B12" s="9" t="s">
        <v>1972</v>
      </c>
      <c r="C12" s="17" t="s">
        <v>1973</v>
      </c>
      <c r="D12" s="18" t="s">
        <v>18</v>
      </c>
      <c r="E12" s="12">
        <v>32</v>
      </c>
      <c r="F12" s="13">
        <v>32</v>
      </c>
      <c r="G12" s="14">
        <f t="shared" si="1"/>
        <v>8</v>
      </c>
      <c r="H12" s="15">
        <f t="shared" si="2"/>
        <v>4</v>
      </c>
      <c r="I12" s="13">
        <f t="shared" si="0"/>
        <v>51</v>
      </c>
      <c r="J12" s="16" t="str">
        <f t="shared" si="3"/>
        <v>TIDAK HADIR</v>
      </c>
      <c r="K12" s="13" t="s">
        <v>3265</v>
      </c>
      <c r="M12" s="46">
        <f t="shared" si="4"/>
        <v>0.4</v>
      </c>
    </row>
    <row r="13" spans="1:13" x14ac:dyDescent="0.25">
      <c r="A13" s="8">
        <v>6</v>
      </c>
      <c r="B13" s="9" t="s">
        <v>1974</v>
      </c>
      <c r="C13" s="17" t="s">
        <v>1975</v>
      </c>
      <c r="D13" s="18" t="s">
        <v>19</v>
      </c>
      <c r="E13" s="12">
        <v>2</v>
      </c>
      <c r="F13" s="13">
        <v>0</v>
      </c>
      <c r="G13" s="14">
        <f t="shared" si="1"/>
        <v>194</v>
      </c>
      <c r="H13" s="15">
        <f t="shared" si="2"/>
        <v>97</v>
      </c>
      <c r="I13" s="13">
        <f t="shared" si="0"/>
        <v>9</v>
      </c>
      <c r="J13" s="16" t="str">
        <f t="shared" si="3"/>
        <v>TUNTAS</v>
      </c>
      <c r="K13" s="13"/>
      <c r="M13" s="46">
        <f t="shared" si="4"/>
        <v>9.6999999999999993</v>
      </c>
    </row>
    <row r="14" spans="1:13" x14ac:dyDescent="0.25">
      <c r="A14" s="8">
        <v>7</v>
      </c>
      <c r="B14" s="9" t="s">
        <v>1976</v>
      </c>
      <c r="C14" s="17" t="s">
        <v>1977</v>
      </c>
      <c r="D14" s="18" t="s">
        <v>22</v>
      </c>
      <c r="E14" s="12">
        <v>3</v>
      </c>
      <c r="F14" s="13">
        <v>1</v>
      </c>
      <c r="G14" s="14">
        <f t="shared" si="1"/>
        <v>188</v>
      </c>
      <c r="H14" s="15">
        <f t="shared" si="2"/>
        <v>94</v>
      </c>
      <c r="I14" s="13">
        <f t="shared" si="0"/>
        <v>18</v>
      </c>
      <c r="J14" s="16" t="str">
        <f t="shared" si="3"/>
        <v>TUNTAS</v>
      </c>
      <c r="K14" s="13"/>
      <c r="M14" s="46">
        <f t="shared" si="4"/>
        <v>9.4</v>
      </c>
    </row>
    <row r="15" spans="1:13" x14ac:dyDescent="0.25">
      <c r="A15" s="8">
        <v>8</v>
      </c>
      <c r="B15" s="9" t="s">
        <v>1978</v>
      </c>
      <c r="C15" s="10" t="s">
        <v>1979</v>
      </c>
      <c r="D15" s="11" t="s">
        <v>22</v>
      </c>
      <c r="E15" s="12">
        <v>8</v>
      </c>
      <c r="F15" s="13">
        <v>1</v>
      </c>
      <c r="G15" s="14">
        <f t="shared" si="1"/>
        <v>173</v>
      </c>
      <c r="H15" s="15">
        <f t="shared" si="2"/>
        <v>86.5</v>
      </c>
      <c r="I15" s="13">
        <f t="shared" si="0"/>
        <v>33</v>
      </c>
      <c r="J15" s="16" t="str">
        <f t="shared" si="3"/>
        <v>TUNTAS</v>
      </c>
      <c r="K15" s="13"/>
      <c r="M15" s="46">
        <f t="shared" si="4"/>
        <v>8.65</v>
      </c>
    </row>
    <row r="16" spans="1:13" x14ac:dyDescent="0.25">
      <c r="A16" s="8">
        <v>9</v>
      </c>
      <c r="B16" s="9" t="s">
        <v>1980</v>
      </c>
      <c r="C16" s="20" t="s">
        <v>1981</v>
      </c>
      <c r="D16" s="18" t="s">
        <v>23</v>
      </c>
      <c r="E16" s="12">
        <v>2</v>
      </c>
      <c r="F16" s="13">
        <v>2</v>
      </c>
      <c r="G16" s="14">
        <f t="shared" si="1"/>
        <v>188</v>
      </c>
      <c r="H16" s="15">
        <f t="shared" si="2"/>
        <v>94</v>
      </c>
      <c r="I16" s="13">
        <f t="shared" si="0"/>
        <v>18</v>
      </c>
      <c r="J16" s="16" t="str">
        <f t="shared" si="3"/>
        <v>TUNTAS</v>
      </c>
      <c r="K16" s="13"/>
      <c r="M16" s="46">
        <f t="shared" si="4"/>
        <v>9.4</v>
      </c>
    </row>
    <row r="17" spans="1:13" x14ac:dyDescent="0.25">
      <c r="A17" s="8">
        <v>10</v>
      </c>
      <c r="B17" s="9" t="s">
        <v>1982</v>
      </c>
      <c r="C17" s="10" t="s">
        <v>1983</v>
      </c>
      <c r="D17" s="11" t="s">
        <v>145</v>
      </c>
      <c r="E17" s="12">
        <v>3</v>
      </c>
      <c r="F17" s="13">
        <v>1</v>
      </c>
      <c r="G17" s="14">
        <f t="shared" si="1"/>
        <v>188</v>
      </c>
      <c r="H17" s="15">
        <f t="shared" si="2"/>
        <v>94</v>
      </c>
      <c r="I17" s="13">
        <f t="shared" si="0"/>
        <v>18</v>
      </c>
      <c r="J17" s="16" t="str">
        <f t="shared" si="3"/>
        <v>TUNTAS</v>
      </c>
      <c r="K17" s="13"/>
      <c r="M17" s="46">
        <f t="shared" si="4"/>
        <v>9.4</v>
      </c>
    </row>
    <row r="18" spans="1:13" x14ac:dyDescent="0.25">
      <c r="A18" s="8">
        <v>11</v>
      </c>
      <c r="B18" s="9" t="s">
        <v>1984</v>
      </c>
      <c r="C18" s="10" t="s">
        <v>1985</v>
      </c>
      <c r="D18" s="11" t="s">
        <v>124</v>
      </c>
      <c r="E18" s="12">
        <v>1</v>
      </c>
      <c r="F18" s="13">
        <v>1</v>
      </c>
      <c r="G18" s="14">
        <f t="shared" si="1"/>
        <v>194</v>
      </c>
      <c r="H18" s="15">
        <f t="shared" si="2"/>
        <v>97</v>
      </c>
      <c r="I18" s="13">
        <f t="shared" si="0"/>
        <v>9</v>
      </c>
      <c r="J18" s="16" t="str">
        <f t="shared" si="3"/>
        <v>TUNTAS</v>
      </c>
      <c r="K18" s="13"/>
      <c r="M18" s="46">
        <f t="shared" si="4"/>
        <v>9.6999999999999993</v>
      </c>
    </row>
    <row r="19" spans="1:13" x14ac:dyDescent="0.25">
      <c r="A19" s="8">
        <v>12</v>
      </c>
      <c r="B19" s="9" t="s">
        <v>1986</v>
      </c>
      <c r="C19" s="10" t="s">
        <v>1987</v>
      </c>
      <c r="D19" s="11" t="s">
        <v>27</v>
      </c>
      <c r="E19" s="12">
        <v>1</v>
      </c>
      <c r="F19" s="13">
        <v>1</v>
      </c>
      <c r="G19" s="14">
        <f t="shared" si="1"/>
        <v>194</v>
      </c>
      <c r="H19" s="15">
        <f t="shared" si="2"/>
        <v>97</v>
      </c>
      <c r="I19" s="13">
        <f t="shared" si="0"/>
        <v>9</v>
      </c>
      <c r="J19" s="16" t="str">
        <f t="shared" si="3"/>
        <v>TUNTAS</v>
      </c>
      <c r="K19" s="13"/>
      <c r="M19" s="46">
        <f t="shared" si="4"/>
        <v>9.6999999999999993</v>
      </c>
    </row>
    <row r="20" spans="1:13" x14ac:dyDescent="0.25">
      <c r="A20" s="8">
        <v>13</v>
      </c>
      <c r="B20" s="9" t="s">
        <v>1988</v>
      </c>
      <c r="C20" s="10" t="s">
        <v>1989</v>
      </c>
      <c r="D20" s="18" t="s">
        <v>28</v>
      </c>
      <c r="E20" s="12">
        <v>3</v>
      </c>
      <c r="F20" s="13">
        <v>0</v>
      </c>
      <c r="G20" s="14">
        <f t="shared" si="1"/>
        <v>191</v>
      </c>
      <c r="H20" s="15">
        <f t="shared" si="2"/>
        <v>95.5</v>
      </c>
      <c r="I20" s="13">
        <f t="shared" si="0"/>
        <v>14</v>
      </c>
      <c r="J20" s="16" t="str">
        <f t="shared" si="3"/>
        <v>TUNTAS</v>
      </c>
      <c r="K20" s="13"/>
      <c r="M20" s="46">
        <f t="shared" si="4"/>
        <v>9.5500000000000007</v>
      </c>
    </row>
    <row r="21" spans="1:13" x14ac:dyDescent="0.25">
      <c r="A21" s="8">
        <v>14</v>
      </c>
      <c r="B21" s="9" t="s">
        <v>1990</v>
      </c>
      <c r="C21" s="10" t="s">
        <v>1991</v>
      </c>
      <c r="D21" s="11" t="s">
        <v>28</v>
      </c>
      <c r="E21" s="12">
        <v>5</v>
      </c>
      <c r="F21" s="13">
        <v>0</v>
      </c>
      <c r="G21" s="14">
        <f t="shared" si="1"/>
        <v>185</v>
      </c>
      <c r="H21" s="15">
        <f t="shared" si="2"/>
        <v>92.5</v>
      </c>
      <c r="I21" s="13">
        <f t="shared" si="0"/>
        <v>24</v>
      </c>
      <c r="J21" s="16" t="str">
        <f t="shared" si="3"/>
        <v>TUNTAS</v>
      </c>
      <c r="K21" s="13"/>
      <c r="M21" s="46">
        <f t="shared" si="4"/>
        <v>9.25</v>
      </c>
    </row>
    <row r="22" spans="1:13" x14ac:dyDescent="0.25">
      <c r="A22" s="8">
        <v>15</v>
      </c>
      <c r="B22" s="9" t="s">
        <v>1992</v>
      </c>
      <c r="C22" s="21" t="s">
        <v>1993</v>
      </c>
      <c r="D22" s="19" t="s">
        <v>29</v>
      </c>
      <c r="E22" s="12">
        <v>2</v>
      </c>
      <c r="F22" s="13">
        <v>4</v>
      </c>
      <c r="G22" s="14">
        <f t="shared" si="1"/>
        <v>182</v>
      </c>
      <c r="H22" s="15">
        <f t="shared" si="2"/>
        <v>91</v>
      </c>
      <c r="I22" s="13">
        <f t="shared" si="0"/>
        <v>26</v>
      </c>
      <c r="J22" s="16" t="str">
        <f t="shared" si="3"/>
        <v>TUNTAS</v>
      </c>
      <c r="K22" s="13"/>
      <c r="M22" s="46">
        <f t="shared" si="4"/>
        <v>9.1</v>
      </c>
    </row>
    <row r="23" spans="1:13" x14ac:dyDescent="0.25">
      <c r="A23" s="8">
        <v>16</v>
      </c>
      <c r="B23" s="9" t="s">
        <v>1994</v>
      </c>
      <c r="C23" s="21" t="s">
        <v>1995</v>
      </c>
      <c r="D23" s="19" t="s">
        <v>133</v>
      </c>
      <c r="E23" s="12">
        <v>4</v>
      </c>
      <c r="F23" s="13">
        <v>0</v>
      </c>
      <c r="G23" s="14">
        <f t="shared" si="1"/>
        <v>188</v>
      </c>
      <c r="H23" s="15">
        <f t="shared" si="2"/>
        <v>94</v>
      </c>
      <c r="I23" s="13">
        <f t="shared" si="0"/>
        <v>18</v>
      </c>
      <c r="J23" s="16" t="str">
        <f t="shared" si="3"/>
        <v>TUNTAS</v>
      </c>
      <c r="K23" s="13"/>
      <c r="M23" s="46">
        <f t="shared" si="4"/>
        <v>9.4</v>
      </c>
    </row>
    <row r="24" spans="1:13" x14ac:dyDescent="0.25">
      <c r="A24" s="8">
        <v>17</v>
      </c>
      <c r="B24" s="9" t="s">
        <v>1996</v>
      </c>
      <c r="C24" s="10" t="s">
        <v>1997</v>
      </c>
      <c r="D24" s="11" t="s">
        <v>125</v>
      </c>
      <c r="E24" s="12">
        <v>0</v>
      </c>
      <c r="F24" s="13">
        <v>0</v>
      </c>
      <c r="G24" s="14">
        <f t="shared" si="1"/>
        <v>200</v>
      </c>
      <c r="H24" s="15">
        <f t="shared" si="2"/>
        <v>100</v>
      </c>
      <c r="I24" s="13">
        <f t="shared" si="0"/>
        <v>1</v>
      </c>
      <c r="J24" s="16" t="str">
        <f t="shared" si="3"/>
        <v>TUNTAS</v>
      </c>
      <c r="K24" s="13"/>
      <c r="M24" s="46">
        <f t="shared" si="4"/>
        <v>10</v>
      </c>
    </row>
    <row r="25" spans="1:13" x14ac:dyDescent="0.25">
      <c r="A25" s="8">
        <v>18</v>
      </c>
      <c r="B25" s="9" t="s">
        <v>1998</v>
      </c>
      <c r="C25" s="20" t="s">
        <v>1999</v>
      </c>
      <c r="D25" s="18" t="s">
        <v>34</v>
      </c>
      <c r="E25" s="12">
        <v>7</v>
      </c>
      <c r="F25" s="13">
        <v>5</v>
      </c>
      <c r="G25" s="14">
        <f t="shared" si="1"/>
        <v>164</v>
      </c>
      <c r="H25" s="15">
        <f t="shared" si="2"/>
        <v>82</v>
      </c>
      <c r="I25" s="13">
        <f t="shared" si="0"/>
        <v>36</v>
      </c>
      <c r="J25" s="16" t="str">
        <f t="shared" si="3"/>
        <v>TUNTAS</v>
      </c>
      <c r="K25" s="13"/>
      <c r="M25" s="46">
        <f t="shared" si="4"/>
        <v>8.1999999999999993</v>
      </c>
    </row>
    <row r="26" spans="1:13" x14ac:dyDescent="0.25">
      <c r="A26" s="8">
        <v>19</v>
      </c>
      <c r="B26" s="9" t="s">
        <v>2000</v>
      </c>
      <c r="C26" s="10" t="s">
        <v>2001</v>
      </c>
      <c r="D26" s="11" t="s">
        <v>35</v>
      </c>
      <c r="E26" s="12">
        <v>7</v>
      </c>
      <c r="F26" s="13">
        <v>8</v>
      </c>
      <c r="G26" s="14">
        <f t="shared" si="1"/>
        <v>155</v>
      </c>
      <c r="H26" s="15">
        <f t="shared" si="2"/>
        <v>77.5</v>
      </c>
      <c r="I26" s="13">
        <f t="shared" si="0"/>
        <v>43</v>
      </c>
      <c r="J26" s="16" t="str">
        <f t="shared" si="3"/>
        <v>TUNTAS</v>
      </c>
      <c r="K26" s="13"/>
      <c r="M26" s="46">
        <f t="shared" si="4"/>
        <v>7.75</v>
      </c>
    </row>
    <row r="27" spans="1:13" x14ac:dyDescent="0.25">
      <c r="A27" s="8">
        <v>20</v>
      </c>
      <c r="B27" s="9" t="s">
        <v>2002</v>
      </c>
      <c r="C27" s="10" t="s">
        <v>2003</v>
      </c>
      <c r="D27" s="11" t="s">
        <v>93</v>
      </c>
      <c r="E27" s="12">
        <v>2</v>
      </c>
      <c r="F27" s="13">
        <v>1</v>
      </c>
      <c r="G27" s="14">
        <f t="shared" si="1"/>
        <v>191</v>
      </c>
      <c r="H27" s="15">
        <f t="shared" si="2"/>
        <v>95.5</v>
      </c>
      <c r="I27" s="13">
        <f t="shared" si="0"/>
        <v>14</v>
      </c>
      <c r="J27" s="16" t="str">
        <f t="shared" si="3"/>
        <v>TUNTAS</v>
      </c>
      <c r="K27" s="13"/>
      <c r="M27" s="46">
        <f t="shared" si="4"/>
        <v>9.5500000000000007</v>
      </c>
    </row>
    <row r="28" spans="1:13" x14ac:dyDescent="0.25">
      <c r="A28" s="8">
        <v>21</v>
      </c>
      <c r="B28" s="9" t="s">
        <v>2004</v>
      </c>
      <c r="C28" s="10" t="s">
        <v>2005</v>
      </c>
      <c r="D28" s="11" t="s">
        <v>36</v>
      </c>
      <c r="E28" s="12">
        <v>1</v>
      </c>
      <c r="F28" s="13">
        <v>0</v>
      </c>
      <c r="G28" s="14">
        <f t="shared" si="1"/>
        <v>197</v>
      </c>
      <c r="H28" s="15">
        <f t="shared" si="2"/>
        <v>98.5</v>
      </c>
      <c r="I28" s="13">
        <f t="shared" si="0"/>
        <v>4</v>
      </c>
      <c r="J28" s="16" t="str">
        <f t="shared" si="3"/>
        <v>TUNTAS</v>
      </c>
      <c r="K28" s="13"/>
      <c r="M28" s="46">
        <f t="shared" si="4"/>
        <v>9.85</v>
      </c>
    </row>
    <row r="29" spans="1:13" x14ac:dyDescent="0.25">
      <c r="A29" s="8">
        <v>22</v>
      </c>
      <c r="B29" s="9" t="s">
        <v>2006</v>
      </c>
      <c r="C29" s="10" t="s">
        <v>2007</v>
      </c>
      <c r="D29" s="11" t="s">
        <v>37</v>
      </c>
      <c r="E29" s="12">
        <v>7</v>
      </c>
      <c r="F29" s="13">
        <v>6</v>
      </c>
      <c r="G29" s="14">
        <f t="shared" si="1"/>
        <v>161</v>
      </c>
      <c r="H29" s="15">
        <f t="shared" si="2"/>
        <v>80.5</v>
      </c>
      <c r="I29" s="13">
        <f t="shared" si="0"/>
        <v>39</v>
      </c>
      <c r="J29" s="16" t="str">
        <f t="shared" si="3"/>
        <v>TUNTAS</v>
      </c>
      <c r="K29" s="13"/>
      <c r="M29" s="46">
        <f t="shared" si="4"/>
        <v>8.0500000000000007</v>
      </c>
    </row>
    <row r="30" spans="1:13" x14ac:dyDescent="0.25">
      <c r="A30" s="8">
        <v>23</v>
      </c>
      <c r="B30" s="9" t="s">
        <v>2008</v>
      </c>
      <c r="C30" s="10" t="s">
        <v>2009</v>
      </c>
      <c r="D30" s="11" t="s">
        <v>39</v>
      </c>
      <c r="E30" s="12">
        <v>8</v>
      </c>
      <c r="F30" s="13">
        <v>6</v>
      </c>
      <c r="G30" s="14">
        <f t="shared" si="1"/>
        <v>158</v>
      </c>
      <c r="H30" s="15">
        <f t="shared" si="2"/>
        <v>79</v>
      </c>
      <c r="I30" s="13">
        <f t="shared" si="0"/>
        <v>41</v>
      </c>
      <c r="J30" s="16" t="str">
        <f t="shared" si="3"/>
        <v>TUNTAS</v>
      </c>
      <c r="K30" s="13"/>
      <c r="M30" s="46">
        <f t="shared" si="4"/>
        <v>7.9</v>
      </c>
    </row>
    <row r="31" spans="1:13" x14ac:dyDescent="0.25">
      <c r="A31" s="8">
        <v>24</v>
      </c>
      <c r="B31" s="9" t="s">
        <v>2010</v>
      </c>
      <c r="C31" s="10" t="s">
        <v>2011</v>
      </c>
      <c r="D31" s="11" t="s">
        <v>40</v>
      </c>
      <c r="E31" s="12">
        <v>3</v>
      </c>
      <c r="F31" s="13">
        <v>0</v>
      </c>
      <c r="G31" s="14">
        <f t="shared" si="1"/>
        <v>191</v>
      </c>
      <c r="H31" s="15">
        <f t="shared" si="2"/>
        <v>95.5</v>
      </c>
      <c r="I31" s="13">
        <f t="shared" si="0"/>
        <v>14</v>
      </c>
      <c r="J31" s="16" t="str">
        <f t="shared" si="3"/>
        <v>TUNTAS</v>
      </c>
      <c r="K31" s="13"/>
      <c r="M31" s="46">
        <f t="shared" si="4"/>
        <v>9.5500000000000007</v>
      </c>
    </row>
    <row r="32" spans="1:13" x14ac:dyDescent="0.25">
      <c r="A32" s="8">
        <v>25</v>
      </c>
      <c r="B32" s="9" t="s">
        <v>2012</v>
      </c>
      <c r="C32" s="10" t="s">
        <v>2013</v>
      </c>
      <c r="D32" s="11" t="s">
        <v>141</v>
      </c>
      <c r="E32" s="12">
        <v>15</v>
      </c>
      <c r="F32" s="13">
        <v>1</v>
      </c>
      <c r="G32" s="14">
        <f t="shared" si="1"/>
        <v>152</v>
      </c>
      <c r="H32" s="15">
        <f t="shared" si="2"/>
        <v>76</v>
      </c>
      <c r="I32" s="13">
        <f t="shared" si="0"/>
        <v>46</v>
      </c>
      <c r="J32" s="16" t="str">
        <f t="shared" si="3"/>
        <v>TUNTAS</v>
      </c>
      <c r="K32" s="13"/>
      <c r="M32" s="46">
        <f t="shared" si="4"/>
        <v>7.6</v>
      </c>
    </row>
    <row r="33" spans="1:13" x14ac:dyDescent="0.25">
      <c r="A33" s="8">
        <v>26</v>
      </c>
      <c r="B33" s="9" t="s">
        <v>2014</v>
      </c>
      <c r="C33" s="21" t="s">
        <v>2015</v>
      </c>
      <c r="D33" s="19" t="s">
        <v>106</v>
      </c>
      <c r="E33" s="12">
        <v>6</v>
      </c>
      <c r="F33" s="13">
        <v>0</v>
      </c>
      <c r="G33" s="14">
        <f t="shared" si="1"/>
        <v>182</v>
      </c>
      <c r="H33" s="15">
        <f t="shared" si="2"/>
        <v>91</v>
      </c>
      <c r="I33" s="13">
        <f t="shared" si="0"/>
        <v>26</v>
      </c>
      <c r="J33" s="16" t="str">
        <f t="shared" si="3"/>
        <v>TUNTAS</v>
      </c>
      <c r="K33" s="13"/>
      <c r="M33" s="46">
        <f t="shared" si="4"/>
        <v>9.1</v>
      </c>
    </row>
    <row r="34" spans="1:13" x14ac:dyDescent="0.25">
      <c r="A34" s="8">
        <v>27</v>
      </c>
      <c r="B34" s="9" t="s">
        <v>2016</v>
      </c>
      <c r="C34" s="10" t="s">
        <v>2017</v>
      </c>
      <c r="D34" s="11" t="s">
        <v>83</v>
      </c>
      <c r="E34" s="12">
        <v>10</v>
      </c>
      <c r="F34" s="13">
        <v>5</v>
      </c>
      <c r="G34" s="14">
        <f t="shared" si="1"/>
        <v>155</v>
      </c>
      <c r="H34" s="15">
        <f t="shared" si="2"/>
        <v>77.5</v>
      </c>
      <c r="I34" s="13">
        <f t="shared" si="0"/>
        <v>43</v>
      </c>
      <c r="J34" s="16" t="str">
        <f t="shared" si="3"/>
        <v>TUNTAS</v>
      </c>
      <c r="K34" s="13"/>
      <c r="M34" s="46">
        <f t="shared" si="4"/>
        <v>7.75</v>
      </c>
    </row>
    <row r="35" spans="1:13" x14ac:dyDescent="0.25">
      <c r="A35" s="8">
        <v>28</v>
      </c>
      <c r="B35" s="9" t="s">
        <v>2018</v>
      </c>
      <c r="C35" s="10" t="s">
        <v>2019</v>
      </c>
      <c r="D35" s="11" t="s">
        <v>45</v>
      </c>
      <c r="E35" s="12">
        <v>20</v>
      </c>
      <c r="F35" s="13">
        <v>4</v>
      </c>
      <c r="G35" s="14">
        <f t="shared" si="1"/>
        <v>128</v>
      </c>
      <c r="H35" s="15">
        <f t="shared" si="2"/>
        <v>64</v>
      </c>
      <c r="I35" s="13">
        <f t="shared" si="0"/>
        <v>49</v>
      </c>
      <c r="J35" s="16" t="str">
        <f t="shared" si="3"/>
        <v>TUNTAS</v>
      </c>
      <c r="K35" s="13"/>
      <c r="M35" s="46">
        <f t="shared" si="4"/>
        <v>6.4</v>
      </c>
    </row>
    <row r="36" spans="1:13" x14ac:dyDescent="0.25">
      <c r="A36" s="8">
        <v>29</v>
      </c>
      <c r="B36" s="9" t="s">
        <v>2020</v>
      </c>
      <c r="C36" s="10" t="s">
        <v>2021</v>
      </c>
      <c r="D36" s="11" t="s">
        <v>45</v>
      </c>
      <c r="E36" s="12">
        <v>10</v>
      </c>
      <c r="F36" s="13">
        <v>10</v>
      </c>
      <c r="G36" s="14">
        <f t="shared" si="1"/>
        <v>140</v>
      </c>
      <c r="H36" s="15">
        <f t="shared" si="2"/>
        <v>70</v>
      </c>
      <c r="I36" s="13">
        <f t="shared" si="0"/>
        <v>48</v>
      </c>
      <c r="J36" s="16" t="str">
        <f t="shared" si="3"/>
        <v>TUNTAS</v>
      </c>
      <c r="K36" s="13"/>
      <c r="M36" s="46">
        <f t="shared" si="4"/>
        <v>7</v>
      </c>
    </row>
    <row r="37" spans="1:13" x14ac:dyDescent="0.25">
      <c r="A37" s="8">
        <v>30</v>
      </c>
      <c r="B37" s="9" t="s">
        <v>2022</v>
      </c>
      <c r="C37" s="17" t="s">
        <v>2023</v>
      </c>
      <c r="D37" s="18" t="s">
        <v>116</v>
      </c>
      <c r="E37" s="12">
        <v>1</v>
      </c>
      <c r="F37" s="13">
        <v>0</v>
      </c>
      <c r="G37" s="14">
        <f t="shared" si="1"/>
        <v>197</v>
      </c>
      <c r="H37" s="15">
        <f t="shared" si="2"/>
        <v>98.5</v>
      </c>
      <c r="I37" s="13">
        <f t="shared" si="0"/>
        <v>4</v>
      </c>
      <c r="J37" s="16" t="str">
        <f t="shared" si="3"/>
        <v>TUNTAS</v>
      </c>
      <c r="K37" s="13"/>
      <c r="M37" s="46">
        <f t="shared" si="4"/>
        <v>9.85</v>
      </c>
    </row>
    <row r="38" spans="1:13" x14ac:dyDescent="0.25">
      <c r="A38" s="8">
        <v>31</v>
      </c>
      <c r="B38" s="9" t="s">
        <v>2024</v>
      </c>
      <c r="C38" s="10" t="s">
        <v>2025</v>
      </c>
      <c r="D38" s="11" t="s">
        <v>48</v>
      </c>
      <c r="E38" s="12">
        <v>7</v>
      </c>
      <c r="F38" s="13">
        <v>1</v>
      </c>
      <c r="G38" s="14">
        <f t="shared" si="1"/>
        <v>176</v>
      </c>
      <c r="H38" s="15">
        <f t="shared" si="2"/>
        <v>88</v>
      </c>
      <c r="I38" s="13">
        <f t="shared" si="0"/>
        <v>31</v>
      </c>
      <c r="J38" s="16" t="str">
        <f t="shared" si="3"/>
        <v>TUNTAS</v>
      </c>
      <c r="K38" s="13"/>
      <c r="M38" s="46">
        <f t="shared" si="4"/>
        <v>8.8000000000000007</v>
      </c>
    </row>
    <row r="39" spans="1:13" x14ac:dyDescent="0.25">
      <c r="A39" s="8">
        <v>32</v>
      </c>
      <c r="B39" s="9" t="s">
        <v>2026</v>
      </c>
      <c r="C39" s="10" t="s">
        <v>2027</v>
      </c>
      <c r="D39" s="11" t="s">
        <v>108</v>
      </c>
      <c r="E39" s="12">
        <v>4</v>
      </c>
      <c r="F39" s="13">
        <v>0</v>
      </c>
      <c r="G39" s="14">
        <f t="shared" si="1"/>
        <v>188</v>
      </c>
      <c r="H39" s="15">
        <f t="shared" si="2"/>
        <v>94</v>
      </c>
      <c r="I39" s="13">
        <f t="shared" si="0"/>
        <v>18</v>
      </c>
      <c r="J39" s="16" t="str">
        <f t="shared" si="3"/>
        <v>TUNTAS</v>
      </c>
      <c r="K39" s="13"/>
      <c r="M39" s="46">
        <f t="shared" si="4"/>
        <v>9.4</v>
      </c>
    </row>
    <row r="40" spans="1:13" x14ac:dyDescent="0.25">
      <c r="A40" s="8">
        <v>33</v>
      </c>
      <c r="B40" s="9" t="s">
        <v>2028</v>
      </c>
      <c r="C40" s="10" t="s">
        <v>2029</v>
      </c>
      <c r="D40" s="11" t="s">
        <v>50</v>
      </c>
      <c r="E40" s="12">
        <v>32</v>
      </c>
      <c r="F40" s="13">
        <v>32</v>
      </c>
      <c r="G40" s="14">
        <f t="shared" si="1"/>
        <v>8</v>
      </c>
      <c r="H40" s="15">
        <f t="shared" si="2"/>
        <v>4</v>
      </c>
      <c r="I40" s="13">
        <f t="shared" ref="I40:I62" si="5">RANK(G40,$G$8:$G$62)</f>
        <v>51</v>
      </c>
      <c r="J40" s="16" t="str">
        <f t="shared" si="3"/>
        <v>TIDAK HADIR</v>
      </c>
      <c r="K40" s="13" t="s">
        <v>3265</v>
      </c>
      <c r="M40" s="46">
        <f t="shared" si="4"/>
        <v>0.4</v>
      </c>
    </row>
    <row r="41" spans="1:13" x14ac:dyDescent="0.25">
      <c r="A41" s="8">
        <v>34</v>
      </c>
      <c r="B41" s="9" t="s">
        <v>2030</v>
      </c>
      <c r="C41" s="10" t="s">
        <v>2031</v>
      </c>
      <c r="D41" s="11" t="s">
        <v>52</v>
      </c>
      <c r="E41" s="12">
        <v>2</v>
      </c>
      <c r="F41" s="13">
        <v>0</v>
      </c>
      <c r="G41" s="14">
        <f t="shared" si="1"/>
        <v>194</v>
      </c>
      <c r="H41" s="15">
        <f t="shared" si="2"/>
        <v>97</v>
      </c>
      <c r="I41" s="13">
        <f t="shared" si="5"/>
        <v>9</v>
      </c>
      <c r="J41" s="16" t="str">
        <f t="shared" si="3"/>
        <v>TUNTAS</v>
      </c>
      <c r="K41" s="13"/>
      <c r="M41" s="46">
        <f t="shared" si="4"/>
        <v>9.6999999999999993</v>
      </c>
    </row>
    <row r="42" spans="1:13" x14ac:dyDescent="0.25">
      <c r="A42" s="8">
        <v>35</v>
      </c>
      <c r="B42" s="9" t="s">
        <v>2032</v>
      </c>
      <c r="C42" s="10" t="s">
        <v>2033</v>
      </c>
      <c r="D42" s="11" t="s">
        <v>52</v>
      </c>
      <c r="E42" s="12">
        <v>8</v>
      </c>
      <c r="F42" s="13">
        <v>1</v>
      </c>
      <c r="G42" s="14">
        <f t="shared" si="1"/>
        <v>173</v>
      </c>
      <c r="H42" s="15">
        <f t="shared" si="2"/>
        <v>86.5</v>
      </c>
      <c r="I42" s="13">
        <f t="shared" si="5"/>
        <v>33</v>
      </c>
      <c r="J42" s="16" t="str">
        <f t="shared" si="3"/>
        <v>TUNTAS</v>
      </c>
      <c r="K42" s="13"/>
      <c r="M42" s="46">
        <f t="shared" si="4"/>
        <v>8.65</v>
      </c>
    </row>
    <row r="43" spans="1:13" x14ac:dyDescent="0.25">
      <c r="A43" s="8">
        <v>36</v>
      </c>
      <c r="B43" s="9" t="s">
        <v>2034</v>
      </c>
      <c r="C43" s="10" t="s">
        <v>2035</v>
      </c>
      <c r="D43" s="11" t="s">
        <v>54</v>
      </c>
      <c r="E43" s="12">
        <v>13</v>
      </c>
      <c r="F43" s="13">
        <v>0</v>
      </c>
      <c r="G43" s="14">
        <f t="shared" si="1"/>
        <v>161</v>
      </c>
      <c r="H43" s="15">
        <f t="shared" si="2"/>
        <v>80.5</v>
      </c>
      <c r="I43" s="13">
        <f t="shared" si="5"/>
        <v>39</v>
      </c>
      <c r="J43" s="16" t="str">
        <f t="shared" si="3"/>
        <v>TUNTAS</v>
      </c>
      <c r="K43" s="13"/>
      <c r="M43" s="46">
        <f t="shared" si="4"/>
        <v>8.0500000000000007</v>
      </c>
    </row>
    <row r="44" spans="1:13" x14ac:dyDescent="0.25">
      <c r="A44" s="8">
        <v>37</v>
      </c>
      <c r="B44" s="9" t="s">
        <v>2036</v>
      </c>
      <c r="C44" s="10" t="s">
        <v>2037</v>
      </c>
      <c r="D44" s="11" t="s">
        <v>55</v>
      </c>
      <c r="E44" s="12">
        <v>10</v>
      </c>
      <c r="F44" s="13">
        <v>4</v>
      </c>
      <c r="G44" s="14">
        <f t="shared" si="1"/>
        <v>158</v>
      </c>
      <c r="H44" s="15">
        <f t="shared" si="2"/>
        <v>79</v>
      </c>
      <c r="I44" s="13">
        <f t="shared" si="5"/>
        <v>41</v>
      </c>
      <c r="J44" s="16" t="str">
        <f t="shared" si="3"/>
        <v>TUNTAS</v>
      </c>
      <c r="K44" s="13"/>
      <c r="M44" s="46">
        <f t="shared" si="4"/>
        <v>7.9</v>
      </c>
    </row>
    <row r="45" spans="1:13" x14ac:dyDescent="0.25">
      <c r="A45" s="8">
        <v>38</v>
      </c>
      <c r="B45" s="9" t="s">
        <v>2038</v>
      </c>
      <c r="C45" s="10" t="s">
        <v>2039</v>
      </c>
      <c r="D45" s="11" t="s">
        <v>94</v>
      </c>
      <c r="E45" s="12">
        <v>32</v>
      </c>
      <c r="F45" s="13">
        <v>32</v>
      </c>
      <c r="G45" s="14">
        <f t="shared" si="1"/>
        <v>8</v>
      </c>
      <c r="H45" s="15">
        <f t="shared" si="2"/>
        <v>4</v>
      </c>
      <c r="I45" s="13">
        <f t="shared" si="5"/>
        <v>51</v>
      </c>
      <c r="J45" s="16" t="str">
        <f t="shared" si="3"/>
        <v>TIDAK HADIR</v>
      </c>
      <c r="K45" s="13" t="s">
        <v>3265</v>
      </c>
      <c r="M45" s="46">
        <f t="shared" si="4"/>
        <v>0.4</v>
      </c>
    </row>
    <row r="46" spans="1:13" x14ac:dyDescent="0.25">
      <c r="A46" s="8">
        <v>39</v>
      </c>
      <c r="B46" s="9" t="s">
        <v>2040</v>
      </c>
      <c r="C46" s="40" t="s">
        <v>2041</v>
      </c>
      <c r="D46" s="11" t="s">
        <v>138</v>
      </c>
      <c r="E46" s="12"/>
      <c r="F46" s="13"/>
      <c r="G46" s="14">
        <f t="shared" si="1"/>
        <v>200</v>
      </c>
      <c r="H46" s="15">
        <f t="shared" si="2"/>
        <v>100</v>
      </c>
      <c r="I46" s="13">
        <f t="shared" si="5"/>
        <v>1</v>
      </c>
      <c r="J46" s="16" t="str">
        <f t="shared" si="3"/>
        <v>TUNTAS</v>
      </c>
      <c r="K46" s="13"/>
      <c r="M46" s="46">
        <f t="shared" si="4"/>
        <v>10</v>
      </c>
    </row>
    <row r="47" spans="1:13" x14ac:dyDescent="0.25">
      <c r="A47" s="8">
        <v>40</v>
      </c>
      <c r="B47" s="9" t="s">
        <v>2042</v>
      </c>
      <c r="C47" s="10" t="s">
        <v>2043</v>
      </c>
      <c r="D47" s="11" t="s">
        <v>57</v>
      </c>
      <c r="E47" s="12">
        <v>6</v>
      </c>
      <c r="F47" s="13">
        <v>0</v>
      </c>
      <c r="G47" s="14">
        <f t="shared" si="1"/>
        <v>182</v>
      </c>
      <c r="H47" s="15">
        <f t="shared" si="2"/>
        <v>91</v>
      </c>
      <c r="I47" s="13">
        <f t="shared" si="5"/>
        <v>26</v>
      </c>
      <c r="J47" s="16" t="str">
        <f t="shared" si="3"/>
        <v>TUNTAS</v>
      </c>
      <c r="K47" s="13"/>
      <c r="M47" s="46">
        <f t="shared" si="4"/>
        <v>9.1</v>
      </c>
    </row>
    <row r="48" spans="1:13" x14ac:dyDescent="0.25">
      <c r="A48" s="8">
        <v>41</v>
      </c>
      <c r="B48" s="9" t="s">
        <v>2044</v>
      </c>
      <c r="C48" s="10" t="s">
        <v>2045</v>
      </c>
      <c r="D48" s="11" t="s">
        <v>2046</v>
      </c>
      <c r="E48" s="12">
        <v>8</v>
      </c>
      <c r="F48" s="13">
        <v>0</v>
      </c>
      <c r="G48" s="14">
        <f t="shared" si="1"/>
        <v>176</v>
      </c>
      <c r="H48" s="15">
        <f t="shared" si="2"/>
        <v>88</v>
      </c>
      <c r="I48" s="13">
        <f t="shared" si="5"/>
        <v>31</v>
      </c>
      <c r="J48" s="16" t="str">
        <f t="shared" si="3"/>
        <v>TUNTAS</v>
      </c>
      <c r="K48" s="13"/>
      <c r="M48" s="46">
        <f t="shared" si="4"/>
        <v>8.8000000000000007</v>
      </c>
    </row>
    <row r="49" spans="1:13" x14ac:dyDescent="0.25">
      <c r="A49" s="8">
        <v>42</v>
      </c>
      <c r="B49" s="9" t="s">
        <v>2047</v>
      </c>
      <c r="C49" s="10" t="s">
        <v>2048</v>
      </c>
      <c r="D49" s="11" t="s">
        <v>60</v>
      </c>
      <c r="E49" s="12">
        <v>21</v>
      </c>
      <c r="F49" s="13">
        <v>5</v>
      </c>
      <c r="G49" s="14">
        <f t="shared" si="1"/>
        <v>122</v>
      </c>
      <c r="H49" s="15">
        <f t="shared" si="2"/>
        <v>61</v>
      </c>
      <c r="I49" s="13">
        <f t="shared" si="5"/>
        <v>50</v>
      </c>
      <c r="J49" s="16" t="str">
        <f t="shared" si="3"/>
        <v>TUNTAS</v>
      </c>
      <c r="K49" s="13"/>
      <c r="M49" s="46">
        <f t="shared" si="4"/>
        <v>6.1</v>
      </c>
    </row>
    <row r="50" spans="1:13" x14ac:dyDescent="0.25">
      <c r="A50" s="8">
        <v>43</v>
      </c>
      <c r="B50" s="9" t="s">
        <v>2049</v>
      </c>
      <c r="C50" s="21" t="s">
        <v>2050</v>
      </c>
      <c r="D50" s="19" t="s">
        <v>119</v>
      </c>
      <c r="E50" s="12">
        <v>32</v>
      </c>
      <c r="F50" s="13">
        <v>32</v>
      </c>
      <c r="G50" s="14">
        <f t="shared" si="1"/>
        <v>8</v>
      </c>
      <c r="H50" s="15">
        <f t="shared" si="2"/>
        <v>4</v>
      </c>
      <c r="I50" s="13">
        <f t="shared" si="5"/>
        <v>51</v>
      </c>
      <c r="J50" s="16" t="str">
        <f t="shared" si="3"/>
        <v>TIDAK HADIR</v>
      </c>
      <c r="K50" s="13" t="s">
        <v>3265</v>
      </c>
      <c r="M50" s="46">
        <f t="shared" si="4"/>
        <v>0.4</v>
      </c>
    </row>
    <row r="51" spans="1:13" x14ac:dyDescent="0.25">
      <c r="A51" s="8">
        <v>44</v>
      </c>
      <c r="B51" s="9" t="s">
        <v>2051</v>
      </c>
      <c r="C51" s="17" t="s">
        <v>2052</v>
      </c>
      <c r="D51" s="18" t="s">
        <v>119</v>
      </c>
      <c r="E51" s="12">
        <v>5</v>
      </c>
      <c r="F51" s="13">
        <v>1</v>
      </c>
      <c r="G51" s="14">
        <f t="shared" si="1"/>
        <v>182</v>
      </c>
      <c r="H51" s="15">
        <f t="shared" si="2"/>
        <v>91</v>
      </c>
      <c r="I51" s="13">
        <f t="shared" si="5"/>
        <v>26</v>
      </c>
      <c r="J51" s="16" t="str">
        <f t="shared" si="3"/>
        <v>TUNTAS</v>
      </c>
      <c r="K51" s="13"/>
      <c r="M51" s="46">
        <f t="shared" si="4"/>
        <v>9.1</v>
      </c>
    </row>
    <row r="52" spans="1:13" x14ac:dyDescent="0.25">
      <c r="A52" s="8">
        <v>45</v>
      </c>
      <c r="B52" s="9" t="s">
        <v>2053</v>
      </c>
      <c r="C52" s="17" t="s">
        <v>2054</v>
      </c>
      <c r="D52" s="18" t="s">
        <v>86</v>
      </c>
      <c r="E52" s="12">
        <v>15</v>
      </c>
      <c r="F52" s="13">
        <v>3</v>
      </c>
      <c r="G52" s="14">
        <f t="shared" si="1"/>
        <v>146</v>
      </c>
      <c r="H52" s="15">
        <f t="shared" si="2"/>
        <v>73</v>
      </c>
      <c r="I52" s="13">
        <f t="shared" si="5"/>
        <v>47</v>
      </c>
      <c r="J52" s="16" t="str">
        <f t="shared" si="3"/>
        <v>TUNTAS</v>
      </c>
      <c r="K52" s="13"/>
      <c r="M52" s="46">
        <f t="shared" si="4"/>
        <v>7.3</v>
      </c>
    </row>
    <row r="53" spans="1:13" x14ac:dyDescent="0.25">
      <c r="A53" s="8">
        <v>46</v>
      </c>
      <c r="B53" s="9" t="s">
        <v>2055</v>
      </c>
      <c r="C53" s="17" t="s">
        <v>2056</v>
      </c>
      <c r="D53" s="18" t="s">
        <v>63</v>
      </c>
      <c r="E53" s="12">
        <v>3</v>
      </c>
      <c r="F53" s="13">
        <v>1</v>
      </c>
      <c r="G53" s="14">
        <f t="shared" si="1"/>
        <v>188</v>
      </c>
      <c r="H53" s="15">
        <f t="shared" si="2"/>
        <v>94</v>
      </c>
      <c r="I53" s="13">
        <f t="shared" si="5"/>
        <v>18</v>
      </c>
      <c r="J53" s="16" t="str">
        <f t="shared" si="3"/>
        <v>TUNTAS</v>
      </c>
      <c r="K53" s="13"/>
      <c r="M53" s="46">
        <f t="shared" si="4"/>
        <v>9.4</v>
      </c>
    </row>
    <row r="54" spans="1:13" x14ac:dyDescent="0.25">
      <c r="A54" s="8">
        <v>47</v>
      </c>
      <c r="B54" s="9" t="s">
        <v>2057</v>
      </c>
      <c r="C54" s="10" t="s">
        <v>2058</v>
      </c>
      <c r="D54" s="11" t="s">
        <v>88</v>
      </c>
      <c r="E54" s="12">
        <v>1</v>
      </c>
      <c r="F54" s="13">
        <v>0</v>
      </c>
      <c r="G54" s="14">
        <f t="shared" si="1"/>
        <v>197</v>
      </c>
      <c r="H54" s="15">
        <f t="shared" si="2"/>
        <v>98.5</v>
      </c>
      <c r="I54" s="13">
        <f t="shared" si="5"/>
        <v>4</v>
      </c>
      <c r="J54" s="16" t="str">
        <f t="shared" si="3"/>
        <v>TUNTAS</v>
      </c>
      <c r="K54" s="13"/>
      <c r="M54" s="46">
        <f t="shared" si="4"/>
        <v>9.85</v>
      </c>
    </row>
    <row r="55" spans="1:13" x14ac:dyDescent="0.25">
      <c r="A55" s="8">
        <v>48</v>
      </c>
      <c r="B55" s="9" t="s">
        <v>2059</v>
      </c>
      <c r="C55" s="10" t="s">
        <v>2060</v>
      </c>
      <c r="D55" s="11" t="s">
        <v>66</v>
      </c>
      <c r="E55" s="12">
        <v>0</v>
      </c>
      <c r="F55" s="13">
        <v>1</v>
      </c>
      <c r="G55" s="14">
        <f t="shared" si="1"/>
        <v>197</v>
      </c>
      <c r="H55" s="15">
        <f t="shared" si="2"/>
        <v>98.5</v>
      </c>
      <c r="I55" s="13">
        <f t="shared" si="5"/>
        <v>4</v>
      </c>
      <c r="J55" s="16" t="str">
        <f t="shared" si="3"/>
        <v>TUNTAS</v>
      </c>
      <c r="K55" s="13"/>
      <c r="M55" s="46">
        <f t="shared" si="4"/>
        <v>9.85</v>
      </c>
    </row>
    <row r="56" spans="1:13" x14ac:dyDescent="0.25">
      <c r="A56" s="8">
        <v>49</v>
      </c>
      <c r="B56" s="9" t="s">
        <v>2061</v>
      </c>
      <c r="C56" s="10" t="s">
        <v>2062</v>
      </c>
      <c r="D56" s="11" t="s">
        <v>120</v>
      </c>
      <c r="E56" s="12">
        <v>2</v>
      </c>
      <c r="F56" s="13">
        <v>0</v>
      </c>
      <c r="G56" s="14">
        <f t="shared" si="1"/>
        <v>194</v>
      </c>
      <c r="H56" s="15">
        <f t="shared" si="2"/>
        <v>97</v>
      </c>
      <c r="I56" s="13">
        <f t="shared" si="5"/>
        <v>9</v>
      </c>
      <c r="J56" s="16" t="str">
        <f t="shared" si="3"/>
        <v>TUNTAS</v>
      </c>
      <c r="K56" s="13"/>
      <c r="M56" s="46">
        <f t="shared" si="4"/>
        <v>9.6999999999999993</v>
      </c>
    </row>
    <row r="57" spans="1:13" x14ac:dyDescent="0.25">
      <c r="A57" s="8">
        <v>50</v>
      </c>
      <c r="B57" s="9" t="s">
        <v>2063</v>
      </c>
      <c r="C57" s="10" t="s">
        <v>2064</v>
      </c>
      <c r="D57" s="11" t="s">
        <v>68</v>
      </c>
      <c r="E57" s="12">
        <v>3</v>
      </c>
      <c r="F57" s="13">
        <v>0</v>
      </c>
      <c r="G57" s="14">
        <f t="shared" si="1"/>
        <v>191</v>
      </c>
      <c r="H57" s="15">
        <f t="shared" si="2"/>
        <v>95.5</v>
      </c>
      <c r="I57" s="13">
        <f t="shared" si="5"/>
        <v>14</v>
      </c>
      <c r="J57" s="16" t="str">
        <f t="shared" si="3"/>
        <v>TUNTAS</v>
      </c>
      <c r="K57" s="13"/>
      <c r="M57" s="46">
        <f t="shared" si="4"/>
        <v>9.5500000000000007</v>
      </c>
    </row>
    <row r="58" spans="1:13" x14ac:dyDescent="0.25">
      <c r="A58" s="8">
        <v>51</v>
      </c>
      <c r="B58" s="9" t="s">
        <v>2065</v>
      </c>
      <c r="C58" s="10" t="s">
        <v>2066</v>
      </c>
      <c r="D58" s="11" t="s">
        <v>69</v>
      </c>
      <c r="E58" s="12">
        <v>5</v>
      </c>
      <c r="F58" s="13">
        <v>1</v>
      </c>
      <c r="G58" s="14">
        <f t="shared" si="1"/>
        <v>182</v>
      </c>
      <c r="H58" s="15">
        <f t="shared" si="2"/>
        <v>91</v>
      </c>
      <c r="I58" s="13">
        <f t="shared" si="5"/>
        <v>26</v>
      </c>
      <c r="J58" s="16" t="str">
        <f t="shared" si="3"/>
        <v>TUNTAS</v>
      </c>
      <c r="K58" s="13"/>
      <c r="M58" s="46">
        <f t="shared" si="4"/>
        <v>9.1</v>
      </c>
    </row>
    <row r="59" spans="1:13" x14ac:dyDescent="0.25">
      <c r="A59" s="8">
        <v>52</v>
      </c>
      <c r="B59" s="9" t="s">
        <v>2067</v>
      </c>
      <c r="C59" s="22" t="s">
        <v>2068</v>
      </c>
      <c r="D59" s="18" t="s">
        <v>70</v>
      </c>
      <c r="E59" s="12">
        <v>10</v>
      </c>
      <c r="F59" s="13">
        <v>2</v>
      </c>
      <c r="G59" s="14">
        <f t="shared" si="1"/>
        <v>164</v>
      </c>
      <c r="H59" s="15">
        <f t="shared" si="2"/>
        <v>82</v>
      </c>
      <c r="I59" s="13">
        <f t="shared" si="5"/>
        <v>36</v>
      </c>
      <c r="J59" s="16" t="str">
        <f t="shared" si="3"/>
        <v>TUNTAS</v>
      </c>
      <c r="K59" s="13"/>
      <c r="M59" s="46">
        <f t="shared" si="4"/>
        <v>8.1999999999999993</v>
      </c>
    </row>
    <row r="60" spans="1:13" x14ac:dyDescent="0.25">
      <c r="A60" s="8">
        <v>53</v>
      </c>
      <c r="B60" s="9" t="s">
        <v>2069</v>
      </c>
      <c r="C60" s="23" t="s">
        <v>2070</v>
      </c>
      <c r="D60" s="24" t="s">
        <v>131</v>
      </c>
      <c r="E60" s="12">
        <v>12</v>
      </c>
      <c r="F60" s="13">
        <v>3</v>
      </c>
      <c r="G60" s="14">
        <f t="shared" si="1"/>
        <v>155</v>
      </c>
      <c r="H60" s="15">
        <f t="shared" si="2"/>
        <v>77.5</v>
      </c>
      <c r="I60" s="13">
        <f t="shared" si="5"/>
        <v>43</v>
      </c>
      <c r="J60" s="16" t="str">
        <f t="shared" si="3"/>
        <v>TUNTAS</v>
      </c>
      <c r="K60" s="13"/>
      <c r="M60" s="46">
        <f t="shared" si="4"/>
        <v>7.75</v>
      </c>
    </row>
    <row r="61" spans="1:13" x14ac:dyDescent="0.25">
      <c r="A61" s="8">
        <v>54</v>
      </c>
      <c r="B61" s="9" t="s">
        <v>2071</v>
      </c>
      <c r="C61" s="25" t="s">
        <v>2072</v>
      </c>
      <c r="D61" s="18" t="s">
        <v>72</v>
      </c>
      <c r="E61" s="12">
        <v>0</v>
      </c>
      <c r="F61" s="13">
        <v>1</v>
      </c>
      <c r="G61" s="14">
        <f t="shared" si="1"/>
        <v>197</v>
      </c>
      <c r="H61" s="15">
        <f t="shared" si="2"/>
        <v>98.5</v>
      </c>
      <c r="I61" s="13">
        <f t="shared" si="5"/>
        <v>4</v>
      </c>
      <c r="J61" s="16" t="str">
        <f t="shared" si="3"/>
        <v>TUNTAS</v>
      </c>
      <c r="K61" s="13"/>
      <c r="M61" s="46">
        <f t="shared" si="4"/>
        <v>9.85</v>
      </c>
    </row>
    <row r="62" spans="1:13" x14ac:dyDescent="0.25">
      <c r="A62" s="8">
        <v>55</v>
      </c>
      <c r="B62" s="9" t="s">
        <v>2073</v>
      </c>
      <c r="C62" s="20" t="s">
        <v>2074</v>
      </c>
      <c r="D62" s="18" t="s">
        <v>89</v>
      </c>
      <c r="E62" s="12">
        <v>7</v>
      </c>
      <c r="F62" s="13">
        <v>3</v>
      </c>
      <c r="G62" s="14">
        <f t="shared" si="1"/>
        <v>170</v>
      </c>
      <c r="H62" s="15">
        <f t="shared" si="2"/>
        <v>85</v>
      </c>
      <c r="I62" s="13">
        <f t="shared" si="5"/>
        <v>35</v>
      </c>
      <c r="J62" s="16" t="str">
        <f t="shared" si="3"/>
        <v>TUNTAS</v>
      </c>
      <c r="K62" s="13"/>
      <c r="M62" s="46">
        <f t="shared" si="4"/>
        <v>8.5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conditionalFormatting sqref="D8:D10">
    <cfRule type="cellIs" dxfId="244" priority="9" operator="equal">
      <formula>0</formula>
    </cfRule>
  </conditionalFormatting>
  <conditionalFormatting sqref="H8:H62">
    <cfRule type="cellIs" dxfId="243" priority="10" operator="lessThan">
      <formula>60</formula>
    </cfRule>
    <cfRule type="cellIs" dxfId="242" priority="11" operator="lessThan">
      <formula>60</formula>
    </cfRule>
    <cfRule type="cellIs" dxfId="241" priority="14" operator="lessThan">
      <formula>50</formula>
    </cfRule>
  </conditionalFormatting>
  <conditionalFormatting sqref="J8:J62">
    <cfRule type="cellIs" dxfId="240" priority="1" operator="equal">
      <formula>"TIDAK BACA"</formula>
    </cfRule>
    <cfRule type="cellIs" dxfId="239" priority="2" operator="equal">
      <formula>"TIDAK HADIR"</formula>
    </cfRule>
    <cfRule type="cellIs" dxfId="238" priority="3" operator="equal">
      <formula>"TUNTAS"</formula>
    </cfRule>
    <cfRule type="cellIs" dxfId="237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A8A4A56E-A1C3-4767-8456-5D784443054C}"/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4D5E-30CB-44D7-8835-3ADED2155BE4}">
  <sheetPr>
    <tabColor theme="3" tint="0.59999389629810485"/>
  </sheetPr>
  <dimension ref="A1:M57"/>
  <sheetViews>
    <sheetView workbookViewId="0">
      <pane ySplit="7" topLeftCell="A8" activePane="bottomLeft" state="frozen"/>
      <selection activeCell="Q16" sqref="Q16"/>
      <selection pane="bottomLeft" activeCell="M57" sqref="M8:M57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3" customFormat="1" ht="19.899999999999999" customHeight="1" x14ac:dyDescent="0.25">
      <c r="A4" s="51" t="s">
        <v>3312</v>
      </c>
      <c r="B4" s="51"/>
      <c r="C4" s="51"/>
      <c r="D4" s="51"/>
      <c r="E4" s="51"/>
      <c r="F4" s="51"/>
      <c r="G4" s="51"/>
      <c r="H4" s="51"/>
      <c r="I4" s="51"/>
      <c r="J4" s="33" t="s">
        <v>3300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2075</v>
      </c>
      <c r="C8" s="10" t="s">
        <v>2076</v>
      </c>
      <c r="D8" s="11" t="s">
        <v>16</v>
      </c>
      <c r="E8" s="12">
        <v>1</v>
      </c>
      <c r="F8" s="13">
        <v>2</v>
      </c>
      <c r="G8" s="14">
        <f>100-E8*3+100-F8*3</f>
        <v>191</v>
      </c>
      <c r="H8" s="15">
        <f>G8/2</f>
        <v>95.5</v>
      </c>
      <c r="I8" s="13">
        <f t="shared" ref="I8:I56" si="0">RANK(G8,$G$8:$G$57)</f>
        <v>10</v>
      </c>
      <c r="J8" s="16" t="str">
        <f>IF(H8&lt;4.1,"TIDAK HADIR",IF(H8&lt;7.1,"TIDAK BACA",IF(H8&lt;$J$7,"TIDAK TUNTAS","TUNTAS")))</f>
        <v>TUNTAS</v>
      </c>
      <c r="K8" s="13"/>
      <c r="M8" s="46">
        <f>H8/10</f>
        <v>9.5500000000000007</v>
      </c>
    </row>
    <row r="9" spans="1:13" x14ac:dyDescent="0.25">
      <c r="A9" s="8">
        <v>2</v>
      </c>
      <c r="B9" s="9" t="s">
        <v>2077</v>
      </c>
      <c r="C9" s="17" t="s">
        <v>2078</v>
      </c>
      <c r="D9" s="18" t="s">
        <v>18</v>
      </c>
      <c r="E9" s="12">
        <v>2</v>
      </c>
      <c r="F9" s="13">
        <v>1</v>
      </c>
      <c r="G9" s="14">
        <f t="shared" ref="G9:G46" si="1">100-E9*3+100-F9*3</f>
        <v>191</v>
      </c>
      <c r="H9" s="15">
        <f t="shared" ref="H9:H46" si="2">G9/2</f>
        <v>95.5</v>
      </c>
      <c r="I9" s="13">
        <f t="shared" si="0"/>
        <v>10</v>
      </c>
      <c r="J9" s="16" t="str">
        <f t="shared" ref="J9:J57" si="3">IF(H9&lt;4.1,"TIDAK HADIR",IF(H9&lt;7.1,"TIDAK BACA",IF(H9&lt;$J$7,"TIDAK TUNTAS","TUNTAS")))</f>
        <v>TUNTAS</v>
      </c>
      <c r="K9" s="13"/>
      <c r="M9" s="46">
        <f t="shared" ref="M9:M57" si="4">H9/10</f>
        <v>9.5500000000000007</v>
      </c>
    </row>
    <row r="10" spans="1:13" x14ac:dyDescent="0.25">
      <c r="A10" s="8">
        <v>3</v>
      </c>
      <c r="B10" s="9" t="s">
        <v>2079</v>
      </c>
      <c r="C10" s="10" t="s">
        <v>2080</v>
      </c>
      <c r="D10" s="11" t="s">
        <v>18</v>
      </c>
      <c r="E10" s="12">
        <v>32</v>
      </c>
      <c r="F10" s="13">
        <v>32</v>
      </c>
      <c r="G10" s="14">
        <f t="shared" si="1"/>
        <v>8</v>
      </c>
      <c r="H10" s="15">
        <f t="shared" si="2"/>
        <v>4</v>
      </c>
      <c r="I10" s="13">
        <f t="shared" si="0"/>
        <v>46</v>
      </c>
      <c r="J10" s="16" t="str">
        <f t="shared" si="3"/>
        <v>TIDAK HADIR</v>
      </c>
      <c r="K10" s="13" t="s">
        <v>3265</v>
      </c>
      <c r="M10" s="46">
        <f t="shared" si="4"/>
        <v>0.4</v>
      </c>
    </row>
    <row r="11" spans="1:13" x14ac:dyDescent="0.25">
      <c r="A11" s="8">
        <v>4</v>
      </c>
      <c r="B11" s="9" t="s">
        <v>2081</v>
      </c>
      <c r="C11" s="10" t="s">
        <v>804</v>
      </c>
      <c r="D11" s="11" t="s">
        <v>19</v>
      </c>
      <c r="E11" s="12">
        <v>8</v>
      </c>
      <c r="F11" s="13">
        <v>1</v>
      </c>
      <c r="G11" s="14">
        <f t="shared" si="1"/>
        <v>173</v>
      </c>
      <c r="H11" s="15">
        <f t="shared" si="2"/>
        <v>86.5</v>
      </c>
      <c r="I11" s="13">
        <f t="shared" si="0"/>
        <v>27</v>
      </c>
      <c r="J11" s="16" t="str">
        <f t="shared" si="3"/>
        <v>TUNTAS</v>
      </c>
      <c r="K11" s="13"/>
      <c r="M11" s="46">
        <f t="shared" si="4"/>
        <v>8.65</v>
      </c>
    </row>
    <row r="12" spans="1:13" x14ac:dyDescent="0.25">
      <c r="A12" s="8">
        <v>5</v>
      </c>
      <c r="B12" s="9" t="s">
        <v>2082</v>
      </c>
      <c r="C12" s="17" t="s">
        <v>2083</v>
      </c>
      <c r="D12" s="18" t="s">
        <v>90</v>
      </c>
      <c r="E12" s="12">
        <v>12</v>
      </c>
      <c r="F12" s="13">
        <v>6</v>
      </c>
      <c r="G12" s="14">
        <f t="shared" si="1"/>
        <v>146</v>
      </c>
      <c r="H12" s="15">
        <f t="shared" si="2"/>
        <v>73</v>
      </c>
      <c r="I12" s="13">
        <f t="shared" si="0"/>
        <v>39</v>
      </c>
      <c r="J12" s="16" t="str">
        <f t="shared" si="3"/>
        <v>TUNTAS</v>
      </c>
      <c r="K12" s="13"/>
      <c r="M12" s="46">
        <f t="shared" si="4"/>
        <v>7.3</v>
      </c>
    </row>
    <row r="13" spans="1:13" x14ac:dyDescent="0.25">
      <c r="A13" s="8">
        <v>6</v>
      </c>
      <c r="B13" s="9" t="s">
        <v>2084</v>
      </c>
      <c r="C13" s="17" t="s">
        <v>2085</v>
      </c>
      <c r="D13" s="18" t="s">
        <v>22</v>
      </c>
      <c r="E13" s="12">
        <v>9</v>
      </c>
      <c r="F13" s="13">
        <v>0</v>
      </c>
      <c r="G13" s="14">
        <f t="shared" si="1"/>
        <v>173</v>
      </c>
      <c r="H13" s="15">
        <f t="shared" si="2"/>
        <v>86.5</v>
      </c>
      <c r="I13" s="13">
        <f t="shared" si="0"/>
        <v>27</v>
      </c>
      <c r="J13" s="16" t="str">
        <f t="shared" si="3"/>
        <v>TUNTAS</v>
      </c>
      <c r="K13" s="13"/>
      <c r="M13" s="46">
        <f t="shared" si="4"/>
        <v>8.65</v>
      </c>
    </row>
    <row r="14" spans="1:13" x14ac:dyDescent="0.25">
      <c r="A14" s="8">
        <v>7</v>
      </c>
      <c r="B14" s="9" t="s">
        <v>2086</v>
      </c>
      <c r="C14" s="17" t="s">
        <v>2087</v>
      </c>
      <c r="D14" s="18" t="s">
        <v>22</v>
      </c>
      <c r="E14" s="12">
        <v>9</v>
      </c>
      <c r="F14" s="13">
        <v>0</v>
      </c>
      <c r="G14" s="14">
        <f t="shared" si="1"/>
        <v>173</v>
      </c>
      <c r="H14" s="15">
        <f t="shared" si="2"/>
        <v>86.5</v>
      </c>
      <c r="I14" s="13">
        <f t="shared" si="0"/>
        <v>27</v>
      </c>
      <c r="J14" s="16" t="str">
        <f t="shared" si="3"/>
        <v>TUNTAS</v>
      </c>
      <c r="K14" s="13"/>
      <c r="M14" s="46">
        <f t="shared" si="4"/>
        <v>8.65</v>
      </c>
    </row>
    <row r="15" spans="1:13" x14ac:dyDescent="0.25">
      <c r="A15" s="8">
        <v>8</v>
      </c>
      <c r="B15" s="9" t="s">
        <v>2088</v>
      </c>
      <c r="C15" s="10" t="s">
        <v>2089</v>
      </c>
      <c r="D15" s="11" t="s">
        <v>24</v>
      </c>
      <c r="E15" s="12">
        <v>32</v>
      </c>
      <c r="F15" s="13">
        <v>32</v>
      </c>
      <c r="G15" s="14">
        <f t="shared" si="1"/>
        <v>8</v>
      </c>
      <c r="H15" s="15">
        <f t="shared" si="2"/>
        <v>4</v>
      </c>
      <c r="I15" s="13">
        <f t="shared" si="0"/>
        <v>46</v>
      </c>
      <c r="J15" s="16" t="str">
        <f t="shared" si="3"/>
        <v>TIDAK HADIR</v>
      </c>
      <c r="K15" s="13" t="s">
        <v>3265</v>
      </c>
      <c r="M15" s="46">
        <f t="shared" si="4"/>
        <v>0.4</v>
      </c>
    </row>
    <row r="16" spans="1:13" x14ac:dyDescent="0.25">
      <c r="A16" s="8">
        <v>9</v>
      </c>
      <c r="B16" s="9" t="s">
        <v>2090</v>
      </c>
      <c r="C16" s="20" t="s">
        <v>2091</v>
      </c>
      <c r="D16" s="18" t="s">
        <v>24</v>
      </c>
      <c r="E16" s="12">
        <v>0</v>
      </c>
      <c r="F16" s="13">
        <v>0</v>
      </c>
      <c r="G16" s="14">
        <f t="shared" si="1"/>
        <v>200</v>
      </c>
      <c r="H16" s="15">
        <f t="shared" si="2"/>
        <v>100</v>
      </c>
      <c r="I16" s="13">
        <f t="shared" si="0"/>
        <v>1</v>
      </c>
      <c r="J16" s="16" t="str">
        <f t="shared" si="3"/>
        <v>TUNTAS</v>
      </c>
      <c r="K16" s="13"/>
      <c r="M16" s="46">
        <f t="shared" si="4"/>
        <v>10</v>
      </c>
    </row>
    <row r="17" spans="1:13" x14ac:dyDescent="0.25">
      <c r="A17" s="8">
        <v>10</v>
      </c>
      <c r="B17" s="9" t="s">
        <v>2092</v>
      </c>
      <c r="C17" s="10" t="s">
        <v>2093</v>
      </c>
      <c r="D17" s="11" t="s">
        <v>145</v>
      </c>
      <c r="E17" s="12">
        <v>12</v>
      </c>
      <c r="F17" s="13">
        <v>4</v>
      </c>
      <c r="G17" s="14">
        <f t="shared" si="1"/>
        <v>152</v>
      </c>
      <c r="H17" s="15">
        <f t="shared" si="2"/>
        <v>76</v>
      </c>
      <c r="I17" s="13">
        <f t="shared" si="0"/>
        <v>37</v>
      </c>
      <c r="J17" s="16" t="str">
        <f t="shared" si="3"/>
        <v>TUNTAS</v>
      </c>
      <c r="K17" s="13"/>
      <c r="M17" s="46">
        <f t="shared" si="4"/>
        <v>7.6</v>
      </c>
    </row>
    <row r="18" spans="1:13" x14ac:dyDescent="0.25">
      <c r="A18" s="8">
        <v>11</v>
      </c>
      <c r="B18" s="9" t="s">
        <v>2094</v>
      </c>
      <c r="C18" s="10" t="s">
        <v>2095</v>
      </c>
      <c r="D18" s="11" t="s">
        <v>26</v>
      </c>
      <c r="E18" s="12">
        <v>13</v>
      </c>
      <c r="F18" s="13">
        <v>2</v>
      </c>
      <c r="G18" s="14">
        <f t="shared" si="1"/>
        <v>155</v>
      </c>
      <c r="H18" s="15">
        <f t="shared" si="2"/>
        <v>77.5</v>
      </c>
      <c r="I18" s="13">
        <f t="shared" si="0"/>
        <v>36</v>
      </c>
      <c r="J18" s="16" t="str">
        <f t="shared" si="3"/>
        <v>TUNTAS</v>
      </c>
      <c r="K18" s="13"/>
      <c r="M18" s="46">
        <f t="shared" si="4"/>
        <v>7.75</v>
      </c>
    </row>
    <row r="19" spans="1:13" x14ac:dyDescent="0.25">
      <c r="A19" s="8">
        <v>12</v>
      </c>
      <c r="B19" s="9" t="s">
        <v>2096</v>
      </c>
      <c r="C19" s="10" t="s">
        <v>2097</v>
      </c>
      <c r="D19" s="11" t="s">
        <v>27</v>
      </c>
      <c r="E19" s="12">
        <v>5</v>
      </c>
      <c r="F19" s="13">
        <v>0</v>
      </c>
      <c r="G19" s="14">
        <f t="shared" si="1"/>
        <v>185</v>
      </c>
      <c r="H19" s="15">
        <f t="shared" si="2"/>
        <v>92.5</v>
      </c>
      <c r="I19" s="13">
        <f t="shared" si="0"/>
        <v>18</v>
      </c>
      <c r="J19" s="16" t="str">
        <f t="shared" si="3"/>
        <v>TUNTAS</v>
      </c>
      <c r="K19" s="13"/>
      <c r="M19" s="46">
        <f t="shared" si="4"/>
        <v>9.25</v>
      </c>
    </row>
    <row r="20" spans="1:13" x14ac:dyDescent="0.25">
      <c r="A20" s="8">
        <v>13</v>
      </c>
      <c r="B20" s="9" t="s">
        <v>2098</v>
      </c>
      <c r="C20" s="10" t="s">
        <v>2099</v>
      </c>
      <c r="D20" s="18" t="s">
        <v>28</v>
      </c>
      <c r="E20" s="12">
        <v>14</v>
      </c>
      <c r="F20" s="13">
        <v>5</v>
      </c>
      <c r="G20" s="14">
        <f t="shared" si="1"/>
        <v>143</v>
      </c>
      <c r="H20" s="15">
        <f t="shared" si="2"/>
        <v>71.5</v>
      </c>
      <c r="I20" s="13">
        <f t="shared" si="0"/>
        <v>40</v>
      </c>
      <c r="J20" s="16" t="str">
        <f t="shared" si="3"/>
        <v>TUNTAS</v>
      </c>
      <c r="K20" s="13"/>
      <c r="M20" s="46">
        <f t="shared" si="4"/>
        <v>7.15</v>
      </c>
    </row>
    <row r="21" spans="1:13" x14ac:dyDescent="0.25">
      <c r="A21" s="8">
        <v>14</v>
      </c>
      <c r="B21" s="9" t="s">
        <v>2100</v>
      </c>
      <c r="C21" s="10" t="s">
        <v>2101</v>
      </c>
      <c r="D21" s="11" t="s">
        <v>76</v>
      </c>
      <c r="E21" s="12">
        <v>3</v>
      </c>
      <c r="F21" s="13">
        <v>1</v>
      </c>
      <c r="G21" s="14">
        <f t="shared" si="1"/>
        <v>188</v>
      </c>
      <c r="H21" s="15">
        <f t="shared" si="2"/>
        <v>94</v>
      </c>
      <c r="I21" s="13">
        <f t="shared" si="0"/>
        <v>14</v>
      </c>
      <c r="J21" s="16" t="str">
        <f t="shared" si="3"/>
        <v>TUNTAS</v>
      </c>
      <c r="K21" s="13"/>
      <c r="M21" s="46">
        <f t="shared" si="4"/>
        <v>9.4</v>
      </c>
    </row>
    <row r="22" spans="1:13" x14ac:dyDescent="0.25">
      <c r="A22" s="8">
        <v>15</v>
      </c>
      <c r="B22" s="9" t="s">
        <v>2102</v>
      </c>
      <c r="C22" s="21" t="s">
        <v>2103</v>
      </c>
      <c r="D22" s="19" t="s">
        <v>77</v>
      </c>
      <c r="E22" s="12">
        <v>1</v>
      </c>
      <c r="F22" s="13">
        <v>1</v>
      </c>
      <c r="G22" s="14">
        <f t="shared" si="1"/>
        <v>194</v>
      </c>
      <c r="H22" s="15">
        <f t="shared" si="2"/>
        <v>97</v>
      </c>
      <c r="I22" s="13">
        <f t="shared" si="0"/>
        <v>6</v>
      </c>
      <c r="J22" s="16" t="str">
        <f t="shared" si="3"/>
        <v>TUNTAS</v>
      </c>
      <c r="K22" s="13"/>
      <c r="M22" s="46">
        <f t="shared" si="4"/>
        <v>9.6999999999999993</v>
      </c>
    </row>
    <row r="23" spans="1:13" x14ac:dyDescent="0.25">
      <c r="A23" s="8">
        <v>16</v>
      </c>
      <c r="B23" s="9" t="s">
        <v>2104</v>
      </c>
      <c r="C23" s="21" t="s">
        <v>2105</v>
      </c>
      <c r="D23" s="19" t="s">
        <v>133</v>
      </c>
      <c r="E23" s="12">
        <v>1</v>
      </c>
      <c r="F23" s="13">
        <v>0</v>
      </c>
      <c r="G23" s="14">
        <f t="shared" si="1"/>
        <v>197</v>
      </c>
      <c r="H23" s="15">
        <f t="shared" si="2"/>
        <v>98.5</v>
      </c>
      <c r="I23" s="13">
        <f t="shared" si="0"/>
        <v>3</v>
      </c>
      <c r="J23" s="16" t="str">
        <f t="shared" si="3"/>
        <v>TUNTAS</v>
      </c>
      <c r="K23" s="13"/>
      <c r="M23" s="46">
        <f t="shared" si="4"/>
        <v>9.85</v>
      </c>
    </row>
    <row r="24" spans="1:13" x14ac:dyDescent="0.25">
      <c r="A24" s="8">
        <v>17</v>
      </c>
      <c r="B24" s="9" t="s">
        <v>2106</v>
      </c>
      <c r="C24" s="10" t="s">
        <v>2107</v>
      </c>
      <c r="D24" s="11" t="s">
        <v>33</v>
      </c>
      <c r="E24" s="12">
        <v>0</v>
      </c>
      <c r="F24" s="13">
        <v>0</v>
      </c>
      <c r="G24" s="14">
        <f t="shared" si="1"/>
        <v>200</v>
      </c>
      <c r="H24" s="15">
        <f t="shared" si="2"/>
        <v>100</v>
      </c>
      <c r="I24" s="13">
        <f t="shared" si="0"/>
        <v>1</v>
      </c>
      <c r="J24" s="16" t="str">
        <f t="shared" si="3"/>
        <v>TUNTAS</v>
      </c>
      <c r="K24" s="13"/>
      <c r="M24" s="46">
        <f t="shared" si="4"/>
        <v>10</v>
      </c>
    </row>
    <row r="25" spans="1:13" x14ac:dyDescent="0.25">
      <c r="A25" s="8">
        <v>18</v>
      </c>
      <c r="B25" s="9" t="s">
        <v>2108</v>
      </c>
      <c r="C25" s="20" t="s">
        <v>2109</v>
      </c>
      <c r="D25" s="18" t="s">
        <v>34</v>
      </c>
      <c r="E25" s="12">
        <v>3</v>
      </c>
      <c r="F25" s="13">
        <v>2</v>
      </c>
      <c r="G25" s="14">
        <f t="shared" si="1"/>
        <v>185</v>
      </c>
      <c r="H25" s="15">
        <f t="shared" si="2"/>
        <v>92.5</v>
      </c>
      <c r="I25" s="13">
        <f t="shared" si="0"/>
        <v>18</v>
      </c>
      <c r="J25" s="16" t="str">
        <f t="shared" si="3"/>
        <v>TUNTAS</v>
      </c>
      <c r="K25" s="13"/>
      <c r="M25" s="46">
        <f t="shared" si="4"/>
        <v>9.25</v>
      </c>
    </row>
    <row r="26" spans="1:13" x14ac:dyDescent="0.25">
      <c r="A26" s="8">
        <v>19</v>
      </c>
      <c r="B26" s="9" t="s">
        <v>2110</v>
      </c>
      <c r="C26" s="10" t="s">
        <v>2111</v>
      </c>
      <c r="D26" s="11" t="s">
        <v>35</v>
      </c>
      <c r="E26" s="12">
        <v>3</v>
      </c>
      <c r="F26" s="13">
        <v>1</v>
      </c>
      <c r="G26" s="14">
        <f t="shared" si="1"/>
        <v>188</v>
      </c>
      <c r="H26" s="15">
        <f t="shared" si="2"/>
        <v>94</v>
      </c>
      <c r="I26" s="13">
        <f t="shared" si="0"/>
        <v>14</v>
      </c>
      <c r="J26" s="16" t="str">
        <f t="shared" si="3"/>
        <v>TUNTAS</v>
      </c>
      <c r="K26" s="13"/>
      <c r="M26" s="46">
        <f t="shared" si="4"/>
        <v>9.4</v>
      </c>
    </row>
    <row r="27" spans="1:13" x14ac:dyDescent="0.25">
      <c r="A27" s="8">
        <v>20</v>
      </c>
      <c r="B27" s="9" t="s">
        <v>2112</v>
      </c>
      <c r="C27" s="10" t="s">
        <v>962</v>
      </c>
      <c r="D27" s="11" t="s">
        <v>93</v>
      </c>
      <c r="E27" s="12">
        <v>2</v>
      </c>
      <c r="F27" s="13">
        <v>0</v>
      </c>
      <c r="G27" s="14">
        <f t="shared" si="1"/>
        <v>194</v>
      </c>
      <c r="H27" s="15">
        <f t="shared" si="2"/>
        <v>97</v>
      </c>
      <c r="I27" s="13">
        <f t="shared" si="0"/>
        <v>6</v>
      </c>
      <c r="J27" s="16" t="str">
        <f t="shared" si="3"/>
        <v>TUNTAS</v>
      </c>
      <c r="K27" s="13"/>
      <c r="M27" s="46">
        <f t="shared" si="4"/>
        <v>9.6999999999999993</v>
      </c>
    </row>
    <row r="28" spans="1:13" x14ac:dyDescent="0.25">
      <c r="A28" s="8">
        <v>21</v>
      </c>
      <c r="B28" s="9" t="s">
        <v>2113</v>
      </c>
      <c r="C28" s="10" t="s">
        <v>2114</v>
      </c>
      <c r="D28" s="11" t="s">
        <v>36</v>
      </c>
      <c r="E28" s="12">
        <v>7</v>
      </c>
      <c r="F28" s="13">
        <v>2</v>
      </c>
      <c r="G28" s="14">
        <f t="shared" si="1"/>
        <v>173</v>
      </c>
      <c r="H28" s="15">
        <f t="shared" si="2"/>
        <v>86.5</v>
      </c>
      <c r="I28" s="13">
        <f t="shared" si="0"/>
        <v>27</v>
      </c>
      <c r="J28" s="16" t="str">
        <f t="shared" si="3"/>
        <v>TUNTAS</v>
      </c>
      <c r="K28" s="13"/>
      <c r="M28" s="46">
        <f t="shared" si="4"/>
        <v>8.65</v>
      </c>
    </row>
    <row r="29" spans="1:13" x14ac:dyDescent="0.25">
      <c r="A29" s="8">
        <v>22</v>
      </c>
      <c r="B29" s="9" t="s">
        <v>2115</v>
      </c>
      <c r="C29" s="10" t="s">
        <v>2116</v>
      </c>
      <c r="D29" s="11" t="s">
        <v>80</v>
      </c>
      <c r="E29" s="12">
        <v>1</v>
      </c>
      <c r="F29" s="13">
        <v>0</v>
      </c>
      <c r="G29" s="14">
        <f t="shared" si="1"/>
        <v>197</v>
      </c>
      <c r="H29" s="15">
        <f t="shared" si="2"/>
        <v>98.5</v>
      </c>
      <c r="I29" s="13">
        <f t="shared" si="0"/>
        <v>3</v>
      </c>
      <c r="J29" s="16" t="str">
        <f t="shared" si="3"/>
        <v>TUNTAS</v>
      </c>
      <c r="K29" s="13"/>
      <c r="M29" s="46">
        <f t="shared" si="4"/>
        <v>9.85</v>
      </c>
    </row>
    <row r="30" spans="1:13" x14ac:dyDescent="0.25">
      <c r="A30" s="8">
        <v>23</v>
      </c>
      <c r="B30" s="9" t="s">
        <v>2117</v>
      </c>
      <c r="C30" s="10" t="s">
        <v>2118</v>
      </c>
      <c r="D30" s="11" t="s">
        <v>40</v>
      </c>
      <c r="E30" s="12">
        <v>10</v>
      </c>
      <c r="F30" s="13">
        <v>4</v>
      </c>
      <c r="G30" s="14">
        <f t="shared" si="1"/>
        <v>158</v>
      </c>
      <c r="H30" s="15">
        <f t="shared" si="2"/>
        <v>79</v>
      </c>
      <c r="I30" s="13">
        <f t="shared" si="0"/>
        <v>35</v>
      </c>
      <c r="J30" s="16" t="str">
        <f t="shared" si="3"/>
        <v>TUNTAS</v>
      </c>
      <c r="K30" s="13"/>
      <c r="M30" s="46">
        <f t="shared" si="4"/>
        <v>7.9</v>
      </c>
    </row>
    <row r="31" spans="1:13" x14ac:dyDescent="0.25">
      <c r="A31" s="8">
        <v>24</v>
      </c>
      <c r="B31" s="9" t="s">
        <v>2119</v>
      </c>
      <c r="C31" s="10" t="s">
        <v>2120</v>
      </c>
      <c r="D31" s="11" t="s">
        <v>41</v>
      </c>
      <c r="E31" s="12">
        <v>0</v>
      </c>
      <c r="F31" s="13">
        <v>1</v>
      </c>
      <c r="G31" s="14">
        <f t="shared" si="1"/>
        <v>197</v>
      </c>
      <c r="H31" s="15">
        <f t="shared" si="2"/>
        <v>98.5</v>
      </c>
      <c r="I31" s="13">
        <f t="shared" si="0"/>
        <v>3</v>
      </c>
      <c r="J31" s="16" t="str">
        <f t="shared" si="3"/>
        <v>TUNTAS</v>
      </c>
      <c r="K31" s="13"/>
      <c r="M31" s="46">
        <f t="shared" si="4"/>
        <v>9.85</v>
      </c>
    </row>
    <row r="32" spans="1:13" x14ac:dyDescent="0.25">
      <c r="A32" s="8">
        <v>25</v>
      </c>
      <c r="B32" s="9" t="s">
        <v>2121</v>
      </c>
      <c r="C32" s="10" t="s">
        <v>2122</v>
      </c>
      <c r="D32" s="11" t="s">
        <v>144</v>
      </c>
      <c r="E32" s="12">
        <v>3</v>
      </c>
      <c r="F32" s="13">
        <v>4</v>
      </c>
      <c r="G32" s="14">
        <f t="shared" si="1"/>
        <v>179</v>
      </c>
      <c r="H32" s="15">
        <f t="shared" si="2"/>
        <v>89.5</v>
      </c>
      <c r="I32" s="13">
        <f t="shared" si="0"/>
        <v>24</v>
      </c>
      <c r="J32" s="16" t="str">
        <f t="shared" si="3"/>
        <v>TUNTAS</v>
      </c>
      <c r="K32" s="13"/>
      <c r="M32" s="46">
        <f t="shared" si="4"/>
        <v>8.9499999999999993</v>
      </c>
    </row>
    <row r="33" spans="1:13" x14ac:dyDescent="0.25">
      <c r="A33" s="8">
        <v>26</v>
      </c>
      <c r="B33" s="9" t="s">
        <v>2123</v>
      </c>
      <c r="C33" s="21" t="s">
        <v>2124</v>
      </c>
      <c r="D33" s="19" t="s">
        <v>83</v>
      </c>
      <c r="E33" s="12">
        <v>32</v>
      </c>
      <c r="F33" s="13">
        <v>32</v>
      </c>
      <c r="G33" s="14">
        <f t="shared" si="1"/>
        <v>8</v>
      </c>
      <c r="H33" s="15">
        <f t="shared" si="2"/>
        <v>4</v>
      </c>
      <c r="I33" s="13">
        <f t="shared" si="0"/>
        <v>46</v>
      </c>
      <c r="J33" s="16" t="str">
        <f t="shared" si="3"/>
        <v>TIDAK HADIR</v>
      </c>
      <c r="K33" s="13" t="s">
        <v>3265</v>
      </c>
      <c r="M33" s="46">
        <f t="shared" si="4"/>
        <v>0.4</v>
      </c>
    </row>
    <row r="34" spans="1:13" x14ac:dyDescent="0.25">
      <c r="A34" s="8">
        <v>27</v>
      </c>
      <c r="B34" s="9" t="s">
        <v>2125</v>
      </c>
      <c r="C34" s="10" t="s">
        <v>2126</v>
      </c>
      <c r="D34" s="11" t="s">
        <v>45</v>
      </c>
      <c r="E34" s="12">
        <v>2</v>
      </c>
      <c r="F34" s="13">
        <v>0</v>
      </c>
      <c r="G34" s="14">
        <f t="shared" si="1"/>
        <v>194</v>
      </c>
      <c r="H34" s="15">
        <f t="shared" si="2"/>
        <v>97</v>
      </c>
      <c r="I34" s="13">
        <f t="shared" si="0"/>
        <v>6</v>
      </c>
      <c r="J34" s="16" t="str">
        <f t="shared" si="3"/>
        <v>TUNTAS</v>
      </c>
      <c r="K34" s="13"/>
      <c r="M34" s="46">
        <f t="shared" si="4"/>
        <v>9.6999999999999993</v>
      </c>
    </row>
    <row r="35" spans="1:13" x14ac:dyDescent="0.25">
      <c r="A35" s="8">
        <v>28</v>
      </c>
      <c r="B35" s="9" t="s">
        <v>2127</v>
      </c>
      <c r="C35" s="10" t="s">
        <v>2128</v>
      </c>
      <c r="D35" s="11" t="s">
        <v>116</v>
      </c>
      <c r="E35" s="12">
        <v>3</v>
      </c>
      <c r="F35" s="13">
        <v>1</v>
      </c>
      <c r="G35" s="14">
        <f t="shared" si="1"/>
        <v>188</v>
      </c>
      <c r="H35" s="15">
        <f t="shared" si="2"/>
        <v>94</v>
      </c>
      <c r="I35" s="13">
        <f t="shared" si="0"/>
        <v>14</v>
      </c>
      <c r="J35" s="16" t="str">
        <f t="shared" si="3"/>
        <v>TUNTAS</v>
      </c>
      <c r="K35" s="13"/>
      <c r="M35" s="46">
        <f t="shared" si="4"/>
        <v>9.4</v>
      </c>
    </row>
    <row r="36" spans="1:13" x14ac:dyDescent="0.25">
      <c r="A36" s="8">
        <v>29</v>
      </c>
      <c r="B36" s="9" t="s">
        <v>2129</v>
      </c>
      <c r="C36" s="10" t="s">
        <v>2130</v>
      </c>
      <c r="D36" s="11" t="s">
        <v>48</v>
      </c>
      <c r="E36" s="12">
        <v>4</v>
      </c>
      <c r="F36" s="13">
        <v>2</v>
      </c>
      <c r="G36" s="14">
        <f t="shared" si="1"/>
        <v>182</v>
      </c>
      <c r="H36" s="15">
        <f t="shared" si="2"/>
        <v>91</v>
      </c>
      <c r="I36" s="13">
        <f t="shared" si="0"/>
        <v>20</v>
      </c>
      <c r="J36" s="16" t="str">
        <f t="shared" si="3"/>
        <v>TUNTAS</v>
      </c>
      <c r="K36" s="13"/>
      <c r="M36" s="46">
        <f t="shared" si="4"/>
        <v>9.1</v>
      </c>
    </row>
    <row r="37" spans="1:13" x14ac:dyDescent="0.25">
      <c r="A37" s="8">
        <v>30</v>
      </c>
      <c r="B37" s="9" t="s">
        <v>2131</v>
      </c>
      <c r="C37" s="17" t="s">
        <v>2132</v>
      </c>
      <c r="D37" s="18" t="s">
        <v>108</v>
      </c>
      <c r="E37" s="12">
        <v>4</v>
      </c>
      <c r="F37" s="13">
        <v>2</v>
      </c>
      <c r="G37" s="14">
        <f t="shared" si="1"/>
        <v>182</v>
      </c>
      <c r="H37" s="15">
        <f t="shared" si="2"/>
        <v>91</v>
      </c>
      <c r="I37" s="13">
        <f t="shared" si="0"/>
        <v>20</v>
      </c>
      <c r="J37" s="16" t="str">
        <f t="shared" si="3"/>
        <v>TUNTAS</v>
      </c>
      <c r="K37" s="13"/>
      <c r="M37" s="46">
        <f t="shared" si="4"/>
        <v>9.1</v>
      </c>
    </row>
    <row r="38" spans="1:13" x14ac:dyDescent="0.25">
      <c r="A38" s="8">
        <v>31</v>
      </c>
      <c r="B38" s="9" t="s">
        <v>2133</v>
      </c>
      <c r="C38" s="10" t="s">
        <v>2134</v>
      </c>
      <c r="D38" s="11" t="s">
        <v>50</v>
      </c>
      <c r="E38" s="12">
        <v>10</v>
      </c>
      <c r="F38" s="13">
        <v>10</v>
      </c>
      <c r="G38" s="14">
        <f t="shared" si="1"/>
        <v>140</v>
      </c>
      <c r="H38" s="15">
        <f t="shared" si="2"/>
        <v>70</v>
      </c>
      <c r="I38" s="13">
        <f t="shared" si="0"/>
        <v>41</v>
      </c>
      <c r="J38" s="16" t="str">
        <f t="shared" si="3"/>
        <v>TUNTAS</v>
      </c>
      <c r="K38" s="13"/>
      <c r="M38" s="46">
        <f t="shared" si="4"/>
        <v>7</v>
      </c>
    </row>
    <row r="39" spans="1:13" x14ac:dyDescent="0.25">
      <c r="A39" s="8">
        <v>32</v>
      </c>
      <c r="B39" s="9" t="s">
        <v>2135</v>
      </c>
      <c r="C39" s="10" t="s">
        <v>2136</v>
      </c>
      <c r="D39" s="11" t="s">
        <v>51</v>
      </c>
      <c r="E39" s="12">
        <v>32</v>
      </c>
      <c r="F39" s="13">
        <v>32</v>
      </c>
      <c r="G39" s="14">
        <f t="shared" si="1"/>
        <v>8</v>
      </c>
      <c r="H39" s="15">
        <f t="shared" si="2"/>
        <v>4</v>
      </c>
      <c r="I39" s="13">
        <f t="shared" si="0"/>
        <v>46</v>
      </c>
      <c r="J39" s="16" t="str">
        <f t="shared" si="3"/>
        <v>TIDAK HADIR</v>
      </c>
      <c r="K39" s="13" t="s">
        <v>3265</v>
      </c>
      <c r="M39" s="46">
        <f t="shared" si="4"/>
        <v>0.4</v>
      </c>
    </row>
    <row r="40" spans="1:13" x14ac:dyDescent="0.25">
      <c r="A40" s="8">
        <v>33</v>
      </c>
      <c r="B40" s="9" t="s">
        <v>2137</v>
      </c>
      <c r="C40" s="10" t="s">
        <v>596</v>
      </c>
      <c r="D40" s="11" t="s">
        <v>52</v>
      </c>
      <c r="E40" s="12">
        <v>14</v>
      </c>
      <c r="F40" s="13">
        <v>7</v>
      </c>
      <c r="G40" s="14">
        <f t="shared" si="1"/>
        <v>137</v>
      </c>
      <c r="H40" s="15">
        <f t="shared" si="2"/>
        <v>68.5</v>
      </c>
      <c r="I40" s="13">
        <f t="shared" si="0"/>
        <v>42</v>
      </c>
      <c r="J40" s="16" t="str">
        <f t="shared" si="3"/>
        <v>TUNTAS</v>
      </c>
      <c r="K40" s="13"/>
      <c r="M40" s="46">
        <f t="shared" si="4"/>
        <v>6.85</v>
      </c>
    </row>
    <row r="41" spans="1:13" x14ac:dyDescent="0.25">
      <c r="A41" s="8">
        <v>34</v>
      </c>
      <c r="B41" s="9" t="s">
        <v>2138</v>
      </c>
      <c r="C41" s="10" t="s">
        <v>2139</v>
      </c>
      <c r="D41" s="11" t="s">
        <v>52</v>
      </c>
      <c r="E41" s="12">
        <v>11</v>
      </c>
      <c r="F41" s="13">
        <v>1</v>
      </c>
      <c r="G41" s="14">
        <f t="shared" si="1"/>
        <v>164</v>
      </c>
      <c r="H41" s="15">
        <f t="shared" si="2"/>
        <v>82</v>
      </c>
      <c r="I41" s="13">
        <f t="shared" si="0"/>
        <v>34</v>
      </c>
      <c r="J41" s="16" t="str">
        <f t="shared" si="3"/>
        <v>TUNTAS</v>
      </c>
      <c r="K41" s="13"/>
      <c r="M41" s="46">
        <f t="shared" si="4"/>
        <v>8.1999999999999993</v>
      </c>
    </row>
    <row r="42" spans="1:13" x14ac:dyDescent="0.25">
      <c r="A42" s="8">
        <v>35</v>
      </c>
      <c r="B42" s="9" t="s">
        <v>2140</v>
      </c>
      <c r="C42" s="10" t="s">
        <v>134</v>
      </c>
      <c r="D42" s="11" t="s">
        <v>54</v>
      </c>
      <c r="E42" s="12">
        <v>32</v>
      </c>
      <c r="F42" s="13">
        <v>32</v>
      </c>
      <c r="G42" s="14">
        <f t="shared" si="1"/>
        <v>8</v>
      </c>
      <c r="H42" s="15">
        <f t="shared" si="2"/>
        <v>4</v>
      </c>
      <c r="I42" s="13">
        <f t="shared" si="0"/>
        <v>46</v>
      </c>
      <c r="J42" s="16" t="str">
        <f t="shared" si="3"/>
        <v>TIDAK HADIR</v>
      </c>
      <c r="K42" s="13" t="s">
        <v>3264</v>
      </c>
      <c r="M42" s="46">
        <f t="shared" si="4"/>
        <v>0.4</v>
      </c>
    </row>
    <row r="43" spans="1:13" x14ac:dyDescent="0.25">
      <c r="A43" s="8">
        <v>36</v>
      </c>
      <c r="B43" s="9" t="s">
        <v>2141</v>
      </c>
      <c r="C43" s="10" t="s">
        <v>2142</v>
      </c>
      <c r="D43" s="11" t="s">
        <v>55</v>
      </c>
      <c r="E43" s="12">
        <v>7</v>
      </c>
      <c r="F43" s="13">
        <v>1</v>
      </c>
      <c r="G43" s="14">
        <f t="shared" si="1"/>
        <v>176</v>
      </c>
      <c r="H43" s="15">
        <f t="shared" si="2"/>
        <v>88</v>
      </c>
      <c r="I43" s="13">
        <f t="shared" si="0"/>
        <v>25</v>
      </c>
      <c r="J43" s="16" t="str">
        <f t="shared" si="3"/>
        <v>TUNTAS</v>
      </c>
      <c r="K43" s="13"/>
      <c r="M43" s="46">
        <f t="shared" si="4"/>
        <v>8.8000000000000007</v>
      </c>
    </row>
    <row r="44" spans="1:13" x14ac:dyDescent="0.25">
      <c r="A44" s="8">
        <v>37</v>
      </c>
      <c r="B44" s="9" t="s">
        <v>2143</v>
      </c>
      <c r="C44" s="10" t="s">
        <v>2144</v>
      </c>
      <c r="D44" s="11" t="s">
        <v>138</v>
      </c>
      <c r="E44" s="12">
        <v>17</v>
      </c>
      <c r="F44" s="13">
        <v>6</v>
      </c>
      <c r="G44" s="14">
        <f t="shared" si="1"/>
        <v>131</v>
      </c>
      <c r="H44" s="15">
        <f t="shared" si="2"/>
        <v>65.5</v>
      </c>
      <c r="I44" s="13">
        <f t="shared" si="0"/>
        <v>43</v>
      </c>
      <c r="J44" s="16" t="str">
        <f t="shared" si="3"/>
        <v>TUNTAS</v>
      </c>
      <c r="K44" s="13"/>
      <c r="M44" s="46">
        <f t="shared" si="4"/>
        <v>6.55</v>
      </c>
    </row>
    <row r="45" spans="1:13" x14ac:dyDescent="0.25">
      <c r="A45" s="8">
        <v>38</v>
      </c>
      <c r="B45" s="9" t="s">
        <v>2145</v>
      </c>
      <c r="C45" s="10" t="s">
        <v>2146</v>
      </c>
      <c r="D45" s="11" t="s">
        <v>95</v>
      </c>
      <c r="E45" s="12">
        <v>20</v>
      </c>
      <c r="F45" s="13">
        <v>10</v>
      </c>
      <c r="G45" s="14">
        <f t="shared" si="1"/>
        <v>110</v>
      </c>
      <c r="H45" s="15">
        <f t="shared" si="2"/>
        <v>55</v>
      </c>
      <c r="I45" s="13">
        <f t="shared" si="0"/>
        <v>44</v>
      </c>
      <c r="J45" s="16" t="str">
        <f t="shared" si="3"/>
        <v>TIDAK TUNTAS</v>
      </c>
      <c r="K45" s="13"/>
      <c r="M45" s="46">
        <f t="shared" si="4"/>
        <v>5.5</v>
      </c>
    </row>
    <row r="46" spans="1:13" x14ac:dyDescent="0.25">
      <c r="A46" s="8">
        <v>39</v>
      </c>
      <c r="B46" s="9" t="s">
        <v>2147</v>
      </c>
      <c r="C46" s="10" t="s">
        <v>2148</v>
      </c>
      <c r="D46" s="11" t="s">
        <v>60</v>
      </c>
      <c r="E46" s="12">
        <v>7</v>
      </c>
      <c r="F46" s="13">
        <v>2</v>
      </c>
      <c r="G46" s="14">
        <f t="shared" si="1"/>
        <v>173</v>
      </c>
      <c r="H46" s="15">
        <f t="shared" si="2"/>
        <v>86.5</v>
      </c>
      <c r="I46" s="13">
        <f t="shared" si="0"/>
        <v>27</v>
      </c>
      <c r="J46" s="16" t="str">
        <f t="shared" si="3"/>
        <v>TUNTAS</v>
      </c>
      <c r="K46" s="13"/>
      <c r="M46" s="46">
        <f t="shared" si="4"/>
        <v>8.65</v>
      </c>
    </row>
    <row r="47" spans="1:13" x14ac:dyDescent="0.25">
      <c r="A47" s="8">
        <v>40</v>
      </c>
      <c r="B47" s="9" t="s">
        <v>2149</v>
      </c>
      <c r="C47" s="10" t="s">
        <v>2150</v>
      </c>
      <c r="D47" s="11" t="s">
        <v>97</v>
      </c>
      <c r="E47" s="12">
        <v>8</v>
      </c>
      <c r="F47" s="13">
        <v>0</v>
      </c>
      <c r="G47" s="14">
        <f t="shared" ref="G47:G57" si="5">100-E47*3+100-F47*3</f>
        <v>176</v>
      </c>
      <c r="H47" s="15">
        <f t="shared" ref="H47:H57" si="6">G47/2</f>
        <v>88</v>
      </c>
      <c r="I47" s="13">
        <f t="shared" si="0"/>
        <v>25</v>
      </c>
      <c r="J47" s="16" t="str">
        <f t="shared" si="3"/>
        <v>TUNTAS</v>
      </c>
      <c r="K47" s="13"/>
      <c r="M47" s="46">
        <f t="shared" si="4"/>
        <v>8.8000000000000007</v>
      </c>
    </row>
    <row r="48" spans="1:13" x14ac:dyDescent="0.25">
      <c r="A48" s="8">
        <v>41</v>
      </c>
      <c r="B48" s="9" t="s">
        <v>2151</v>
      </c>
      <c r="C48" s="10" t="s">
        <v>2152</v>
      </c>
      <c r="D48" s="11" t="s">
        <v>327</v>
      </c>
      <c r="E48" s="12">
        <v>2</v>
      </c>
      <c r="F48" s="13">
        <v>1</v>
      </c>
      <c r="G48" s="14">
        <f t="shared" si="5"/>
        <v>191</v>
      </c>
      <c r="H48" s="15">
        <f t="shared" si="6"/>
        <v>95.5</v>
      </c>
      <c r="I48" s="13">
        <f t="shared" si="0"/>
        <v>10</v>
      </c>
      <c r="J48" s="16" t="str">
        <f t="shared" si="3"/>
        <v>TUNTAS</v>
      </c>
      <c r="K48" s="13"/>
      <c r="M48" s="46">
        <f t="shared" si="4"/>
        <v>9.5500000000000007</v>
      </c>
    </row>
    <row r="49" spans="1:13" x14ac:dyDescent="0.25">
      <c r="A49" s="8">
        <v>42</v>
      </c>
      <c r="B49" s="9" t="s">
        <v>2153</v>
      </c>
      <c r="C49" s="10" t="s">
        <v>2154</v>
      </c>
      <c r="D49" s="11" t="s">
        <v>86</v>
      </c>
      <c r="E49" s="12">
        <v>14</v>
      </c>
      <c r="F49" s="13">
        <v>2</v>
      </c>
      <c r="G49" s="14">
        <f t="shared" si="5"/>
        <v>152</v>
      </c>
      <c r="H49" s="15">
        <f t="shared" si="6"/>
        <v>76</v>
      </c>
      <c r="I49" s="13">
        <f t="shared" si="0"/>
        <v>37</v>
      </c>
      <c r="J49" s="16" t="str">
        <f t="shared" si="3"/>
        <v>TUNTAS</v>
      </c>
      <c r="K49" s="13"/>
      <c r="M49" s="46">
        <f t="shared" si="4"/>
        <v>7.6</v>
      </c>
    </row>
    <row r="50" spans="1:13" x14ac:dyDescent="0.25">
      <c r="A50" s="8">
        <v>43</v>
      </c>
      <c r="B50" s="9" t="s">
        <v>2155</v>
      </c>
      <c r="C50" s="10" t="s">
        <v>2156</v>
      </c>
      <c r="D50" s="11" t="s">
        <v>63</v>
      </c>
      <c r="E50" s="12">
        <v>2</v>
      </c>
      <c r="F50" s="13">
        <v>1</v>
      </c>
      <c r="G50" s="14">
        <f t="shared" si="5"/>
        <v>191</v>
      </c>
      <c r="H50" s="15">
        <f t="shared" si="6"/>
        <v>95.5</v>
      </c>
      <c r="I50" s="13">
        <f t="shared" si="0"/>
        <v>10</v>
      </c>
      <c r="J50" s="16" t="str">
        <f t="shared" si="3"/>
        <v>TUNTAS</v>
      </c>
      <c r="K50" s="13"/>
      <c r="M50" s="46">
        <f t="shared" si="4"/>
        <v>9.5500000000000007</v>
      </c>
    </row>
    <row r="51" spans="1:13" x14ac:dyDescent="0.25">
      <c r="A51" s="8">
        <v>44</v>
      </c>
      <c r="B51" s="9" t="s">
        <v>2157</v>
      </c>
      <c r="C51" s="10" t="s">
        <v>2158</v>
      </c>
      <c r="D51" s="11" t="s">
        <v>88</v>
      </c>
      <c r="E51" s="12">
        <v>2</v>
      </c>
      <c r="F51" s="13">
        <v>4</v>
      </c>
      <c r="G51" s="14">
        <f t="shared" si="5"/>
        <v>182</v>
      </c>
      <c r="H51" s="15">
        <f t="shared" si="6"/>
        <v>91</v>
      </c>
      <c r="I51" s="13">
        <f t="shared" si="0"/>
        <v>20</v>
      </c>
      <c r="J51" s="16" t="str">
        <f t="shared" si="3"/>
        <v>TUNTAS</v>
      </c>
      <c r="K51" s="13"/>
      <c r="M51" s="46">
        <f t="shared" si="4"/>
        <v>9.1</v>
      </c>
    </row>
    <row r="52" spans="1:13" x14ac:dyDescent="0.25">
      <c r="A52" s="8">
        <v>45</v>
      </c>
      <c r="B52" s="9" t="s">
        <v>2159</v>
      </c>
      <c r="C52" s="10" t="s">
        <v>2160</v>
      </c>
      <c r="D52" s="11" t="s">
        <v>66</v>
      </c>
      <c r="E52" s="12">
        <v>5</v>
      </c>
      <c r="F52" s="13">
        <v>1</v>
      </c>
      <c r="G52" s="14">
        <f t="shared" si="5"/>
        <v>182</v>
      </c>
      <c r="H52" s="15">
        <f t="shared" si="6"/>
        <v>91</v>
      </c>
      <c r="I52" s="13">
        <f t="shared" si="0"/>
        <v>20</v>
      </c>
      <c r="J52" s="16" t="str">
        <f t="shared" si="3"/>
        <v>TUNTAS</v>
      </c>
      <c r="K52" s="13"/>
      <c r="M52" s="46">
        <f t="shared" si="4"/>
        <v>9.1</v>
      </c>
    </row>
    <row r="53" spans="1:13" x14ac:dyDescent="0.25">
      <c r="A53" s="8">
        <v>46</v>
      </c>
      <c r="B53" s="9" t="s">
        <v>2161</v>
      </c>
      <c r="C53" s="10" t="s">
        <v>2162</v>
      </c>
      <c r="D53" s="11" t="s">
        <v>120</v>
      </c>
      <c r="E53" s="12">
        <v>2</v>
      </c>
      <c r="F53" s="13">
        <v>0</v>
      </c>
      <c r="G53" s="14">
        <f t="shared" si="5"/>
        <v>194</v>
      </c>
      <c r="H53" s="15">
        <f t="shared" si="6"/>
        <v>97</v>
      </c>
      <c r="I53" s="13">
        <f t="shared" si="0"/>
        <v>6</v>
      </c>
      <c r="J53" s="16" t="str">
        <f t="shared" si="3"/>
        <v>TUNTAS</v>
      </c>
      <c r="K53" s="13"/>
      <c r="M53" s="46">
        <f t="shared" si="4"/>
        <v>9.6999999999999993</v>
      </c>
    </row>
    <row r="54" spans="1:13" x14ac:dyDescent="0.25">
      <c r="A54" s="8">
        <v>47</v>
      </c>
      <c r="B54" s="9" t="s">
        <v>2163</v>
      </c>
      <c r="C54" s="10" t="s">
        <v>2164</v>
      </c>
      <c r="D54" s="11" t="s">
        <v>68</v>
      </c>
      <c r="E54" s="12">
        <v>4</v>
      </c>
      <c r="F54" s="13">
        <v>5</v>
      </c>
      <c r="G54" s="14">
        <f t="shared" si="5"/>
        <v>173</v>
      </c>
      <c r="H54" s="15">
        <f t="shared" si="6"/>
        <v>86.5</v>
      </c>
      <c r="I54" s="13">
        <f t="shared" si="0"/>
        <v>27</v>
      </c>
      <c r="J54" s="16" t="str">
        <f t="shared" si="3"/>
        <v>TUNTAS</v>
      </c>
      <c r="K54" s="13"/>
      <c r="M54" s="46">
        <f t="shared" si="4"/>
        <v>8.65</v>
      </c>
    </row>
    <row r="55" spans="1:13" x14ac:dyDescent="0.25">
      <c r="A55" s="8">
        <v>48</v>
      </c>
      <c r="B55" s="9" t="s">
        <v>2165</v>
      </c>
      <c r="C55" s="10" t="s">
        <v>2166</v>
      </c>
      <c r="D55" s="11" t="s">
        <v>69</v>
      </c>
      <c r="E55" s="12">
        <v>20</v>
      </c>
      <c r="F55" s="13">
        <v>15</v>
      </c>
      <c r="G55" s="14">
        <f t="shared" si="5"/>
        <v>95</v>
      </c>
      <c r="H55" s="15">
        <f t="shared" si="6"/>
        <v>47.5</v>
      </c>
      <c r="I55" s="13">
        <f t="shared" si="0"/>
        <v>45</v>
      </c>
      <c r="J55" s="16" t="str">
        <f t="shared" si="3"/>
        <v>TIDAK TUNTAS</v>
      </c>
      <c r="K55" s="13"/>
      <c r="M55" s="46">
        <f t="shared" si="4"/>
        <v>4.75</v>
      </c>
    </row>
    <row r="56" spans="1:13" x14ac:dyDescent="0.25">
      <c r="A56" s="8">
        <v>49</v>
      </c>
      <c r="B56" s="9" t="s">
        <v>2167</v>
      </c>
      <c r="C56" s="10" t="s">
        <v>2168</v>
      </c>
      <c r="D56" s="11" t="s">
        <v>70</v>
      </c>
      <c r="E56" s="12">
        <v>7</v>
      </c>
      <c r="F56" s="13">
        <v>2</v>
      </c>
      <c r="G56" s="14">
        <f t="shared" si="5"/>
        <v>173</v>
      </c>
      <c r="H56" s="15">
        <f t="shared" si="6"/>
        <v>86.5</v>
      </c>
      <c r="I56" s="13">
        <f t="shared" si="0"/>
        <v>27</v>
      </c>
      <c r="J56" s="16" t="str">
        <f t="shared" si="3"/>
        <v>TUNTAS</v>
      </c>
      <c r="K56" s="13"/>
      <c r="M56" s="46">
        <f t="shared" si="4"/>
        <v>8.65</v>
      </c>
    </row>
    <row r="57" spans="1:13" x14ac:dyDescent="0.25">
      <c r="A57" s="8">
        <v>50</v>
      </c>
      <c r="B57" s="9" t="s">
        <v>2169</v>
      </c>
      <c r="C57" s="10" t="s">
        <v>2170</v>
      </c>
      <c r="D57" s="11" t="s">
        <v>131</v>
      </c>
      <c r="E57" s="12">
        <v>4</v>
      </c>
      <c r="F57" s="13">
        <v>0</v>
      </c>
      <c r="G57" s="14">
        <f t="shared" si="5"/>
        <v>188</v>
      </c>
      <c r="H57" s="15">
        <f t="shared" si="6"/>
        <v>94</v>
      </c>
      <c r="I57" s="13">
        <f>RANK(G57,$G$8:$G$57)</f>
        <v>14</v>
      </c>
      <c r="J57" s="16" t="str">
        <f t="shared" si="3"/>
        <v>TUNTAS</v>
      </c>
      <c r="K57" s="13"/>
      <c r="M57" s="46">
        <f t="shared" si="4"/>
        <v>9.4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conditionalFormatting sqref="D8:D10">
    <cfRule type="cellIs" dxfId="236" priority="9" operator="equal">
      <formula>0</formula>
    </cfRule>
  </conditionalFormatting>
  <conditionalFormatting sqref="H8:H57">
    <cfRule type="cellIs" dxfId="235" priority="10" operator="lessThan">
      <formula>60</formula>
    </cfRule>
    <cfRule type="cellIs" dxfId="234" priority="11" operator="lessThan">
      <formula>60</formula>
    </cfRule>
    <cfRule type="cellIs" dxfId="233" priority="14" operator="lessThan">
      <formula>50</formula>
    </cfRule>
  </conditionalFormatting>
  <conditionalFormatting sqref="J8:J57">
    <cfRule type="cellIs" dxfId="232" priority="1" operator="equal">
      <formula>"TIDAK BACA"</formula>
    </cfRule>
    <cfRule type="cellIs" dxfId="231" priority="2" operator="equal">
      <formula>"TIDAK HADIR"</formula>
    </cfRule>
    <cfRule type="cellIs" dxfId="230" priority="3" operator="equal">
      <formula>"TUNTAS"</formula>
    </cfRule>
    <cfRule type="cellIs" dxfId="229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A20276E8-07EE-44DB-B45F-E672E6BF6AE1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C2B9-EF7C-4224-88D8-3256FC8770EB}">
  <sheetPr>
    <tabColor theme="3" tint="0.59999389629810485"/>
  </sheetPr>
  <dimension ref="A1:M63"/>
  <sheetViews>
    <sheetView workbookViewId="0">
      <pane ySplit="7" topLeftCell="A17" activePane="bottomLeft" state="frozen"/>
      <selection activeCell="Q16" sqref="Q16"/>
      <selection pane="bottomLeft" activeCell="M63" sqref="M8:M63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3" customFormat="1" ht="19.899999999999999" customHeight="1" x14ac:dyDescent="0.25">
      <c r="A4" s="51" t="s">
        <v>3313</v>
      </c>
      <c r="B4" s="51"/>
      <c r="C4" s="51"/>
      <c r="D4" s="51"/>
      <c r="E4" s="51"/>
      <c r="F4" s="51"/>
      <c r="G4" s="51"/>
      <c r="H4" s="51"/>
      <c r="I4" s="51"/>
      <c r="J4" s="33" t="s">
        <v>3301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2171</v>
      </c>
      <c r="C8" s="10" t="s">
        <v>2172</v>
      </c>
      <c r="D8" s="11" t="s">
        <v>100</v>
      </c>
      <c r="E8" s="12">
        <v>13</v>
      </c>
      <c r="F8" s="13">
        <v>8</v>
      </c>
      <c r="G8" s="14">
        <f>100-E8*3+100-F8*3</f>
        <v>137</v>
      </c>
      <c r="H8" s="15">
        <f>G8/2</f>
        <v>68.5</v>
      </c>
      <c r="I8" s="13">
        <f>RANK(G8,$G$8:$G$63)</f>
        <v>43</v>
      </c>
      <c r="J8" s="16" t="str">
        <f>IF(H8&lt;4.1,"TIDAK HADIR",IF(H8&lt;7.1,"TIDAK BACA",IF(H8&lt;$J$7,"TIDAK TUNTAS","TUNTAS")))</f>
        <v>TUNTAS</v>
      </c>
      <c r="K8" s="13"/>
      <c r="M8" s="46">
        <f>H8/10</f>
        <v>6.85</v>
      </c>
    </row>
    <row r="9" spans="1:13" x14ac:dyDescent="0.25">
      <c r="A9" s="8">
        <v>2</v>
      </c>
      <c r="B9" s="9" t="s">
        <v>2173</v>
      </c>
      <c r="C9" s="17" t="s">
        <v>2174</v>
      </c>
      <c r="D9" s="18" t="s">
        <v>100</v>
      </c>
      <c r="E9" s="12">
        <v>16</v>
      </c>
      <c r="F9" s="13">
        <v>11</v>
      </c>
      <c r="G9" s="14">
        <f t="shared" ref="G9:G46" si="0">100-E9*3+100-F9*3</f>
        <v>119</v>
      </c>
      <c r="H9" s="15">
        <f t="shared" ref="H9:H63" si="1">G9/2</f>
        <v>59.5</v>
      </c>
      <c r="I9" s="13">
        <f t="shared" ref="I9:I63" si="2">RANK(G9,$G$8:$G$63)</f>
        <v>49</v>
      </c>
      <c r="J9" s="16" t="str">
        <f t="shared" ref="J9:J63" si="3">IF(H9&lt;4.1,"TIDAK HADIR",IF(H9&lt;7.1,"TIDAK BACA",IF(H9&lt;$J$7,"TIDAK TUNTAS","TUNTAS")))</f>
        <v>TIDAK TUNTAS</v>
      </c>
      <c r="K9" s="13"/>
      <c r="M9" s="46">
        <f t="shared" ref="M9:M63" si="4">H9/10</f>
        <v>5.95</v>
      </c>
    </row>
    <row r="10" spans="1:13" x14ac:dyDescent="0.25">
      <c r="A10" s="8">
        <v>3</v>
      </c>
      <c r="B10" s="9" t="s">
        <v>2175</v>
      </c>
      <c r="C10" s="10" t="s">
        <v>111</v>
      </c>
      <c r="D10" s="11" t="s">
        <v>17</v>
      </c>
      <c r="E10" s="12">
        <v>2</v>
      </c>
      <c r="F10" s="13">
        <v>1</v>
      </c>
      <c r="G10" s="14">
        <f t="shared" si="0"/>
        <v>191</v>
      </c>
      <c r="H10" s="15">
        <f t="shared" si="1"/>
        <v>95.5</v>
      </c>
      <c r="I10" s="13">
        <f t="shared" si="2"/>
        <v>4</v>
      </c>
      <c r="J10" s="16" t="str">
        <f t="shared" si="3"/>
        <v>TUNTAS</v>
      </c>
      <c r="K10" s="13"/>
      <c r="M10" s="46">
        <f t="shared" si="4"/>
        <v>9.5500000000000007</v>
      </c>
    </row>
    <row r="11" spans="1:13" x14ac:dyDescent="0.25">
      <c r="A11" s="8">
        <v>4</v>
      </c>
      <c r="B11" s="9" t="s">
        <v>2176</v>
      </c>
      <c r="C11" s="10" t="s">
        <v>2177</v>
      </c>
      <c r="D11" s="11" t="s">
        <v>18</v>
      </c>
      <c r="E11" s="12">
        <v>2</v>
      </c>
      <c r="F11" s="13">
        <v>2</v>
      </c>
      <c r="G11" s="14">
        <f t="shared" si="0"/>
        <v>188</v>
      </c>
      <c r="H11" s="15">
        <f t="shared" si="1"/>
        <v>94</v>
      </c>
      <c r="I11" s="13">
        <f t="shared" si="2"/>
        <v>11</v>
      </c>
      <c r="J11" s="16" t="str">
        <f t="shared" si="3"/>
        <v>TUNTAS</v>
      </c>
      <c r="K11" s="13"/>
      <c r="M11" s="46">
        <f t="shared" si="4"/>
        <v>9.4</v>
      </c>
    </row>
    <row r="12" spans="1:13" x14ac:dyDescent="0.25">
      <c r="A12" s="8">
        <v>5</v>
      </c>
      <c r="B12" s="9" t="s">
        <v>2178</v>
      </c>
      <c r="C12" s="17" t="s">
        <v>2179</v>
      </c>
      <c r="D12" s="18" t="s">
        <v>18</v>
      </c>
      <c r="E12" s="12">
        <v>14</v>
      </c>
      <c r="F12" s="13">
        <v>3</v>
      </c>
      <c r="G12" s="14">
        <f t="shared" si="0"/>
        <v>149</v>
      </c>
      <c r="H12" s="15">
        <f t="shared" si="1"/>
        <v>74.5</v>
      </c>
      <c r="I12" s="13">
        <f t="shared" si="2"/>
        <v>38</v>
      </c>
      <c r="J12" s="16" t="str">
        <f t="shared" si="3"/>
        <v>TUNTAS</v>
      </c>
      <c r="K12" s="13"/>
      <c r="M12" s="46">
        <f t="shared" si="4"/>
        <v>7.45</v>
      </c>
    </row>
    <row r="13" spans="1:13" x14ac:dyDescent="0.25">
      <c r="A13" s="8">
        <v>6</v>
      </c>
      <c r="B13" s="9" t="s">
        <v>2180</v>
      </c>
      <c r="C13" s="17" t="s">
        <v>2181</v>
      </c>
      <c r="D13" s="18" t="s">
        <v>19</v>
      </c>
      <c r="E13" s="12">
        <v>8</v>
      </c>
      <c r="F13" s="13">
        <v>5</v>
      </c>
      <c r="G13" s="14">
        <f t="shared" si="0"/>
        <v>161</v>
      </c>
      <c r="H13" s="15">
        <f t="shared" si="1"/>
        <v>80.5</v>
      </c>
      <c r="I13" s="13">
        <f t="shared" si="2"/>
        <v>33</v>
      </c>
      <c r="J13" s="16" t="str">
        <f t="shared" si="3"/>
        <v>TUNTAS</v>
      </c>
      <c r="K13" s="13"/>
      <c r="M13" s="46">
        <f t="shared" si="4"/>
        <v>8.0500000000000007</v>
      </c>
    </row>
    <row r="14" spans="1:13" x14ac:dyDescent="0.25">
      <c r="A14" s="8">
        <v>7</v>
      </c>
      <c r="B14" s="9" t="s">
        <v>2182</v>
      </c>
      <c r="C14" s="17" t="s">
        <v>2183</v>
      </c>
      <c r="D14" s="18" t="s">
        <v>22</v>
      </c>
      <c r="E14" s="12">
        <v>6</v>
      </c>
      <c r="F14" s="13">
        <v>0</v>
      </c>
      <c r="G14" s="14">
        <f t="shared" si="0"/>
        <v>182</v>
      </c>
      <c r="H14" s="15">
        <f t="shared" si="1"/>
        <v>91</v>
      </c>
      <c r="I14" s="13">
        <f t="shared" si="2"/>
        <v>17</v>
      </c>
      <c r="J14" s="16" t="str">
        <f t="shared" si="3"/>
        <v>TUNTAS</v>
      </c>
      <c r="K14" s="13"/>
      <c r="M14" s="46">
        <f t="shared" si="4"/>
        <v>9.1</v>
      </c>
    </row>
    <row r="15" spans="1:13" x14ac:dyDescent="0.25">
      <c r="A15" s="8">
        <v>8</v>
      </c>
      <c r="B15" s="9" t="s">
        <v>2184</v>
      </c>
      <c r="C15" s="10" t="s">
        <v>2185</v>
      </c>
      <c r="D15" s="11" t="s">
        <v>22</v>
      </c>
      <c r="E15" s="12">
        <v>5</v>
      </c>
      <c r="F15" s="13">
        <v>1</v>
      </c>
      <c r="G15" s="14">
        <f t="shared" si="0"/>
        <v>182</v>
      </c>
      <c r="H15" s="15">
        <f t="shared" si="1"/>
        <v>91</v>
      </c>
      <c r="I15" s="13">
        <f t="shared" si="2"/>
        <v>17</v>
      </c>
      <c r="J15" s="16" t="str">
        <f t="shared" si="3"/>
        <v>TUNTAS</v>
      </c>
      <c r="K15" s="13"/>
      <c r="M15" s="46">
        <f t="shared" si="4"/>
        <v>9.1</v>
      </c>
    </row>
    <row r="16" spans="1:13" x14ac:dyDescent="0.25">
      <c r="A16" s="8">
        <v>9</v>
      </c>
      <c r="B16" s="9" t="s">
        <v>2186</v>
      </c>
      <c r="C16" s="20" t="s">
        <v>2187</v>
      </c>
      <c r="D16" s="18" t="s">
        <v>24</v>
      </c>
      <c r="E16" s="12">
        <v>10</v>
      </c>
      <c r="F16" s="13">
        <v>0</v>
      </c>
      <c r="G16" s="14">
        <f t="shared" si="0"/>
        <v>170</v>
      </c>
      <c r="H16" s="15">
        <f t="shared" si="1"/>
        <v>85</v>
      </c>
      <c r="I16" s="13">
        <f t="shared" si="2"/>
        <v>28</v>
      </c>
      <c r="J16" s="16" t="str">
        <f t="shared" si="3"/>
        <v>TUNTAS</v>
      </c>
      <c r="K16" s="13"/>
      <c r="M16" s="46">
        <f t="shared" si="4"/>
        <v>8.5</v>
      </c>
    </row>
    <row r="17" spans="1:13" x14ac:dyDescent="0.25">
      <c r="A17" s="8">
        <v>10</v>
      </c>
      <c r="B17" s="9" t="s">
        <v>2188</v>
      </c>
      <c r="C17" s="10" t="s">
        <v>2189</v>
      </c>
      <c r="D17" s="11" t="s">
        <v>124</v>
      </c>
      <c r="E17" s="12">
        <v>32</v>
      </c>
      <c r="F17" s="13">
        <v>32</v>
      </c>
      <c r="G17" s="14">
        <f t="shared" si="0"/>
        <v>8</v>
      </c>
      <c r="H17" s="15">
        <f t="shared" si="1"/>
        <v>4</v>
      </c>
      <c r="I17" s="13">
        <f t="shared" si="2"/>
        <v>52</v>
      </c>
      <c r="J17" s="16" t="str">
        <f t="shared" si="3"/>
        <v>TIDAK HADIR</v>
      </c>
      <c r="K17" s="13" t="s">
        <v>3264</v>
      </c>
      <c r="M17" s="46">
        <f t="shared" si="4"/>
        <v>0.4</v>
      </c>
    </row>
    <row r="18" spans="1:13" x14ac:dyDescent="0.25">
      <c r="A18" s="8">
        <v>11</v>
      </c>
      <c r="B18" s="9" t="s">
        <v>2190</v>
      </c>
      <c r="C18" s="10" t="s">
        <v>2191</v>
      </c>
      <c r="D18" s="11" t="s">
        <v>124</v>
      </c>
      <c r="E18" s="12">
        <v>2</v>
      </c>
      <c r="F18" s="13">
        <v>1</v>
      </c>
      <c r="G18" s="14">
        <f t="shared" si="0"/>
        <v>191</v>
      </c>
      <c r="H18" s="15">
        <f t="shared" si="1"/>
        <v>95.5</v>
      </c>
      <c r="I18" s="13">
        <f t="shared" si="2"/>
        <v>4</v>
      </c>
      <c r="J18" s="16" t="str">
        <f t="shared" si="3"/>
        <v>TUNTAS</v>
      </c>
      <c r="K18" s="13"/>
      <c r="M18" s="46">
        <f t="shared" si="4"/>
        <v>9.5500000000000007</v>
      </c>
    </row>
    <row r="19" spans="1:13" x14ac:dyDescent="0.25">
      <c r="A19" s="8">
        <v>12</v>
      </c>
      <c r="B19" s="9" t="s">
        <v>2192</v>
      </c>
      <c r="C19" s="10" t="s">
        <v>2193</v>
      </c>
      <c r="D19" s="11" t="s">
        <v>124</v>
      </c>
      <c r="E19" s="12">
        <v>3</v>
      </c>
      <c r="F19" s="13">
        <v>5</v>
      </c>
      <c r="G19" s="14">
        <f t="shared" si="0"/>
        <v>176</v>
      </c>
      <c r="H19" s="15">
        <f t="shared" si="1"/>
        <v>88</v>
      </c>
      <c r="I19" s="13">
        <f t="shared" si="2"/>
        <v>24</v>
      </c>
      <c r="J19" s="16" t="str">
        <f t="shared" si="3"/>
        <v>TUNTAS</v>
      </c>
      <c r="K19" s="13"/>
      <c r="M19" s="46">
        <f t="shared" si="4"/>
        <v>8.8000000000000007</v>
      </c>
    </row>
    <row r="20" spans="1:13" x14ac:dyDescent="0.25">
      <c r="A20" s="8">
        <v>13</v>
      </c>
      <c r="B20" s="9" t="s">
        <v>2194</v>
      </c>
      <c r="C20" s="10" t="s">
        <v>2195</v>
      </c>
      <c r="D20" s="18" t="s">
        <v>26</v>
      </c>
      <c r="E20" s="12">
        <v>7</v>
      </c>
      <c r="F20" s="13">
        <v>4</v>
      </c>
      <c r="G20" s="14">
        <f t="shared" si="0"/>
        <v>167</v>
      </c>
      <c r="H20" s="15">
        <f t="shared" si="1"/>
        <v>83.5</v>
      </c>
      <c r="I20" s="13">
        <f t="shared" si="2"/>
        <v>30</v>
      </c>
      <c r="J20" s="16" t="str">
        <f t="shared" si="3"/>
        <v>TUNTAS</v>
      </c>
      <c r="K20" s="13"/>
      <c r="M20" s="46">
        <f t="shared" si="4"/>
        <v>8.35</v>
      </c>
    </row>
    <row r="21" spans="1:13" x14ac:dyDescent="0.25">
      <c r="A21" s="8">
        <v>14</v>
      </c>
      <c r="B21" s="9" t="s">
        <v>2196</v>
      </c>
      <c r="C21" s="10" t="s">
        <v>2197</v>
      </c>
      <c r="D21" s="11" t="s">
        <v>75</v>
      </c>
      <c r="E21" s="12">
        <v>4</v>
      </c>
      <c r="F21" s="13">
        <v>2</v>
      </c>
      <c r="G21" s="14">
        <f t="shared" si="0"/>
        <v>182</v>
      </c>
      <c r="H21" s="15">
        <f t="shared" si="1"/>
        <v>91</v>
      </c>
      <c r="I21" s="13">
        <f t="shared" si="2"/>
        <v>17</v>
      </c>
      <c r="J21" s="16" t="str">
        <f t="shared" si="3"/>
        <v>TUNTAS</v>
      </c>
      <c r="K21" s="13"/>
      <c r="M21" s="46">
        <f t="shared" si="4"/>
        <v>9.1</v>
      </c>
    </row>
    <row r="22" spans="1:13" x14ac:dyDescent="0.25">
      <c r="A22" s="8">
        <v>15</v>
      </c>
      <c r="B22" s="9" t="s">
        <v>2198</v>
      </c>
      <c r="C22" s="21" t="s">
        <v>2199</v>
      </c>
      <c r="D22" s="19" t="s">
        <v>28</v>
      </c>
      <c r="E22" s="12">
        <v>5</v>
      </c>
      <c r="F22" s="13">
        <v>0</v>
      </c>
      <c r="G22" s="14">
        <f t="shared" si="0"/>
        <v>185</v>
      </c>
      <c r="H22" s="15">
        <f t="shared" si="1"/>
        <v>92.5</v>
      </c>
      <c r="I22" s="13">
        <f t="shared" si="2"/>
        <v>14</v>
      </c>
      <c r="J22" s="16" t="str">
        <f t="shared" si="3"/>
        <v>TUNTAS</v>
      </c>
      <c r="K22" s="13"/>
      <c r="M22" s="46">
        <f t="shared" si="4"/>
        <v>9.25</v>
      </c>
    </row>
    <row r="23" spans="1:13" x14ac:dyDescent="0.25">
      <c r="A23" s="8">
        <v>16</v>
      </c>
      <c r="B23" s="9" t="s">
        <v>2200</v>
      </c>
      <c r="C23" s="21" t="s">
        <v>2201</v>
      </c>
      <c r="D23" s="19" t="s">
        <v>76</v>
      </c>
      <c r="E23" s="12">
        <v>7</v>
      </c>
      <c r="F23" s="13">
        <v>4</v>
      </c>
      <c r="G23" s="14">
        <f t="shared" si="0"/>
        <v>167</v>
      </c>
      <c r="H23" s="15">
        <f t="shared" si="1"/>
        <v>83.5</v>
      </c>
      <c r="I23" s="13">
        <f t="shared" si="2"/>
        <v>30</v>
      </c>
      <c r="J23" s="16" t="str">
        <f t="shared" si="3"/>
        <v>TUNTAS</v>
      </c>
      <c r="K23" s="13"/>
      <c r="M23" s="46">
        <f t="shared" si="4"/>
        <v>8.35</v>
      </c>
    </row>
    <row r="24" spans="1:13" x14ac:dyDescent="0.25">
      <c r="A24" s="8">
        <v>17</v>
      </c>
      <c r="B24" s="9" t="s">
        <v>2202</v>
      </c>
      <c r="C24" s="10" t="s">
        <v>2203</v>
      </c>
      <c r="D24" s="11" t="s">
        <v>29</v>
      </c>
      <c r="E24" s="12">
        <v>15</v>
      </c>
      <c r="F24" s="13">
        <v>5</v>
      </c>
      <c r="G24" s="14">
        <f t="shared" si="0"/>
        <v>140</v>
      </c>
      <c r="H24" s="15">
        <f t="shared" si="1"/>
        <v>70</v>
      </c>
      <c r="I24" s="13">
        <f t="shared" si="2"/>
        <v>41</v>
      </c>
      <c r="J24" s="16" t="str">
        <f t="shared" si="3"/>
        <v>TUNTAS</v>
      </c>
      <c r="K24" s="13"/>
      <c r="M24" s="46">
        <f t="shared" si="4"/>
        <v>7</v>
      </c>
    </row>
    <row r="25" spans="1:13" x14ac:dyDescent="0.25">
      <c r="A25" s="8">
        <v>18</v>
      </c>
      <c r="B25" s="9" t="s">
        <v>2204</v>
      </c>
      <c r="C25" s="20" t="s">
        <v>2205</v>
      </c>
      <c r="D25" s="18" t="s">
        <v>102</v>
      </c>
      <c r="E25" s="12">
        <v>15</v>
      </c>
      <c r="F25" s="13">
        <v>3</v>
      </c>
      <c r="G25" s="14">
        <f t="shared" si="0"/>
        <v>146</v>
      </c>
      <c r="H25" s="15">
        <f t="shared" si="1"/>
        <v>73</v>
      </c>
      <c r="I25" s="13">
        <f t="shared" si="2"/>
        <v>39</v>
      </c>
      <c r="J25" s="16" t="str">
        <f t="shared" si="3"/>
        <v>TUNTAS</v>
      </c>
      <c r="K25" s="13"/>
      <c r="M25" s="46">
        <f t="shared" si="4"/>
        <v>7.3</v>
      </c>
    </row>
    <row r="26" spans="1:13" x14ac:dyDescent="0.25">
      <c r="A26" s="8">
        <v>19</v>
      </c>
      <c r="B26" s="9" t="s">
        <v>2206</v>
      </c>
      <c r="C26" s="10" t="s">
        <v>2207</v>
      </c>
      <c r="D26" s="11" t="s">
        <v>102</v>
      </c>
      <c r="E26" s="12">
        <v>32</v>
      </c>
      <c r="F26" s="13">
        <v>32</v>
      </c>
      <c r="G26" s="14">
        <f t="shared" si="0"/>
        <v>8</v>
      </c>
      <c r="H26" s="15">
        <f t="shared" si="1"/>
        <v>4</v>
      </c>
      <c r="I26" s="13">
        <f t="shared" si="2"/>
        <v>52</v>
      </c>
      <c r="J26" s="16" t="str">
        <f t="shared" si="3"/>
        <v>TIDAK HADIR</v>
      </c>
      <c r="K26" s="13" t="s">
        <v>3264</v>
      </c>
      <c r="M26" s="46">
        <f t="shared" si="4"/>
        <v>0.4</v>
      </c>
    </row>
    <row r="27" spans="1:13" x14ac:dyDescent="0.25">
      <c r="A27" s="8">
        <v>20</v>
      </c>
      <c r="B27" s="9" t="s">
        <v>2208</v>
      </c>
      <c r="C27" s="10" t="s">
        <v>2209</v>
      </c>
      <c r="D27" s="11" t="s">
        <v>92</v>
      </c>
      <c r="E27" s="12">
        <v>18</v>
      </c>
      <c r="F27" s="13">
        <v>5</v>
      </c>
      <c r="G27" s="14">
        <f t="shared" si="0"/>
        <v>131</v>
      </c>
      <c r="H27" s="15">
        <f t="shared" si="1"/>
        <v>65.5</v>
      </c>
      <c r="I27" s="13">
        <f t="shared" si="2"/>
        <v>46</v>
      </c>
      <c r="J27" s="16" t="str">
        <f t="shared" si="3"/>
        <v>TUNTAS</v>
      </c>
      <c r="K27" s="13"/>
      <c r="M27" s="46">
        <f t="shared" si="4"/>
        <v>6.55</v>
      </c>
    </row>
    <row r="28" spans="1:13" x14ac:dyDescent="0.25">
      <c r="A28" s="8">
        <v>21</v>
      </c>
      <c r="B28" s="9" t="s">
        <v>2210</v>
      </c>
      <c r="C28" s="10" t="s">
        <v>2211</v>
      </c>
      <c r="D28" s="11" t="s">
        <v>33</v>
      </c>
      <c r="E28" s="12">
        <v>2</v>
      </c>
      <c r="F28" s="13">
        <v>1</v>
      </c>
      <c r="G28" s="14">
        <f t="shared" si="0"/>
        <v>191</v>
      </c>
      <c r="H28" s="15">
        <f t="shared" si="1"/>
        <v>95.5</v>
      </c>
      <c r="I28" s="13">
        <f t="shared" si="2"/>
        <v>4</v>
      </c>
      <c r="J28" s="16" t="str">
        <f t="shared" si="3"/>
        <v>TUNTAS</v>
      </c>
      <c r="K28" s="13"/>
      <c r="M28" s="46">
        <f t="shared" si="4"/>
        <v>9.5500000000000007</v>
      </c>
    </row>
    <row r="29" spans="1:13" x14ac:dyDescent="0.25">
      <c r="A29" s="8">
        <v>22</v>
      </c>
      <c r="B29" s="9" t="s">
        <v>2212</v>
      </c>
      <c r="C29" s="10" t="s">
        <v>2213</v>
      </c>
      <c r="D29" s="11" t="s">
        <v>34</v>
      </c>
      <c r="E29" s="12">
        <v>4</v>
      </c>
      <c r="F29" s="13">
        <v>0</v>
      </c>
      <c r="G29" s="14">
        <f t="shared" si="0"/>
        <v>188</v>
      </c>
      <c r="H29" s="15">
        <f t="shared" si="1"/>
        <v>94</v>
      </c>
      <c r="I29" s="13">
        <f t="shared" si="2"/>
        <v>11</v>
      </c>
      <c r="J29" s="16" t="str">
        <f t="shared" si="3"/>
        <v>TUNTAS</v>
      </c>
      <c r="K29" s="13"/>
      <c r="M29" s="46">
        <f t="shared" si="4"/>
        <v>9.4</v>
      </c>
    </row>
    <row r="30" spans="1:13" x14ac:dyDescent="0.25">
      <c r="A30" s="8">
        <v>23</v>
      </c>
      <c r="B30" s="9" t="s">
        <v>2214</v>
      </c>
      <c r="C30" s="10" t="s">
        <v>2215</v>
      </c>
      <c r="D30" s="11" t="s">
        <v>35</v>
      </c>
      <c r="E30" s="12">
        <v>7</v>
      </c>
      <c r="F30" s="13">
        <v>1</v>
      </c>
      <c r="G30" s="14">
        <f t="shared" si="0"/>
        <v>176</v>
      </c>
      <c r="H30" s="15">
        <f t="shared" si="1"/>
        <v>88</v>
      </c>
      <c r="I30" s="13">
        <f t="shared" si="2"/>
        <v>24</v>
      </c>
      <c r="J30" s="16" t="str">
        <f t="shared" si="3"/>
        <v>TUNTAS</v>
      </c>
      <c r="K30" s="13"/>
      <c r="M30" s="46">
        <f t="shared" si="4"/>
        <v>8.8000000000000007</v>
      </c>
    </row>
    <row r="31" spans="1:13" x14ac:dyDescent="0.25">
      <c r="A31" s="8">
        <v>24</v>
      </c>
      <c r="B31" s="9" t="s">
        <v>2216</v>
      </c>
      <c r="C31" s="10" t="s">
        <v>2217</v>
      </c>
      <c r="D31" s="11" t="s">
        <v>93</v>
      </c>
      <c r="E31" s="12">
        <v>15</v>
      </c>
      <c r="F31" s="13">
        <v>5</v>
      </c>
      <c r="G31" s="14">
        <f t="shared" si="0"/>
        <v>140</v>
      </c>
      <c r="H31" s="15">
        <f t="shared" si="1"/>
        <v>70</v>
      </c>
      <c r="I31" s="13">
        <f t="shared" si="2"/>
        <v>41</v>
      </c>
      <c r="J31" s="16" t="str">
        <f t="shared" si="3"/>
        <v>TUNTAS</v>
      </c>
      <c r="K31" s="13"/>
      <c r="M31" s="46">
        <f t="shared" si="4"/>
        <v>7</v>
      </c>
    </row>
    <row r="32" spans="1:13" x14ac:dyDescent="0.25">
      <c r="A32" s="8">
        <v>25</v>
      </c>
      <c r="B32" s="9" t="s">
        <v>2218</v>
      </c>
      <c r="C32" s="10" t="s">
        <v>2219</v>
      </c>
      <c r="D32" s="11" t="s">
        <v>36</v>
      </c>
      <c r="E32" s="12">
        <v>5</v>
      </c>
      <c r="F32" s="13">
        <v>2</v>
      </c>
      <c r="G32" s="14">
        <f t="shared" si="0"/>
        <v>179</v>
      </c>
      <c r="H32" s="15">
        <f t="shared" si="1"/>
        <v>89.5</v>
      </c>
      <c r="I32" s="13">
        <f t="shared" si="2"/>
        <v>23</v>
      </c>
      <c r="J32" s="16" t="str">
        <f t="shared" si="3"/>
        <v>TUNTAS</v>
      </c>
      <c r="K32" s="13"/>
      <c r="M32" s="46">
        <f t="shared" si="4"/>
        <v>8.9499999999999993</v>
      </c>
    </row>
    <row r="33" spans="1:13" x14ac:dyDescent="0.25">
      <c r="A33" s="8">
        <v>26</v>
      </c>
      <c r="B33" s="9" t="s">
        <v>2220</v>
      </c>
      <c r="C33" s="21" t="s">
        <v>2221</v>
      </c>
      <c r="D33" s="19" t="s">
        <v>37</v>
      </c>
      <c r="E33" s="12">
        <v>32</v>
      </c>
      <c r="F33" s="13">
        <v>32</v>
      </c>
      <c r="G33" s="14">
        <f t="shared" si="0"/>
        <v>8</v>
      </c>
      <c r="H33" s="15">
        <f t="shared" si="1"/>
        <v>4</v>
      </c>
      <c r="I33" s="13">
        <f t="shared" si="2"/>
        <v>52</v>
      </c>
      <c r="J33" s="16" t="str">
        <f t="shared" si="3"/>
        <v>TIDAK HADIR</v>
      </c>
      <c r="K33" s="13" t="s">
        <v>3265</v>
      </c>
      <c r="M33" s="46">
        <f t="shared" si="4"/>
        <v>0.4</v>
      </c>
    </row>
    <row r="34" spans="1:13" x14ac:dyDescent="0.25">
      <c r="A34" s="8">
        <v>27</v>
      </c>
      <c r="B34" s="9" t="s">
        <v>2222</v>
      </c>
      <c r="C34" s="10" t="s">
        <v>2223</v>
      </c>
      <c r="D34" s="11" t="s">
        <v>80</v>
      </c>
      <c r="E34" s="12">
        <v>8</v>
      </c>
      <c r="F34" s="13">
        <v>5</v>
      </c>
      <c r="G34" s="14">
        <f t="shared" si="0"/>
        <v>161</v>
      </c>
      <c r="H34" s="15">
        <f t="shared" si="1"/>
        <v>80.5</v>
      </c>
      <c r="I34" s="13">
        <f t="shared" si="2"/>
        <v>33</v>
      </c>
      <c r="J34" s="16" t="str">
        <f t="shared" si="3"/>
        <v>TUNTAS</v>
      </c>
      <c r="K34" s="13"/>
      <c r="M34" s="46">
        <f t="shared" si="4"/>
        <v>8.0500000000000007</v>
      </c>
    </row>
    <row r="35" spans="1:13" x14ac:dyDescent="0.25">
      <c r="A35" s="8">
        <v>28</v>
      </c>
      <c r="B35" s="9" t="s">
        <v>2224</v>
      </c>
      <c r="C35" s="10" t="s">
        <v>2225</v>
      </c>
      <c r="D35" s="11" t="s">
        <v>40</v>
      </c>
      <c r="E35" s="12">
        <v>15</v>
      </c>
      <c r="F35" s="13">
        <v>8</v>
      </c>
      <c r="G35" s="14">
        <f t="shared" si="0"/>
        <v>131</v>
      </c>
      <c r="H35" s="15">
        <f t="shared" si="1"/>
        <v>65.5</v>
      </c>
      <c r="I35" s="13">
        <f t="shared" si="2"/>
        <v>46</v>
      </c>
      <c r="J35" s="16" t="str">
        <f t="shared" si="3"/>
        <v>TUNTAS</v>
      </c>
      <c r="K35" s="13"/>
      <c r="M35" s="46">
        <f t="shared" si="4"/>
        <v>6.55</v>
      </c>
    </row>
    <row r="36" spans="1:13" x14ac:dyDescent="0.25">
      <c r="A36" s="8">
        <v>29</v>
      </c>
      <c r="B36" s="9" t="s">
        <v>2226</v>
      </c>
      <c r="C36" s="10" t="s">
        <v>2227</v>
      </c>
      <c r="D36" s="11" t="s">
        <v>41</v>
      </c>
      <c r="E36" s="12">
        <v>4</v>
      </c>
      <c r="F36" s="13">
        <v>4</v>
      </c>
      <c r="G36" s="14">
        <f t="shared" si="0"/>
        <v>176</v>
      </c>
      <c r="H36" s="15">
        <f t="shared" si="1"/>
        <v>88</v>
      </c>
      <c r="I36" s="13">
        <f t="shared" si="2"/>
        <v>24</v>
      </c>
      <c r="J36" s="16" t="str">
        <f t="shared" si="3"/>
        <v>TUNTAS</v>
      </c>
      <c r="K36" s="13"/>
      <c r="M36" s="46">
        <f t="shared" si="4"/>
        <v>8.8000000000000007</v>
      </c>
    </row>
    <row r="37" spans="1:13" x14ac:dyDescent="0.25">
      <c r="A37" s="8">
        <v>30</v>
      </c>
      <c r="B37" s="9" t="s">
        <v>2228</v>
      </c>
      <c r="C37" s="17" t="s">
        <v>2229</v>
      </c>
      <c r="D37" s="18" t="s">
        <v>42</v>
      </c>
      <c r="E37" s="12">
        <v>8</v>
      </c>
      <c r="F37" s="13">
        <v>6</v>
      </c>
      <c r="G37" s="14">
        <f t="shared" si="0"/>
        <v>158</v>
      </c>
      <c r="H37" s="15">
        <f t="shared" si="1"/>
        <v>79</v>
      </c>
      <c r="I37" s="13">
        <f t="shared" si="2"/>
        <v>35</v>
      </c>
      <c r="J37" s="16" t="str">
        <f t="shared" si="3"/>
        <v>TUNTAS</v>
      </c>
      <c r="K37" s="13"/>
      <c r="M37" s="46">
        <f t="shared" si="4"/>
        <v>7.9</v>
      </c>
    </row>
    <row r="38" spans="1:13" x14ac:dyDescent="0.25">
      <c r="A38" s="8">
        <v>31</v>
      </c>
      <c r="B38" s="9" t="s">
        <v>2230</v>
      </c>
      <c r="C38" s="10" t="s">
        <v>2231</v>
      </c>
      <c r="D38" s="11" t="s">
        <v>44</v>
      </c>
      <c r="E38" s="12">
        <v>2</v>
      </c>
      <c r="F38" s="13">
        <v>2</v>
      </c>
      <c r="G38" s="14">
        <f t="shared" si="0"/>
        <v>188</v>
      </c>
      <c r="H38" s="15">
        <f t="shared" si="1"/>
        <v>94</v>
      </c>
      <c r="I38" s="13">
        <f t="shared" si="2"/>
        <v>11</v>
      </c>
      <c r="J38" s="16" t="str">
        <f t="shared" si="3"/>
        <v>TUNTAS</v>
      </c>
      <c r="K38" s="13"/>
      <c r="M38" s="46">
        <f t="shared" si="4"/>
        <v>9.4</v>
      </c>
    </row>
    <row r="39" spans="1:13" x14ac:dyDescent="0.25">
      <c r="A39" s="8">
        <v>32</v>
      </c>
      <c r="B39" s="9" t="s">
        <v>2232</v>
      </c>
      <c r="C39" s="10" t="s">
        <v>2233</v>
      </c>
      <c r="D39" s="11" t="s">
        <v>45</v>
      </c>
      <c r="E39" s="12">
        <v>3</v>
      </c>
      <c r="F39" s="13">
        <v>0</v>
      </c>
      <c r="G39" s="14">
        <f t="shared" si="0"/>
        <v>191</v>
      </c>
      <c r="H39" s="15">
        <f t="shared" si="1"/>
        <v>95.5</v>
      </c>
      <c r="I39" s="13">
        <f t="shared" si="2"/>
        <v>4</v>
      </c>
      <c r="J39" s="16" t="str">
        <f t="shared" si="3"/>
        <v>TUNTAS</v>
      </c>
      <c r="K39" s="13"/>
      <c r="M39" s="46">
        <f t="shared" si="4"/>
        <v>9.5500000000000007</v>
      </c>
    </row>
    <row r="40" spans="1:13" x14ac:dyDescent="0.25">
      <c r="A40" s="8">
        <v>33</v>
      </c>
      <c r="B40" s="9" t="s">
        <v>2234</v>
      </c>
      <c r="C40" s="10" t="s">
        <v>2235</v>
      </c>
      <c r="D40" s="11" t="s">
        <v>128</v>
      </c>
      <c r="E40" s="12">
        <v>4</v>
      </c>
      <c r="F40" s="13">
        <v>2</v>
      </c>
      <c r="G40" s="14">
        <f t="shared" si="0"/>
        <v>182</v>
      </c>
      <c r="H40" s="15">
        <f t="shared" si="1"/>
        <v>91</v>
      </c>
      <c r="I40" s="13">
        <f t="shared" si="2"/>
        <v>17</v>
      </c>
      <c r="J40" s="16" t="str">
        <f t="shared" si="3"/>
        <v>TUNTAS</v>
      </c>
      <c r="K40" s="13"/>
      <c r="M40" s="46">
        <f t="shared" si="4"/>
        <v>9.1</v>
      </c>
    </row>
    <row r="41" spans="1:13" x14ac:dyDescent="0.25">
      <c r="A41" s="8">
        <v>34</v>
      </c>
      <c r="B41" s="9" t="s">
        <v>2236</v>
      </c>
      <c r="C41" s="10" t="s">
        <v>2237</v>
      </c>
      <c r="D41" s="11" t="s">
        <v>128</v>
      </c>
      <c r="E41" s="12">
        <v>23</v>
      </c>
      <c r="F41" s="13">
        <v>8</v>
      </c>
      <c r="G41" s="14">
        <f t="shared" si="0"/>
        <v>107</v>
      </c>
      <c r="H41" s="15">
        <f t="shared" si="1"/>
        <v>53.5</v>
      </c>
      <c r="I41" s="13">
        <f t="shared" si="2"/>
        <v>51</v>
      </c>
      <c r="J41" s="16" t="str">
        <f t="shared" si="3"/>
        <v>TIDAK TUNTAS</v>
      </c>
      <c r="K41" s="13"/>
      <c r="M41" s="46">
        <f t="shared" si="4"/>
        <v>5.35</v>
      </c>
    </row>
    <row r="42" spans="1:13" x14ac:dyDescent="0.25">
      <c r="A42" s="8">
        <v>35</v>
      </c>
      <c r="B42" s="9" t="s">
        <v>2238</v>
      </c>
      <c r="C42" s="10" t="s">
        <v>2239</v>
      </c>
      <c r="D42" s="11" t="s">
        <v>48</v>
      </c>
      <c r="E42" s="12">
        <v>6</v>
      </c>
      <c r="F42" s="13">
        <v>0</v>
      </c>
      <c r="G42" s="14">
        <f t="shared" si="0"/>
        <v>182</v>
      </c>
      <c r="H42" s="15">
        <f t="shared" si="1"/>
        <v>91</v>
      </c>
      <c r="I42" s="13">
        <f t="shared" si="2"/>
        <v>17</v>
      </c>
      <c r="J42" s="16" t="str">
        <f t="shared" si="3"/>
        <v>TUNTAS</v>
      </c>
      <c r="K42" s="13"/>
      <c r="M42" s="46">
        <f t="shared" si="4"/>
        <v>9.1</v>
      </c>
    </row>
    <row r="43" spans="1:13" x14ac:dyDescent="0.25">
      <c r="A43" s="8">
        <v>36</v>
      </c>
      <c r="B43" s="9" t="s">
        <v>2240</v>
      </c>
      <c r="C43" s="10" t="s">
        <v>2241</v>
      </c>
      <c r="D43" s="11" t="s">
        <v>108</v>
      </c>
      <c r="E43" s="12">
        <v>32</v>
      </c>
      <c r="F43" s="13">
        <v>32</v>
      </c>
      <c r="G43" s="14">
        <f t="shared" si="0"/>
        <v>8</v>
      </c>
      <c r="H43" s="15">
        <f t="shared" si="1"/>
        <v>4</v>
      </c>
      <c r="I43" s="13">
        <f t="shared" si="2"/>
        <v>52</v>
      </c>
      <c r="J43" s="16" t="str">
        <f t="shared" si="3"/>
        <v>TIDAK HADIR</v>
      </c>
      <c r="K43" s="13" t="s">
        <v>3264</v>
      </c>
      <c r="M43" s="46">
        <f t="shared" si="4"/>
        <v>0.4</v>
      </c>
    </row>
    <row r="44" spans="1:13" x14ac:dyDescent="0.25">
      <c r="A44" s="8">
        <v>37</v>
      </c>
      <c r="B44" s="9" t="s">
        <v>2242</v>
      </c>
      <c r="C44" s="10" t="s">
        <v>2243</v>
      </c>
      <c r="D44" s="11" t="s">
        <v>51</v>
      </c>
      <c r="E44" s="12">
        <v>17</v>
      </c>
      <c r="F44" s="13">
        <v>2</v>
      </c>
      <c r="G44" s="14">
        <f t="shared" si="0"/>
        <v>143</v>
      </c>
      <c r="H44" s="15">
        <f t="shared" si="1"/>
        <v>71.5</v>
      </c>
      <c r="I44" s="13">
        <f t="shared" si="2"/>
        <v>40</v>
      </c>
      <c r="J44" s="16" t="str">
        <f t="shared" si="3"/>
        <v>TUNTAS</v>
      </c>
      <c r="K44" s="13"/>
      <c r="M44" s="46">
        <f t="shared" si="4"/>
        <v>7.15</v>
      </c>
    </row>
    <row r="45" spans="1:13" x14ac:dyDescent="0.25">
      <c r="A45" s="8">
        <v>38</v>
      </c>
      <c r="B45" s="9" t="s">
        <v>2244</v>
      </c>
      <c r="C45" s="10" t="s">
        <v>2245</v>
      </c>
      <c r="D45" s="11" t="s">
        <v>52</v>
      </c>
      <c r="E45" s="12">
        <v>6</v>
      </c>
      <c r="F45" s="13">
        <v>4</v>
      </c>
      <c r="G45" s="14">
        <f t="shared" si="0"/>
        <v>170</v>
      </c>
      <c r="H45" s="15">
        <f t="shared" si="1"/>
        <v>85</v>
      </c>
      <c r="I45" s="13">
        <f t="shared" si="2"/>
        <v>28</v>
      </c>
      <c r="J45" s="16" t="str">
        <f t="shared" si="3"/>
        <v>TUNTAS</v>
      </c>
      <c r="K45" s="13"/>
      <c r="M45" s="46">
        <f t="shared" si="4"/>
        <v>8.5</v>
      </c>
    </row>
    <row r="46" spans="1:13" x14ac:dyDescent="0.25">
      <c r="A46" s="8">
        <v>39</v>
      </c>
      <c r="B46" s="9" t="s">
        <v>2246</v>
      </c>
      <c r="C46" s="10" t="s">
        <v>2247</v>
      </c>
      <c r="D46" s="11" t="s">
        <v>52</v>
      </c>
      <c r="E46" s="12">
        <v>12</v>
      </c>
      <c r="F46" s="13">
        <v>2</v>
      </c>
      <c r="G46" s="14">
        <f t="shared" si="0"/>
        <v>158</v>
      </c>
      <c r="H46" s="15">
        <f t="shared" si="1"/>
        <v>79</v>
      </c>
      <c r="I46" s="13">
        <f t="shared" si="2"/>
        <v>35</v>
      </c>
      <c r="J46" s="16" t="str">
        <f t="shared" si="3"/>
        <v>TUNTAS</v>
      </c>
      <c r="K46" s="13"/>
      <c r="M46" s="46">
        <f t="shared" si="4"/>
        <v>7.9</v>
      </c>
    </row>
    <row r="47" spans="1:13" x14ac:dyDescent="0.25">
      <c r="A47" s="8">
        <v>40</v>
      </c>
      <c r="B47" s="9" t="s">
        <v>2248</v>
      </c>
      <c r="C47" s="10" t="s">
        <v>2249</v>
      </c>
      <c r="D47" s="11" t="s">
        <v>94</v>
      </c>
      <c r="E47" s="12">
        <v>0</v>
      </c>
      <c r="F47" s="13">
        <v>1</v>
      </c>
      <c r="G47" s="14">
        <f t="shared" ref="G47:G58" si="5">100-E47*3+100-F47*3</f>
        <v>197</v>
      </c>
      <c r="H47" s="15">
        <f t="shared" si="1"/>
        <v>98.5</v>
      </c>
      <c r="I47" s="13">
        <f t="shared" si="2"/>
        <v>3</v>
      </c>
      <c r="J47" s="16" t="str">
        <f t="shared" si="3"/>
        <v>TUNTAS</v>
      </c>
      <c r="K47" s="13"/>
      <c r="M47" s="46">
        <f t="shared" si="4"/>
        <v>9.85</v>
      </c>
    </row>
    <row r="48" spans="1:13" x14ac:dyDescent="0.25">
      <c r="A48" s="8">
        <v>41</v>
      </c>
      <c r="B48" s="9" t="s">
        <v>2250</v>
      </c>
      <c r="C48" s="10" t="s">
        <v>2251</v>
      </c>
      <c r="D48" s="11" t="s">
        <v>110</v>
      </c>
      <c r="E48" s="12">
        <v>15</v>
      </c>
      <c r="F48" s="13">
        <v>10</v>
      </c>
      <c r="G48" s="14">
        <f t="shared" si="5"/>
        <v>125</v>
      </c>
      <c r="H48" s="15">
        <f t="shared" si="1"/>
        <v>62.5</v>
      </c>
      <c r="I48" s="13">
        <f t="shared" si="2"/>
        <v>48</v>
      </c>
      <c r="J48" s="16" t="str">
        <f t="shared" si="3"/>
        <v>TUNTAS</v>
      </c>
      <c r="K48" s="13"/>
      <c r="M48" s="46">
        <f t="shared" si="4"/>
        <v>6.25</v>
      </c>
    </row>
    <row r="49" spans="1:13" x14ac:dyDescent="0.25">
      <c r="A49" s="8">
        <v>42</v>
      </c>
      <c r="B49" s="9" t="s">
        <v>2252</v>
      </c>
      <c r="C49" s="10" t="s">
        <v>2253</v>
      </c>
      <c r="D49" s="11" t="s">
        <v>95</v>
      </c>
      <c r="E49" s="12">
        <v>10</v>
      </c>
      <c r="F49" s="13">
        <v>12</v>
      </c>
      <c r="G49" s="14">
        <f t="shared" si="5"/>
        <v>134</v>
      </c>
      <c r="H49" s="15">
        <f t="shared" si="1"/>
        <v>67</v>
      </c>
      <c r="I49" s="13">
        <f t="shared" si="2"/>
        <v>45</v>
      </c>
      <c r="J49" s="16" t="str">
        <f t="shared" si="3"/>
        <v>TUNTAS</v>
      </c>
      <c r="K49" s="13"/>
      <c r="M49" s="46">
        <f t="shared" si="4"/>
        <v>6.7</v>
      </c>
    </row>
    <row r="50" spans="1:13" x14ac:dyDescent="0.25">
      <c r="A50" s="8">
        <v>43</v>
      </c>
      <c r="B50" s="9" t="s">
        <v>2254</v>
      </c>
      <c r="C50" s="10" t="s">
        <v>2255</v>
      </c>
      <c r="D50" s="11" t="s">
        <v>60</v>
      </c>
      <c r="E50" s="12">
        <v>13</v>
      </c>
      <c r="F50" s="13">
        <v>8</v>
      </c>
      <c r="G50" s="14">
        <f t="shared" si="5"/>
        <v>137</v>
      </c>
      <c r="H50" s="15">
        <f t="shared" si="1"/>
        <v>68.5</v>
      </c>
      <c r="I50" s="13">
        <f t="shared" si="2"/>
        <v>43</v>
      </c>
      <c r="J50" s="16" t="str">
        <f t="shared" si="3"/>
        <v>TUNTAS</v>
      </c>
      <c r="K50" s="13"/>
      <c r="M50" s="46">
        <f t="shared" si="4"/>
        <v>6.85</v>
      </c>
    </row>
    <row r="51" spans="1:13" x14ac:dyDescent="0.25">
      <c r="A51" s="8">
        <v>44</v>
      </c>
      <c r="B51" s="9" t="s">
        <v>2256</v>
      </c>
      <c r="C51" s="10" t="s">
        <v>2257</v>
      </c>
      <c r="D51" s="11" t="s">
        <v>97</v>
      </c>
      <c r="E51" s="12">
        <v>15</v>
      </c>
      <c r="F51" s="13">
        <v>0</v>
      </c>
      <c r="G51" s="14">
        <f t="shared" si="5"/>
        <v>155</v>
      </c>
      <c r="H51" s="15">
        <f t="shared" si="1"/>
        <v>77.5</v>
      </c>
      <c r="I51" s="13">
        <f t="shared" si="2"/>
        <v>37</v>
      </c>
      <c r="J51" s="16" t="str">
        <f t="shared" si="3"/>
        <v>TUNTAS</v>
      </c>
      <c r="K51" s="13"/>
      <c r="M51" s="46">
        <f t="shared" si="4"/>
        <v>7.75</v>
      </c>
    </row>
    <row r="52" spans="1:13" x14ac:dyDescent="0.25">
      <c r="A52" s="8">
        <v>45</v>
      </c>
      <c r="B52" s="9" t="s">
        <v>2258</v>
      </c>
      <c r="C52" s="10" t="s">
        <v>2259</v>
      </c>
      <c r="D52" s="11" t="s">
        <v>327</v>
      </c>
      <c r="E52" s="12">
        <v>6</v>
      </c>
      <c r="F52" s="13">
        <v>0</v>
      </c>
      <c r="G52" s="14">
        <f t="shared" si="5"/>
        <v>182</v>
      </c>
      <c r="H52" s="15">
        <f t="shared" si="1"/>
        <v>91</v>
      </c>
      <c r="I52" s="13">
        <f t="shared" si="2"/>
        <v>17</v>
      </c>
      <c r="J52" s="16" t="str">
        <f t="shared" si="3"/>
        <v>TUNTAS</v>
      </c>
      <c r="K52" s="13"/>
      <c r="M52" s="46">
        <f t="shared" si="4"/>
        <v>9.1</v>
      </c>
    </row>
    <row r="53" spans="1:13" x14ac:dyDescent="0.25">
      <c r="A53" s="8">
        <v>46</v>
      </c>
      <c r="B53" s="9" t="s">
        <v>2260</v>
      </c>
      <c r="C53" s="10" t="s">
        <v>2261</v>
      </c>
      <c r="D53" s="11" t="s">
        <v>63</v>
      </c>
      <c r="E53" s="12">
        <v>2</v>
      </c>
      <c r="F53" s="13">
        <v>1</v>
      </c>
      <c r="G53" s="14">
        <f t="shared" si="5"/>
        <v>191</v>
      </c>
      <c r="H53" s="15">
        <f t="shared" si="1"/>
        <v>95.5</v>
      </c>
      <c r="I53" s="13">
        <f t="shared" si="2"/>
        <v>4</v>
      </c>
      <c r="J53" s="16" t="str">
        <f t="shared" si="3"/>
        <v>TUNTAS</v>
      </c>
      <c r="K53" s="13"/>
      <c r="M53" s="46">
        <f t="shared" si="4"/>
        <v>9.5500000000000007</v>
      </c>
    </row>
    <row r="54" spans="1:13" x14ac:dyDescent="0.25">
      <c r="A54" s="8">
        <v>47</v>
      </c>
      <c r="B54" s="9" t="s">
        <v>2262</v>
      </c>
      <c r="C54" s="10" t="s">
        <v>2263</v>
      </c>
      <c r="D54" s="11" t="s">
        <v>64</v>
      </c>
      <c r="E54" s="12">
        <v>0</v>
      </c>
      <c r="F54" s="13">
        <v>0</v>
      </c>
      <c r="G54" s="14">
        <f t="shared" si="5"/>
        <v>200</v>
      </c>
      <c r="H54" s="15">
        <f t="shared" si="1"/>
        <v>100</v>
      </c>
      <c r="I54" s="13">
        <f t="shared" si="2"/>
        <v>1</v>
      </c>
      <c r="J54" s="16" t="str">
        <f t="shared" si="3"/>
        <v>TUNTAS</v>
      </c>
      <c r="K54" s="13"/>
      <c r="M54" s="46">
        <f t="shared" si="4"/>
        <v>10</v>
      </c>
    </row>
    <row r="55" spans="1:13" x14ac:dyDescent="0.25">
      <c r="A55" s="8">
        <v>48</v>
      </c>
      <c r="B55" s="9" t="s">
        <v>2264</v>
      </c>
      <c r="C55" s="10" t="s">
        <v>2265</v>
      </c>
      <c r="D55" s="11" t="s">
        <v>65</v>
      </c>
      <c r="E55" s="12">
        <v>8</v>
      </c>
      <c r="F55" s="13">
        <v>4</v>
      </c>
      <c r="G55" s="14">
        <f t="shared" si="5"/>
        <v>164</v>
      </c>
      <c r="H55" s="15">
        <f t="shared" si="1"/>
        <v>82</v>
      </c>
      <c r="I55" s="13">
        <f t="shared" si="2"/>
        <v>32</v>
      </c>
      <c r="J55" s="16" t="str">
        <f t="shared" si="3"/>
        <v>TUNTAS</v>
      </c>
      <c r="K55" s="13"/>
      <c r="M55" s="46">
        <f t="shared" si="4"/>
        <v>8.1999999999999993</v>
      </c>
    </row>
    <row r="56" spans="1:13" x14ac:dyDescent="0.25">
      <c r="A56" s="8">
        <v>49</v>
      </c>
      <c r="B56" s="9" t="s">
        <v>2266</v>
      </c>
      <c r="C56" s="10" t="s">
        <v>2267</v>
      </c>
      <c r="D56" s="11" t="s">
        <v>88</v>
      </c>
      <c r="E56" s="12">
        <v>32</v>
      </c>
      <c r="F56" s="13">
        <v>32</v>
      </c>
      <c r="G56" s="14">
        <f t="shared" si="5"/>
        <v>8</v>
      </c>
      <c r="H56" s="15">
        <f t="shared" si="1"/>
        <v>4</v>
      </c>
      <c r="I56" s="13">
        <f t="shared" si="2"/>
        <v>52</v>
      </c>
      <c r="J56" s="16" t="str">
        <f t="shared" si="3"/>
        <v>TIDAK HADIR</v>
      </c>
      <c r="K56" s="13" t="s">
        <v>3264</v>
      </c>
      <c r="M56" s="46">
        <f t="shared" si="4"/>
        <v>0.4</v>
      </c>
    </row>
    <row r="57" spans="1:13" x14ac:dyDescent="0.25">
      <c r="A57" s="8">
        <v>50</v>
      </c>
      <c r="B57" s="9" t="s">
        <v>2268</v>
      </c>
      <c r="C57" s="10" t="s">
        <v>2269</v>
      </c>
      <c r="D57" s="11" t="s">
        <v>98</v>
      </c>
      <c r="E57" s="12">
        <v>1</v>
      </c>
      <c r="F57" s="13">
        <v>4</v>
      </c>
      <c r="G57" s="14">
        <f t="shared" si="5"/>
        <v>185</v>
      </c>
      <c r="H57" s="15">
        <f t="shared" si="1"/>
        <v>92.5</v>
      </c>
      <c r="I57" s="13">
        <f t="shared" si="2"/>
        <v>14</v>
      </c>
      <c r="J57" s="16" t="str">
        <f t="shared" si="3"/>
        <v>TUNTAS</v>
      </c>
      <c r="K57" s="13"/>
      <c r="M57" s="46">
        <f t="shared" si="4"/>
        <v>9.25</v>
      </c>
    </row>
    <row r="58" spans="1:13" x14ac:dyDescent="0.25">
      <c r="A58" s="8">
        <v>51</v>
      </c>
      <c r="B58" s="9" t="s">
        <v>2270</v>
      </c>
      <c r="C58" s="10" t="s">
        <v>2271</v>
      </c>
      <c r="D58" s="11" t="s">
        <v>120</v>
      </c>
      <c r="E58" s="12">
        <v>3</v>
      </c>
      <c r="F58" s="13">
        <v>0</v>
      </c>
      <c r="G58" s="14">
        <f t="shared" si="5"/>
        <v>191</v>
      </c>
      <c r="H58" s="15">
        <f t="shared" si="1"/>
        <v>95.5</v>
      </c>
      <c r="I58" s="13">
        <f t="shared" si="2"/>
        <v>4</v>
      </c>
      <c r="J58" s="16" t="str">
        <f t="shared" si="3"/>
        <v>TUNTAS</v>
      </c>
      <c r="K58" s="13"/>
      <c r="M58" s="46">
        <f t="shared" si="4"/>
        <v>9.5500000000000007</v>
      </c>
    </row>
    <row r="59" spans="1:13" x14ac:dyDescent="0.25">
      <c r="A59" s="8">
        <v>52</v>
      </c>
      <c r="B59" s="9" t="s">
        <v>2272</v>
      </c>
      <c r="C59" s="10" t="s">
        <v>2273</v>
      </c>
      <c r="D59" s="11" t="s">
        <v>68</v>
      </c>
      <c r="E59" s="12">
        <v>14</v>
      </c>
      <c r="F59" s="13">
        <v>14</v>
      </c>
      <c r="G59" s="14">
        <f t="shared" ref="G59:G63" si="6">100-E59*3+100-F59*3</f>
        <v>116</v>
      </c>
      <c r="H59" s="15">
        <f t="shared" si="1"/>
        <v>58</v>
      </c>
      <c r="I59" s="13">
        <f t="shared" si="2"/>
        <v>50</v>
      </c>
      <c r="J59" s="16" t="str">
        <f t="shared" si="3"/>
        <v>TIDAK TUNTAS</v>
      </c>
      <c r="K59" s="13"/>
      <c r="M59" s="46">
        <f t="shared" si="4"/>
        <v>5.8</v>
      </c>
    </row>
    <row r="60" spans="1:13" x14ac:dyDescent="0.25">
      <c r="A60" s="8">
        <v>53</v>
      </c>
      <c r="B60" s="9" t="s">
        <v>2274</v>
      </c>
      <c r="C60" s="10" t="s">
        <v>2275</v>
      </c>
      <c r="D60" s="11" t="s">
        <v>69</v>
      </c>
      <c r="E60" s="12">
        <v>3</v>
      </c>
      <c r="F60" s="13">
        <v>0</v>
      </c>
      <c r="G60" s="14">
        <f t="shared" si="6"/>
        <v>191</v>
      </c>
      <c r="H60" s="15">
        <f t="shared" si="1"/>
        <v>95.5</v>
      </c>
      <c r="I60" s="13">
        <f t="shared" si="2"/>
        <v>4</v>
      </c>
      <c r="J60" s="16" t="str">
        <f t="shared" si="3"/>
        <v>TUNTAS</v>
      </c>
      <c r="K60" s="13"/>
      <c r="M60" s="46">
        <f t="shared" si="4"/>
        <v>9.5500000000000007</v>
      </c>
    </row>
    <row r="61" spans="1:13" x14ac:dyDescent="0.25">
      <c r="A61" s="8">
        <v>54</v>
      </c>
      <c r="B61" s="9" t="s">
        <v>2276</v>
      </c>
      <c r="C61" s="10" t="s">
        <v>2277</v>
      </c>
      <c r="D61" s="11" t="s">
        <v>70</v>
      </c>
      <c r="E61" s="12">
        <v>5</v>
      </c>
      <c r="F61" s="13">
        <v>0</v>
      </c>
      <c r="G61" s="14">
        <f t="shared" si="6"/>
        <v>185</v>
      </c>
      <c r="H61" s="15">
        <f t="shared" si="1"/>
        <v>92.5</v>
      </c>
      <c r="I61" s="13">
        <f t="shared" si="2"/>
        <v>14</v>
      </c>
      <c r="J61" s="16" t="str">
        <f t="shared" si="3"/>
        <v>TUNTAS</v>
      </c>
      <c r="K61" s="13"/>
      <c r="M61" s="46">
        <f t="shared" si="4"/>
        <v>9.25</v>
      </c>
    </row>
    <row r="62" spans="1:13" x14ac:dyDescent="0.25">
      <c r="A62" s="8">
        <v>55</v>
      </c>
      <c r="B62" s="9" t="s">
        <v>2278</v>
      </c>
      <c r="C62" s="10" t="s">
        <v>2279</v>
      </c>
      <c r="D62" s="11" t="s">
        <v>131</v>
      </c>
      <c r="E62" s="12">
        <v>6</v>
      </c>
      <c r="F62" s="13">
        <v>3</v>
      </c>
      <c r="G62" s="14">
        <f t="shared" si="6"/>
        <v>173</v>
      </c>
      <c r="H62" s="15">
        <f t="shared" si="1"/>
        <v>86.5</v>
      </c>
      <c r="I62" s="13">
        <f t="shared" si="2"/>
        <v>27</v>
      </c>
      <c r="J62" s="16" t="str">
        <f t="shared" si="3"/>
        <v>TUNTAS</v>
      </c>
      <c r="K62" s="13"/>
      <c r="M62" s="46">
        <f t="shared" si="4"/>
        <v>8.65</v>
      </c>
    </row>
    <row r="63" spans="1:13" x14ac:dyDescent="0.25">
      <c r="A63" s="8">
        <v>56</v>
      </c>
      <c r="B63" s="9" t="s">
        <v>2280</v>
      </c>
      <c r="C63" s="10" t="s">
        <v>2281</v>
      </c>
      <c r="D63" s="11" t="s">
        <v>72</v>
      </c>
      <c r="E63" s="12">
        <v>0</v>
      </c>
      <c r="F63" s="13">
        <v>0</v>
      </c>
      <c r="G63" s="14">
        <f t="shared" si="6"/>
        <v>200</v>
      </c>
      <c r="H63" s="15">
        <f t="shared" si="1"/>
        <v>100</v>
      </c>
      <c r="I63" s="13">
        <f t="shared" si="2"/>
        <v>1</v>
      </c>
      <c r="J63" s="16" t="str">
        <f t="shared" si="3"/>
        <v>TUNTAS</v>
      </c>
      <c r="K63" s="13"/>
      <c r="M63" s="46">
        <f t="shared" si="4"/>
        <v>10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phoneticPr fontId="13" type="noConversion"/>
  <conditionalFormatting sqref="D8:D10">
    <cfRule type="cellIs" dxfId="228" priority="9" operator="equal">
      <formula>0</formula>
    </cfRule>
  </conditionalFormatting>
  <conditionalFormatting sqref="H8:H63">
    <cfRule type="cellIs" dxfId="227" priority="10" operator="lessThan">
      <formula>60</formula>
    </cfRule>
    <cfRule type="cellIs" dxfId="226" priority="11" operator="lessThan">
      <formula>60</formula>
    </cfRule>
    <cfRule type="cellIs" dxfId="225" priority="14" operator="lessThan">
      <formula>50</formula>
    </cfRule>
  </conditionalFormatting>
  <conditionalFormatting sqref="J8:J63">
    <cfRule type="cellIs" dxfId="224" priority="1" operator="equal">
      <formula>"TIDAK BACA"</formula>
    </cfRule>
    <cfRule type="cellIs" dxfId="223" priority="2" operator="equal">
      <formula>"TIDAK HADIR"</formula>
    </cfRule>
    <cfRule type="cellIs" dxfId="222" priority="3" operator="equal">
      <formula>"TUNTAS"</formula>
    </cfRule>
    <cfRule type="cellIs" dxfId="221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228B9529-0C88-47BB-A34B-6BFC917C9E14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6D35-DF0E-4EC9-BA37-D0157E72BBF4}">
  <sheetPr>
    <tabColor theme="3" tint="0.59999389629810485"/>
  </sheetPr>
  <dimension ref="A1:M61"/>
  <sheetViews>
    <sheetView workbookViewId="0">
      <pane xSplit="1" ySplit="7" topLeftCell="B20" activePane="bottomRight" state="frozen"/>
      <selection activeCell="Q16" sqref="Q16"/>
      <selection pane="topRight" activeCell="Q16" sqref="Q16"/>
      <selection pane="bottomLeft" activeCell="Q16" sqref="Q16"/>
      <selection pane="bottomRight" activeCell="M61" sqref="M8:M61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3" customFormat="1" ht="19.899999999999999" customHeight="1" x14ac:dyDescent="0.25">
      <c r="A4" s="51" t="s">
        <v>3314</v>
      </c>
      <c r="B4" s="51"/>
      <c r="C4" s="51"/>
      <c r="D4" s="51"/>
      <c r="E4" s="51"/>
      <c r="F4" s="51"/>
      <c r="G4" s="51"/>
      <c r="H4" s="51"/>
      <c r="I4" s="51"/>
      <c r="J4" s="33" t="s">
        <v>3308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2282</v>
      </c>
      <c r="C8" s="10" t="s">
        <v>2283</v>
      </c>
      <c r="D8" s="11" t="s">
        <v>15</v>
      </c>
      <c r="E8" s="12">
        <v>1</v>
      </c>
      <c r="F8" s="13">
        <v>0</v>
      </c>
      <c r="G8" s="14">
        <f>100-E8*3+100-F8*3</f>
        <v>197</v>
      </c>
      <c r="H8" s="15">
        <f>G8/2</f>
        <v>98.5</v>
      </c>
      <c r="I8" s="13">
        <f t="shared" ref="I8:I10" si="0">RANK(G8,$G$8:$G$46)</f>
        <v>2</v>
      </c>
      <c r="J8" s="16" t="str">
        <f>IF(H8&lt;4.1,"TIDAK HADIR",IF(H8&lt;7.1,"TIDAK BACA",IF(H8&lt;$J$7,"TIDAK TUNTAS","TUNTAS")))</f>
        <v>TUNTAS</v>
      </c>
      <c r="K8" s="13"/>
      <c r="M8" s="46">
        <f>H8/10</f>
        <v>9.85</v>
      </c>
    </row>
    <row r="9" spans="1:13" x14ac:dyDescent="0.25">
      <c r="A9" s="8">
        <v>2</v>
      </c>
      <c r="B9" s="9" t="s">
        <v>2284</v>
      </c>
      <c r="C9" s="17" t="s">
        <v>2285</v>
      </c>
      <c r="D9" s="18" t="s">
        <v>17</v>
      </c>
      <c r="E9" s="12">
        <v>1</v>
      </c>
      <c r="F9" s="13">
        <v>0</v>
      </c>
      <c r="G9" s="14">
        <f t="shared" ref="G9:G46" si="1">100-E9*3+100-F9*3</f>
        <v>197</v>
      </c>
      <c r="H9" s="15">
        <f t="shared" ref="H9:H46" si="2">G9/2</f>
        <v>98.5</v>
      </c>
      <c r="I9" s="13">
        <f t="shared" si="0"/>
        <v>2</v>
      </c>
      <c r="J9" s="16" t="str">
        <f t="shared" ref="J9:J61" si="3">IF(H9&lt;2.8,"TIDAK HADIR",IF(H9&lt;5,"TIDAK BACA",IF(H9&lt;$J$7,"TIDAK TUNTAS","TUNTAS")))</f>
        <v>TUNTAS</v>
      </c>
      <c r="K9" s="13"/>
      <c r="M9" s="46">
        <f t="shared" ref="M9:M61" si="4">H9/10</f>
        <v>9.85</v>
      </c>
    </row>
    <row r="10" spans="1:13" x14ac:dyDescent="0.25">
      <c r="A10" s="8">
        <v>3</v>
      </c>
      <c r="B10" s="9" t="s">
        <v>2286</v>
      </c>
      <c r="C10" s="10" t="s">
        <v>2287</v>
      </c>
      <c r="D10" s="11" t="s">
        <v>18</v>
      </c>
      <c r="E10" s="12">
        <v>3</v>
      </c>
      <c r="F10" s="13">
        <v>2</v>
      </c>
      <c r="G10" s="14">
        <f t="shared" si="1"/>
        <v>185</v>
      </c>
      <c r="H10" s="15">
        <f t="shared" si="2"/>
        <v>92.5</v>
      </c>
      <c r="I10" s="13">
        <f t="shared" si="0"/>
        <v>14</v>
      </c>
      <c r="J10" s="16" t="str">
        <f t="shared" si="3"/>
        <v>TUNTAS</v>
      </c>
      <c r="K10" s="13"/>
      <c r="M10" s="46">
        <f t="shared" si="4"/>
        <v>9.25</v>
      </c>
    </row>
    <row r="11" spans="1:13" x14ac:dyDescent="0.25">
      <c r="A11" s="8">
        <v>4</v>
      </c>
      <c r="B11" s="9" t="s">
        <v>2288</v>
      </c>
      <c r="C11" s="10" t="s">
        <v>2289</v>
      </c>
      <c r="D11" s="11" t="s">
        <v>18</v>
      </c>
      <c r="E11" s="12">
        <v>10</v>
      </c>
      <c r="F11" s="13">
        <v>2</v>
      </c>
      <c r="G11" s="14">
        <f t="shared" si="1"/>
        <v>164</v>
      </c>
      <c r="H11" s="15">
        <f t="shared" si="2"/>
        <v>82</v>
      </c>
      <c r="I11" s="13">
        <f>RANK(G11,$G$8:$G$61)</f>
        <v>43</v>
      </c>
      <c r="J11" s="16" t="str">
        <f t="shared" si="3"/>
        <v>TUNTAS</v>
      </c>
      <c r="K11" s="13"/>
      <c r="M11" s="46">
        <f t="shared" si="4"/>
        <v>8.1999999999999993</v>
      </c>
    </row>
    <row r="12" spans="1:13" x14ac:dyDescent="0.25">
      <c r="A12" s="8">
        <v>5</v>
      </c>
      <c r="B12" s="9" t="s">
        <v>2290</v>
      </c>
      <c r="C12" s="17" t="s">
        <v>2291</v>
      </c>
      <c r="D12" s="18" t="s">
        <v>19</v>
      </c>
      <c r="E12" s="12">
        <v>8</v>
      </c>
      <c r="F12" s="13">
        <v>2</v>
      </c>
      <c r="G12" s="14">
        <f t="shared" si="1"/>
        <v>170</v>
      </c>
      <c r="H12" s="15">
        <f t="shared" si="2"/>
        <v>85</v>
      </c>
      <c r="I12" s="13">
        <f t="shared" ref="I12:I61" si="5">RANK(G12,$G$8:$G$61)</f>
        <v>38</v>
      </c>
      <c r="J12" s="16" t="str">
        <f t="shared" si="3"/>
        <v>TUNTAS</v>
      </c>
      <c r="K12" s="13"/>
      <c r="M12" s="46">
        <f t="shared" si="4"/>
        <v>8.5</v>
      </c>
    </row>
    <row r="13" spans="1:13" x14ac:dyDescent="0.25">
      <c r="A13" s="8">
        <v>6</v>
      </c>
      <c r="B13" s="9" t="s">
        <v>2292</v>
      </c>
      <c r="C13" s="17" t="s">
        <v>1301</v>
      </c>
      <c r="D13" s="18" t="s">
        <v>22</v>
      </c>
      <c r="E13" s="12">
        <v>9</v>
      </c>
      <c r="F13" s="13">
        <v>2</v>
      </c>
      <c r="G13" s="14">
        <f t="shared" si="1"/>
        <v>167</v>
      </c>
      <c r="H13" s="15">
        <f t="shared" si="2"/>
        <v>83.5</v>
      </c>
      <c r="I13" s="13">
        <f t="shared" si="5"/>
        <v>40</v>
      </c>
      <c r="J13" s="16" t="str">
        <f t="shared" si="3"/>
        <v>TUNTAS</v>
      </c>
      <c r="K13" s="13"/>
      <c r="M13" s="46">
        <f t="shared" si="4"/>
        <v>8.35</v>
      </c>
    </row>
    <row r="14" spans="1:13" x14ac:dyDescent="0.25">
      <c r="A14" s="8">
        <v>7</v>
      </c>
      <c r="B14" s="9" t="s">
        <v>2293</v>
      </c>
      <c r="C14" s="17" t="s">
        <v>2294</v>
      </c>
      <c r="D14" s="18" t="s">
        <v>24</v>
      </c>
      <c r="E14" s="12">
        <v>1</v>
      </c>
      <c r="F14" s="13">
        <v>5</v>
      </c>
      <c r="G14" s="14">
        <f t="shared" si="1"/>
        <v>182</v>
      </c>
      <c r="H14" s="15">
        <f t="shared" si="2"/>
        <v>91</v>
      </c>
      <c r="I14" s="13">
        <f t="shared" si="5"/>
        <v>29</v>
      </c>
      <c r="J14" s="16" t="str">
        <f t="shared" si="3"/>
        <v>TUNTAS</v>
      </c>
      <c r="K14" s="13"/>
      <c r="M14" s="46">
        <f t="shared" si="4"/>
        <v>9.1</v>
      </c>
    </row>
    <row r="15" spans="1:13" x14ac:dyDescent="0.25">
      <c r="A15" s="8">
        <v>8</v>
      </c>
      <c r="B15" s="9" t="s">
        <v>2295</v>
      </c>
      <c r="C15" s="10" t="s">
        <v>2296</v>
      </c>
      <c r="D15" s="11" t="s">
        <v>124</v>
      </c>
      <c r="E15" s="12">
        <v>5</v>
      </c>
      <c r="F15" s="13">
        <v>1</v>
      </c>
      <c r="G15" s="14">
        <f t="shared" si="1"/>
        <v>182</v>
      </c>
      <c r="H15" s="15">
        <f t="shared" si="2"/>
        <v>91</v>
      </c>
      <c r="I15" s="13">
        <f t="shared" si="5"/>
        <v>29</v>
      </c>
      <c r="J15" s="16" t="str">
        <f t="shared" si="3"/>
        <v>TUNTAS</v>
      </c>
      <c r="K15" s="13"/>
      <c r="M15" s="46">
        <f t="shared" si="4"/>
        <v>9.1</v>
      </c>
    </row>
    <row r="16" spans="1:13" x14ac:dyDescent="0.25">
      <c r="A16" s="8">
        <v>9</v>
      </c>
      <c r="B16" s="9" t="s">
        <v>2297</v>
      </c>
      <c r="C16" s="20" t="s">
        <v>2298</v>
      </c>
      <c r="D16" s="18" t="s">
        <v>124</v>
      </c>
      <c r="E16" s="12">
        <v>3</v>
      </c>
      <c r="F16" s="13">
        <v>0</v>
      </c>
      <c r="G16" s="14">
        <f t="shared" si="1"/>
        <v>191</v>
      </c>
      <c r="H16" s="15">
        <f t="shared" si="2"/>
        <v>95.5</v>
      </c>
      <c r="I16" s="13">
        <f t="shared" si="5"/>
        <v>12</v>
      </c>
      <c r="J16" s="16" t="str">
        <f t="shared" si="3"/>
        <v>TUNTAS</v>
      </c>
      <c r="K16" s="13"/>
      <c r="M16" s="46">
        <f t="shared" si="4"/>
        <v>9.5500000000000007</v>
      </c>
    </row>
    <row r="17" spans="1:13" x14ac:dyDescent="0.25">
      <c r="A17" s="8">
        <v>10</v>
      </c>
      <c r="B17" s="9" t="s">
        <v>2299</v>
      </c>
      <c r="C17" s="10" t="s">
        <v>2300</v>
      </c>
      <c r="D17" s="11" t="s">
        <v>25</v>
      </c>
      <c r="E17" s="12">
        <v>28</v>
      </c>
      <c r="F17" s="13">
        <v>12</v>
      </c>
      <c r="G17" s="14">
        <f t="shared" si="1"/>
        <v>80</v>
      </c>
      <c r="H17" s="15">
        <f t="shared" si="2"/>
        <v>40</v>
      </c>
      <c r="I17" s="13">
        <f t="shared" si="5"/>
        <v>54</v>
      </c>
      <c r="J17" s="16" t="str">
        <f t="shared" si="3"/>
        <v>TIDAK TUNTAS</v>
      </c>
      <c r="K17" s="13"/>
      <c r="M17" s="46">
        <f t="shared" si="4"/>
        <v>4</v>
      </c>
    </row>
    <row r="18" spans="1:13" x14ac:dyDescent="0.25">
      <c r="A18" s="8">
        <v>11</v>
      </c>
      <c r="B18" s="9" t="s">
        <v>2301</v>
      </c>
      <c r="C18" s="10" t="s">
        <v>2302</v>
      </c>
      <c r="D18" s="11" t="s">
        <v>26</v>
      </c>
      <c r="E18" s="12">
        <v>2</v>
      </c>
      <c r="F18" s="13">
        <v>1</v>
      </c>
      <c r="G18" s="14">
        <f t="shared" si="1"/>
        <v>191</v>
      </c>
      <c r="H18" s="15">
        <f t="shared" si="2"/>
        <v>95.5</v>
      </c>
      <c r="I18" s="13">
        <f t="shared" si="5"/>
        <v>12</v>
      </c>
      <c r="J18" s="16" t="str">
        <f t="shared" si="3"/>
        <v>TUNTAS</v>
      </c>
      <c r="K18" s="13"/>
      <c r="M18" s="46">
        <f t="shared" si="4"/>
        <v>9.5500000000000007</v>
      </c>
    </row>
    <row r="19" spans="1:13" x14ac:dyDescent="0.25">
      <c r="A19" s="8">
        <v>12</v>
      </c>
      <c r="B19" s="9" t="s">
        <v>2303</v>
      </c>
      <c r="C19" s="10" t="s">
        <v>2304</v>
      </c>
      <c r="D19" s="11" t="s">
        <v>75</v>
      </c>
      <c r="E19" s="12">
        <v>3</v>
      </c>
      <c r="F19" s="13">
        <v>2</v>
      </c>
      <c r="G19" s="14">
        <f t="shared" si="1"/>
        <v>185</v>
      </c>
      <c r="H19" s="15">
        <f t="shared" si="2"/>
        <v>92.5</v>
      </c>
      <c r="I19" s="13">
        <f t="shared" si="5"/>
        <v>21</v>
      </c>
      <c r="J19" s="16" t="str">
        <f t="shared" si="3"/>
        <v>TUNTAS</v>
      </c>
      <c r="K19" s="13"/>
      <c r="M19" s="46">
        <f t="shared" si="4"/>
        <v>9.25</v>
      </c>
    </row>
    <row r="20" spans="1:13" x14ac:dyDescent="0.25">
      <c r="A20" s="8">
        <v>13</v>
      </c>
      <c r="B20" s="9" t="s">
        <v>2305</v>
      </c>
      <c r="C20" s="10" t="s">
        <v>2306</v>
      </c>
      <c r="D20" s="18" t="s">
        <v>28</v>
      </c>
      <c r="E20" s="12">
        <v>5</v>
      </c>
      <c r="F20" s="13">
        <v>0</v>
      </c>
      <c r="G20" s="14">
        <f t="shared" si="1"/>
        <v>185</v>
      </c>
      <c r="H20" s="15">
        <f t="shared" si="2"/>
        <v>92.5</v>
      </c>
      <c r="I20" s="13">
        <f t="shared" si="5"/>
        <v>21</v>
      </c>
      <c r="J20" s="16" t="str">
        <f t="shared" si="3"/>
        <v>TUNTAS</v>
      </c>
      <c r="K20" s="13"/>
      <c r="M20" s="46">
        <f t="shared" si="4"/>
        <v>9.25</v>
      </c>
    </row>
    <row r="21" spans="1:13" x14ac:dyDescent="0.25">
      <c r="A21" s="8">
        <v>14</v>
      </c>
      <c r="B21" s="9" t="s">
        <v>2307</v>
      </c>
      <c r="C21" s="10" t="s">
        <v>2308</v>
      </c>
      <c r="D21" s="11" t="s">
        <v>76</v>
      </c>
      <c r="E21" s="12">
        <v>8</v>
      </c>
      <c r="F21" s="13">
        <v>0</v>
      </c>
      <c r="G21" s="14">
        <f t="shared" si="1"/>
        <v>176</v>
      </c>
      <c r="H21" s="15">
        <f t="shared" si="2"/>
        <v>88</v>
      </c>
      <c r="I21" s="13">
        <f t="shared" si="5"/>
        <v>35</v>
      </c>
      <c r="J21" s="16" t="str">
        <f t="shared" si="3"/>
        <v>TUNTAS</v>
      </c>
      <c r="K21" s="13"/>
      <c r="M21" s="46">
        <f t="shared" si="4"/>
        <v>8.8000000000000007</v>
      </c>
    </row>
    <row r="22" spans="1:13" x14ac:dyDescent="0.25">
      <c r="A22" s="8">
        <v>15</v>
      </c>
      <c r="B22" s="9" t="s">
        <v>2309</v>
      </c>
      <c r="C22" s="21" t="s">
        <v>2310</v>
      </c>
      <c r="D22" s="19" t="s">
        <v>30</v>
      </c>
      <c r="E22" s="12">
        <v>4</v>
      </c>
      <c r="F22" s="13">
        <v>0</v>
      </c>
      <c r="G22" s="14">
        <f t="shared" si="1"/>
        <v>188</v>
      </c>
      <c r="H22" s="15">
        <f t="shared" si="2"/>
        <v>94</v>
      </c>
      <c r="I22" s="13">
        <f t="shared" si="5"/>
        <v>19</v>
      </c>
      <c r="J22" s="16" t="str">
        <f t="shared" si="3"/>
        <v>TUNTAS</v>
      </c>
      <c r="K22" s="13"/>
      <c r="M22" s="46">
        <f t="shared" si="4"/>
        <v>9.4</v>
      </c>
    </row>
    <row r="23" spans="1:13" x14ac:dyDescent="0.25">
      <c r="A23" s="8">
        <v>16</v>
      </c>
      <c r="B23" s="9" t="s">
        <v>2311</v>
      </c>
      <c r="C23" s="21" t="s">
        <v>2312</v>
      </c>
      <c r="D23" s="19" t="s">
        <v>114</v>
      </c>
      <c r="E23" s="12">
        <v>4</v>
      </c>
      <c r="F23" s="13">
        <v>1</v>
      </c>
      <c r="G23" s="14">
        <f t="shared" si="1"/>
        <v>185</v>
      </c>
      <c r="H23" s="15">
        <f t="shared" si="2"/>
        <v>92.5</v>
      </c>
      <c r="I23" s="13">
        <f t="shared" si="5"/>
        <v>21</v>
      </c>
      <c r="J23" s="16" t="str">
        <f t="shared" si="3"/>
        <v>TUNTAS</v>
      </c>
      <c r="K23" s="13"/>
      <c r="M23" s="46">
        <f t="shared" si="4"/>
        <v>9.25</v>
      </c>
    </row>
    <row r="24" spans="1:13" x14ac:dyDescent="0.25">
      <c r="A24" s="8">
        <v>17</v>
      </c>
      <c r="B24" s="9" t="s">
        <v>2313</v>
      </c>
      <c r="C24" s="10" t="s">
        <v>2314</v>
      </c>
      <c r="D24" s="11" t="s">
        <v>32</v>
      </c>
      <c r="E24" s="12">
        <v>3</v>
      </c>
      <c r="F24" s="13">
        <v>0</v>
      </c>
      <c r="G24" s="14">
        <f t="shared" si="1"/>
        <v>191</v>
      </c>
      <c r="H24" s="15">
        <f t="shared" si="2"/>
        <v>95.5</v>
      </c>
      <c r="I24" s="13">
        <f t="shared" si="5"/>
        <v>12</v>
      </c>
      <c r="J24" s="16" t="str">
        <f t="shared" si="3"/>
        <v>TUNTAS</v>
      </c>
      <c r="K24" s="13"/>
      <c r="M24" s="46">
        <f t="shared" si="4"/>
        <v>9.5500000000000007</v>
      </c>
    </row>
    <row r="25" spans="1:13" x14ac:dyDescent="0.25">
      <c r="A25" s="8">
        <v>18</v>
      </c>
      <c r="B25" s="9" t="s">
        <v>2315</v>
      </c>
      <c r="C25" s="20" t="s">
        <v>2316</v>
      </c>
      <c r="D25" s="18" t="s">
        <v>92</v>
      </c>
      <c r="E25" s="12">
        <v>5</v>
      </c>
      <c r="F25" s="13">
        <v>0</v>
      </c>
      <c r="G25" s="14">
        <f t="shared" si="1"/>
        <v>185</v>
      </c>
      <c r="H25" s="15">
        <f t="shared" si="2"/>
        <v>92.5</v>
      </c>
      <c r="I25" s="13">
        <f t="shared" si="5"/>
        <v>21</v>
      </c>
      <c r="J25" s="16" t="str">
        <f t="shared" si="3"/>
        <v>TUNTAS</v>
      </c>
      <c r="K25" s="13"/>
      <c r="M25" s="46">
        <f t="shared" si="4"/>
        <v>9.25</v>
      </c>
    </row>
    <row r="26" spans="1:13" x14ac:dyDescent="0.25">
      <c r="A26" s="8">
        <v>19</v>
      </c>
      <c r="B26" s="9" t="s">
        <v>2317</v>
      </c>
      <c r="C26" s="10" t="s">
        <v>2318</v>
      </c>
      <c r="D26" s="11" t="s">
        <v>79</v>
      </c>
      <c r="E26" s="12">
        <v>8</v>
      </c>
      <c r="F26" s="13">
        <v>2</v>
      </c>
      <c r="G26" s="14">
        <f t="shared" si="1"/>
        <v>170</v>
      </c>
      <c r="H26" s="15">
        <f t="shared" si="2"/>
        <v>85</v>
      </c>
      <c r="I26" s="13">
        <f t="shared" si="5"/>
        <v>38</v>
      </c>
      <c r="J26" s="16" t="str">
        <f t="shared" si="3"/>
        <v>TUNTAS</v>
      </c>
      <c r="K26" s="13"/>
      <c r="M26" s="46">
        <f t="shared" si="4"/>
        <v>8.5</v>
      </c>
    </row>
    <row r="27" spans="1:13" x14ac:dyDescent="0.25">
      <c r="A27" s="8">
        <v>20</v>
      </c>
      <c r="B27" s="9" t="s">
        <v>2319</v>
      </c>
      <c r="C27" s="10" t="s">
        <v>2320</v>
      </c>
      <c r="D27" s="11" t="s">
        <v>34</v>
      </c>
      <c r="E27" s="12">
        <v>3</v>
      </c>
      <c r="F27" s="13">
        <v>3</v>
      </c>
      <c r="G27" s="14">
        <f t="shared" si="1"/>
        <v>182</v>
      </c>
      <c r="H27" s="15">
        <f t="shared" si="2"/>
        <v>91</v>
      </c>
      <c r="I27" s="13">
        <f t="shared" si="5"/>
        <v>29</v>
      </c>
      <c r="J27" s="16" t="str">
        <f t="shared" si="3"/>
        <v>TUNTAS</v>
      </c>
      <c r="K27" s="13"/>
      <c r="M27" s="46">
        <f t="shared" si="4"/>
        <v>9.1</v>
      </c>
    </row>
    <row r="28" spans="1:13" x14ac:dyDescent="0.25">
      <c r="A28" s="8">
        <v>21</v>
      </c>
      <c r="B28" s="9" t="s">
        <v>2321</v>
      </c>
      <c r="C28" s="10" t="s">
        <v>2322</v>
      </c>
      <c r="D28" s="11" t="s">
        <v>93</v>
      </c>
      <c r="E28" s="12">
        <v>0</v>
      </c>
      <c r="F28" s="13">
        <v>2</v>
      </c>
      <c r="G28" s="14">
        <f t="shared" si="1"/>
        <v>194</v>
      </c>
      <c r="H28" s="15">
        <f t="shared" si="2"/>
        <v>97</v>
      </c>
      <c r="I28" s="13">
        <f t="shared" si="5"/>
        <v>9</v>
      </c>
      <c r="J28" s="16" t="str">
        <f t="shared" si="3"/>
        <v>TUNTAS</v>
      </c>
      <c r="K28" s="13"/>
      <c r="M28" s="46">
        <f t="shared" si="4"/>
        <v>9.6999999999999993</v>
      </c>
    </row>
    <row r="29" spans="1:13" x14ac:dyDescent="0.25">
      <c r="A29" s="8">
        <v>22</v>
      </c>
      <c r="B29" s="9" t="s">
        <v>2323</v>
      </c>
      <c r="C29" s="10" t="s">
        <v>2324</v>
      </c>
      <c r="D29" s="11" t="s">
        <v>36</v>
      </c>
      <c r="E29" s="12">
        <v>3</v>
      </c>
      <c r="F29" s="13">
        <v>0</v>
      </c>
      <c r="G29" s="14">
        <f t="shared" si="1"/>
        <v>191</v>
      </c>
      <c r="H29" s="15">
        <f t="shared" si="2"/>
        <v>95.5</v>
      </c>
      <c r="I29" s="13">
        <f t="shared" si="5"/>
        <v>12</v>
      </c>
      <c r="J29" s="16" t="str">
        <f t="shared" si="3"/>
        <v>TUNTAS</v>
      </c>
      <c r="K29" s="13"/>
      <c r="M29" s="46">
        <f t="shared" si="4"/>
        <v>9.5500000000000007</v>
      </c>
    </row>
    <row r="30" spans="1:13" x14ac:dyDescent="0.25">
      <c r="A30" s="8">
        <v>23</v>
      </c>
      <c r="B30" s="9" t="s">
        <v>2325</v>
      </c>
      <c r="C30" s="10" t="s">
        <v>2326</v>
      </c>
      <c r="D30" s="11" t="s">
        <v>36</v>
      </c>
      <c r="E30" s="12">
        <v>5</v>
      </c>
      <c r="F30" s="13">
        <v>1</v>
      </c>
      <c r="G30" s="14">
        <f t="shared" si="1"/>
        <v>182</v>
      </c>
      <c r="H30" s="15">
        <f t="shared" si="2"/>
        <v>91</v>
      </c>
      <c r="I30" s="13">
        <f t="shared" si="5"/>
        <v>29</v>
      </c>
      <c r="J30" s="16" t="str">
        <f t="shared" si="3"/>
        <v>TUNTAS</v>
      </c>
      <c r="K30" s="13"/>
      <c r="M30" s="46">
        <f t="shared" si="4"/>
        <v>9.1</v>
      </c>
    </row>
    <row r="31" spans="1:13" x14ac:dyDescent="0.25">
      <c r="A31" s="8">
        <v>24</v>
      </c>
      <c r="B31" s="9" t="s">
        <v>2327</v>
      </c>
      <c r="C31" s="10" t="s">
        <v>2328</v>
      </c>
      <c r="D31" s="11" t="s">
        <v>39</v>
      </c>
      <c r="E31" s="12">
        <v>9</v>
      </c>
      <c r="F31" s="13">
        <v>5</v>
      </c>
      <c r="G31" s="14">
        <f t="shared" si="1"/>
        <v>158</v>
      </c>
      <c r="H31" s="15">
        <f t="shared" si="2"/>
        <v>79</v>
      </c>
      <c r="I31" s="13">
        <f t="shared" si="5"/>
        <v>45</v>
      </c>
      <c r="J31" s="16" t="str">
        <f t="shared" si="3"/>
        <v>TUNTAS</v>
      </c>
      <c r="K31" s="13"/>
      <c r="M31" s="46">
        <f t="shared" si="4"/>
        <v>7.9</v>
      </c>
    </row>
    <row r="32" spans="1:13" x14ac:dyDescent="0.25">
      <c r="A32" s="8">
        <v>25</v>
      </c>
      <c r="B32" s="9" t="s">
        <v>2329</v>
      </c>
      <c r="C32" s="10" t="s">
        <v>2330</v>
      </c>
      <c r="D32" s="11" t="s">
        <v>80</v>
      </c>
      <c r="E32" s="12">
        <v>12</v>
      </c>
      <c r="F32" s="13">
        <v>15</v>
      </c>
      <c r="G32" s="14">
        <f t="shared" si="1"/>
        <v>119</v>
      </c>
      <c r="H32" s="15">
        <f t="shared" si="2"/>
        <v>59.5</v>
      </c>
      <c r="I32" s="13">
        <f t="shared" si="5"/>
        <v>53</v>
      </c>
      <c r="J32" s="16" t="str">
        <f t="shared" si="3"/>
        <v>TIDAK TUNTAS</v>
      </c>
      <c r="K32" s="13"/>
      <c r="M32" s="46">
        <f t="shared" si="4"/>
        <v>5.95</v>
      </c>
    </row>
    <row r="33" spans="1:13" x14ac:dyDescent="0.25">
      <c r="A33" s="8">
        <v>26</v>
      </c>
      <c r="B33" s="9" t="s">
        <v>2331</v>
      </c>
      <c r="C33" s="21" t="s">
        <v>2332</v>
      </c>
      <c r="D33" s="19" t="s">
        <v>40</v>
      </c>
      <c r="E33" s="12">
        <v>4</v>
      </c>
      <c r="F33" s="13">
        <v>0</v>
      </c>
      <c r="G33" s="14">
        <f t="shared" si="1"/>
        <v>188</v>
      </c>
      <c r="H33" s="15">
        <f t="shared" si="2"/>
        <v>94</v>
      </c>
      <c r="I33" s="13">
        <f t="shared" si="5"/>
        <v>19</v>
      </c>
      <c r="J33" s="16" t="str">
        <f t="shared" si="3"/>
        <v>TUNTAS</v>
      </c>
      <c r="K33" s="13"/>
      <c r="M33" s="46">
        <f t="shared" si="4"/>
        <v>9.4</v>
      </c>
    </row>
    <row r="34" spans="1:13" x14ac:dyDescent="0.25">
      <c r="A34" s="8">
        <v>27</v>
      </c>
      <c r="B34" s="9" t="s">
        <v>2333</v>
      </c>
      <c r="C34" s="10" t="s">
        <v>2334</v>
      </c>
      <c r="D34" s="11" t="s">
        <v>41</v>
      </c>
      <c r="E34" s="12">
        <v>8</v>
      </c>
      <c r="F34" s="13">
        <v>1</v>
      </c>
      <c r="G34" s="14">
        <f t="shared" si="1"/>
        <v>173</v>
      </c>
      <c r="H34" s="15">
        <f t="shared" si="2"/>
        <v>86.5</v>
      </c>
      <c r="I34" s="13">
        <f t="shared" si="5"/>
        <v>37</v>
      </c>
      <c r="J34" s="16" t="str">
        <f t="shared" si="3"/>
        <v>TUNTAS</v>
      </c>
      <c r="K34" s="13"/>
      <c r="M34" s="46">
        <f t="shared" si="4"/>
        <v>8.65</v>
      </c>
    </row>
    <row r="35" spans="1:13" x14ac:dyDescent="0.25">
      <c r="A35" s="8">
        <v>28</v>
      </c>
      <c r="B35" s="9" t="s">
        <v>2335</v>
      </c>
      <c r="C35" s="10" t="s">
        <v>2336</v>
      </c>
      <c r="D35" s="11" t="s">
        <v>82</v>
      </c>
      <c r="E35" s="12">
        <v>4</v>
      </c>
      <c r="F35" s="13">
        <v>1</v>
      </c>
      <c r="G35" s="14">
        <f t="shared" si="1"/>
        <v>185</v>
      </c>
      <c r="H35" s="15">
        <f t="shared" si="2"/>
        <v>92.5</v>
      </c>
      <c r="I35" s="13">
        <f t="shared" si="5"/>
        <v>21</v>
      </c>
      <c r="J35" s="16" t="str">
        <f t="shared" si="3"/>
        <v>TUNTAS</v>
      </c>
      <c r="K35" s="13"/>
      <c r="M35" s="46">
        <f t="shared" si="4"/>
        <v>9.25</v>
      </c>
    </row>
    <row r="36" spans="1:13" x14ac:dyDescent="0.25">
      <c r="A36" s="8">
        <v>29</v>
      </c>
      <c r="B36" s="9" t="s">
        <v>2337</v>
      </c>
      <c r="C36" s="10" t="s">
        <v>2338</v>
      </c>
      <c r="D36" s="11" t="s">
        <v>44</v>
      </c>
      <c r="E36" s="12">
        <v>13</v>
      </c>
      <c r="F36" s="13">
        <v>1</v>
      </c>
      <c r="G36" s="14">
        <f t="shared" si="1"/>
        <v>158</v>
      </c>
      <c r="H36" s="15">
        <f t="shared" si="2"/>
        <v>79</v>
      </c>
      <c r="I36" s="13">
        <f t="shared" si="5"/>
        <v>45</v>
      </c>
      <c r="J36" s="16" t="str">
        <f t="shared" si="3"/>
        <v>TUNTAS</v>
      </c>
      <c r="K36" s="13"/>
      <c r="M36" s="46">
        <f t="shared" si="4"/>
        <v>7.9</v>
      </c>
    </row>
    <row r="37" spans="1:13" x14ac:dyDescent="0.25">
      <c r="A37" s="8">
        <v>30</v>
      </c>
      <c r="B37" s="9" t="s">
        <v>2339</v>
      </c>
      <c r="C37" s="17" t="s">
        <v>2340</v>
      </c>
      <c r="D37" s="18" t="s">
        <v>45</v>
      </c>
      <c r="E37" s="12">
        <v>3</v>
      </c>
      <c r="F37" s="13">
        <v>2</v>
      </c>
      <c r="G37" s="14">
        <f t="shared" si="1"/>
        <v>185</v>
      </c>
      <c r="H37" s="15">
        <f t="shared" si="2"/>
        <v>92.5</v>
      </c>
      <c r="I37" s="13">
        <f t="shared" si="5"/>
        <v>21</v>
      </c>
      <c r="J37" s="16" t="str">
        <f t="shared" si="3"/>
        <v>TUNTAS</v>
      </c>
      <c r="K37" s="13"/>
      <c r="M37" s="46">
        <f t="shared" si="4"/>
        <v>9.25</v>
      </c>
    </row>
    <row r="38" spans="1:13" x14ac:dyDescent="0.25">
      <c r="A38" s="8">
        <v>31</v>
      </c>
      <c r="B38" s="9" t="s">
        <v>2341</v>
      </c>
      <c r="C38" s="10" t="s">
        <v>2342</v>
      </c>
      <c r="D38" s="11" t="s">
        <v>128</v>
      </c>
      <c r="E38" s="12">
        <v>0</v>
      </c>
      <c r="F38" s="13">
        <v>0</v>
      </c>
      <c r="G38" s="14">
        <f t="shared" si="1"/>
        <v>200</v>
      </c>
      <c r="H38" s="15">
        <f t="shared" si="2"/>
        <v>100</v>
      </c>
      <c r="I38" s="13">
        <f t="shared" si="5"/>
        <v>1</v>
      </c>
      <c r="J38" s="16" t="str">
        <f t="shared" si="3"/>
        <v>TUNTAS</v>
      </c>
      <c r="K38" s="13"/>
      <c r="M38" s="46">
        <f t="shared" si="4"/>
        <v>10</v>
      </c>
    </row>
    <row r="39" spans="1:13" x14ac:dyDescent="0.25">
      <c r="A39" s="8">
        <v>32</v>
      </c>
      <c r="B39" s="9" t="s">
        <v>2343</v>
      </c>
      <c r="C39" s="10" t="s">
        <v>2344</v>
      </c>
      <c r="D39" s="11" t="s">
        <v>46</v>
      </c>
      <c r="E39" s="12">
        <v>4</v>
      </c>
      <c r="F39" s="13">
        <v>4</v>
      </c>
      <c r="G39" s="14">
        <f t="shared" si="1"/>
        <v>176</v>
      </c>
      <c r="H39" s="15">
        <f t="shared" si="2"/>
        <v>88</v>
      </c>
      <c r="I39" s="13">
        <f t="shared" si="5"/>
        <v>35</v>
      </c>
      <c r="J39" s="16" t="str">
        <f t="shared" si="3"/>
        <v>TUNTAS</v>
      </c>
      <c r="K39" s="13"/>
      <c r="M39" s="46">
        <f t="shared" si="4"/>
        <v>8.8000000000000007</v>
      </c>
    </row>
    <row r="40" spans="1:13" x14ac:dyDescent="0.25">
      <c r="A40" s="8">
        <v>33</v>
      </c>
      <c r="B40" s="9" t="s">
        <v>2345</v>
      </c>
      <c r="C40" s="10" t="s">
        <v>2346</v>
      </c>
      <c r="D40" s="11" t="s">
        <v>48</v>
      </c>
      <c r="E40" s="12">
        <v>2</v>
      </c>
      <c r="F40" s="13">
        <v>1</v>
      </c>
      <c r="G40" s="14">
        <f t="shared" si="1"/>
        <v>191</v>
      </c>
      <c r="H40" s="15">
        <f t="shared" si="2"/>
        <v>95.5</v>
      </c>
      <c r="I40" s="13">
        <f t="shared" si="5"/>
        <v>12</v>
      </c>
      <c r="J40" s="16" t="str">
        <f t="shared" si="3"/>
        <v>TUNTAS</v>
      </c>
      <c r="K40" s="13"/>
      <c r="M40" s="46">
        <f t="shared" si="4"/>
        <v>9.5500000000000007</v>
      </c>
    </row>
    <row r="41" spans="1:13" x14ac:dyDescent="0.25">
      <c r="A41" s="8">
        <v>34</v>
      </c>
      <c r="B41" s="9" t="s">
        <v>2347</v>
      </c>
      <c r="C41" s="10" t="s">
        <v>2348</v>
      </c>
      <c r="D41" s="11" t="s">
        <v>108</v>
      </c>
      <c r="E41" s="12">
        <v>2</v>
      </c>
      <c r="F41" s="13">
        <v>0</v>
      </c>
      <c r="G41" s="14">
        <f t="shared" si="1"/>
        <v>194</v>
      </c>
      <c r="H41" s="15">
        <f t="shared" si="2"/>
        <v>97</v>
      </c>
      <c r="I41" s="13">
        <f t="shared" si="5"/>
        <v>9</v>
      </c>
      <c r="J41" s="16" t="str">
        <f t="shared" si="3"/>
        <v>TUNTAS</v>
      </c>
      <c r="K41" s="13"/>
      <c r="M41" s="46">
        <f t="shared" si="4"/>
        <v>9.6999999999999993</v>
      </c>
    </row>
    <row r="42" spans="1:13" x14ac:dyDescent="0.25">
      <c r="A42" s="8">
        <v>35</v>
      </c>
      <c r="B42" s="9" t="s">
        <v>2349</v>
      </c>
      <c r="C42" s="10" t="s">
        <v>2350</v>
      </c>
      <c r="D42" s="11" t="s">
        <v>51</v>
      </c>
      <c r="E42" s="12">
        <v>12</v>
      </c>
      <c r="F42" s="13">
        <v>2</v>
      </c>
      <c r="G42" s="14">
        <f t="shared" si="1"/>
        <v>158</v>
      </c>
      <c r="H42" s="15">
        <f t="shared" si="2"/>
        <v>79</v>
      </c>
      <c r="I42" s="13">
        <f t="shared" si="5"/>
        <v>45</v>
      </c>
      <c r="J42" s="16" t="str">
        <f t="shared" si="3"/>
        <v>TUNTAS</v>
      </c>
      <c r="K42" s="13"/>
      <c r="M42" s="46">
        <f t="shared" si="4"/>
        <v>7.9</v>
      </c>
    </row>
    <row r="43" spans="1:13" x14ac:dyDescent="0.25">
      <c r="A43" s="8">
        <v>36</v>
      </c>
      <c r="B43" s="9" t="s">
        <v>2351</v>
      </c>
      <c r="C43" s="10" t="s">
        <v>2352</v>
      </c>
      <c r="D43" s="11" t="s">
        <v>52</v>
      </c>
      <c r="E43" s="12">
        <v>1</v>
      </c>
      <c r="F43" s="13">
        <v>0</v>
      </c>
      <c r="G43" s="14">
        <f t="shared" si="1"/>
        <v>197</v>
      </c>
      <c r="H43" s="15">
        <f t="shared" si="2"/>
        <v>98.5</v>
      </c>
      <c r="I43" s="13">
        <f t="shared" si="5"/>
        <v>5</v>
      </c>
      <c r="J43" s="16" t="str">
        <f t="shared" si="3"/>
        <v>TUNTAS</v>
      </c>
      <c r="K43" s="13"/>
      <c r="M43" s="46">
        <f t="shared" si="4"/>
        <v>9.85</v>
      </c>
    </row>
    <row r="44" spans="1:13" x14ac:dyDescent="0.25">
      <c r="A44" s="8">
        <v>37</v>
      </c>
      <c r="B44" s="9" t="s">
        <v>2353</v>
      </c>
      <c r="C44" s="10" t="s">
        <v>2354</v>
      </c>
      <c r="D44" s="11" t="s">
        <v>52</v>
      </c>
      <c r="E44" s="12">
        <v>11</v>
      </c>
      <c r="F44" s="13">
        <v>0</v>
      </c>
      <c r="G44" s="14">
        <f t="shared" si="1"/>
        <v>167</v>
      </c>
      <c r="H44" s="15">
        <f t="shared" si="2"/>
        <v>83.5</v>
      </c>
      <c r="I44" s="13">
        <f t="shared" si="5"/>
        <v>40</v>
      </c>
      <c r="J44" s="16" t="str">
        <f t="shared" si="3"/>
        <v>TUNTAS</v>
      </c>
      <c r="K44" s="13"/>
      <c r="M44" s="46">
        <f t="shared" si="4"/>
        <v>8.35</v>
      </c>
    </row>
    <row r="45" spans="1:13" x14ac:dyDescent="0.25">
      <c r="A45" s="8">
        <v>38</v>
      </c>
      <c r="B45" s="9" t="s">
        <v>2355</v>
      </c>
      <c r="C45" s="10" t="s">
        <v>2356</v>
      </c>
      <c r="D45" s="11" t="s">
        <v>55</v>
      </c>
      <c r="E45" s="12">
        <v>16</v>
      </c>
      <c r="F45" s="13">
        <v>8</v>
      </c>
      <c r="G45" s="14">
        <f t="shared" si="1"/>
        <v>128</v>
      </c>
      <c r="H45" s="15">
        <f t="shared" si="2"/>
        <v>64</v>
      </c>
      <c r="I45" s="13">
        <f t="shared" si="5"/>
        <v>52</v>
      </c>
      <c r="J45" s="16" t="str">
        <f t="shared" si="3"/>
        <v>TUNTAS</v>
      </c>
      <c r="K45" s="13"/>
      <c r="M45" s="46">
        <f t="shared" si="4"/>
        <v>6.4</v>
      </c>
    </row>
    <row r="46" spans="1:13" x14ac:dyDescent="0.25">
      <c r="A46" s="8">
        <v>39</v>
      </c>
      <c r="B46" s="9" t="s">
        <v>2357</v>
      </c>
      <c r="C46" s="10" t="s">
        <v>2358</v>
      </c>
      <c r="D46" s="11" t="s">
        <v>94</v>
      </c>
      <c r="E46" s="12">
        <v>6</v>
      </c>
      <c r="F46" s="13">
        <v>0</v>
      </c>
      <c r="G46" s="14">
        <f t="shared" si="1"/>
        <v>182</v>
      </c>
      <c r="H46" s="15">
        <f t="shared" si="2"/>
        <v>91</v>
      </c>
      <c r="I46" s="13">
        <f t="shared" si="5"/>
        <v>29</v>
      </c>
      <c r="J46" s="16" t="str">
        <f t="shared" si="3"/>
        <v>TUNTAS</v>
      </c>
      <c r="K46" s="13"/>
      <c r="M46" s="46">
        <f t="shared" si="4"/>
        <v>9.1</v>
      </c>
    </row>
    <row r="47" spans="1:13" x14ac:dyDescent="0.25">
      <c r="A47" s="8">
        <v>40</v>
      </c>
      <c r="B47" s="9" t="s">
        <v>2359</v>
      </c>
      <c r="C47" s="10" t="s">
        <v>2360</v>
      </c>
      <c r="D47" s="11" t="s">
        <v>56</v>
      </c>
      <c r="E47" s="12">
        <v>14</v>
      </c>
      <c r="F47" s="13">
        <v>8</v>
      </c>
      <c r="G47" s="14">
        <f t="shared" ref="G47:G61" si="6">100-E47*3+100-F47*3</f>
        <v>134</v>
      </c>
      <c r="H47" s="15">
        <f t="shared" ref="H47:H61" si="7">G47/2</f>
        <v>67</v>
      </c>
      <c r="I47" s="13">
        <f t="shared" si="5"/>
        <v>51</v>
      </c>
      <c r="J47" s="16" t="str">
        <f t="shared" si="3"/>
        <v>TUNTAS</v>
      </c>
      <c r="K47" s="13"/>
      <c r="M47" s="46">
        <f t="shared" si="4"/>
        <v>6.7</v>
      </c>
    </row>
    <row r="48" spans="1:13" x14ac:dyDescent="0.25">
      <c r="A48" s="8">
        <v>41</v>
      </c>
      <c r="B48" s="9" t="s">
        <v>2361</v>
      </c>
      <c r="C48" s="10" t="s">
        <v>2362</v>
      </c>
      <c r="D48" s="11" t="s">
        <v>139</v>
      </c>
      <c r="E48" s="12">
        <v>3</v>
      </c>
      <c r="F48" s="13">
        <v>0</v>
      </c>
      <c r="G48" s="14">
        <f t="shared" si="6"/>
        <v>191</v>
      </c>
      <c r="H48" s="15">
        <f t="shared" si="7"/>
        <v>95.5</v>
      </c>
      <c r="I48" s="13">
        <f t="shared" si="5"/>
        <v>12</v>
      </c>
      <c r="J48" s="16" t="str">
        <f t="shared" si="3"/>
        <v>TUNTAS</v>
      </c>
      <c r="K48" s="13"/>
      <c r="M48" s="46">
        <f t="shared" si="4"/>
        <v>9.5500000000000007</v>
      </c>
    </row>
    <row r="49" spans="1:13" x14ac:dyDescent="0.25">
      <c r="A49" s="8">
        <v>42</v>
      </c>
      <c r="B49" s="9" t="s">
        <v>2363</v>
      </c>
      <c r="C49" s="10" t="s">
        <v>2364</v>
      </c>
      <c r="D49" s="11" t="s">
        <v>60</v>
      </c>
      <c r="E49" s="12">
        <v>12</v>
      </c>
      <c r="F49" s="13">
        <v>1</v>
      </c>
      <c r="G49" s="14">
        <f t="shared" si="6"/>
        <v>161</v>
      </c>
      <c r="H49" s="15">
        <f t="shared" si="7"/>
        <v>80.5</v>
      </c>
      <c r="I49" s="13">
        <f t="shared" si="5"/>
        <v>44</v>
      </c>
      <c r="J49" s="16" t="str">
        <f t="shared" si="3"/>
        <v>TUNTAS</v>
      </c>
      <c r="K49" s="13"/>
      <c r="M49" s="46">
        <f t="shared" si="4"/>
        <v>8.0500000000000007</v>
      </c>
    </row>
    <row r="50" spans="1:13" x14ac:dyDescent="0.25">
      <c r="A50" s="8">
        <v>43</v>
      </c>
      <c r="B50" s="9" t="s">
        <v>2365</v>
      </c>
      <c r="C50" s="10" t="s">
        <v>2366</v>
      </c>
      <c r="D50" s="11" t="s">
        <v>61</v>
      </c>
      <c r="E50" s="12">
        <v>0</v>
      </c>
      <c r="F50" s="13">
        <v>1</v>
      </c>
      <c r="G50" s="14">
        <f t="shared" si="6"/>
        <v>197</v>
      </c>
      <c r="H50" s="15">
        <f t="shared" si="7"/>
        <v>98.5</v>
      </c>
      <c r="I50" s="13">
        <f t="shared" si="5"/>
        <v>5</v>
      </c>
      <c r="J50" s="16" t="str">
        <f t="shared" si="3"/>
        <v>TUNTAS</v>
      </c>
      <c r="K50" s="13"/>
      <c r="M50" s="46">
        <f t="shared" si="4"/>
        <v>9.85</v>
      </c>
    </row>
    <row r="51" spans="1:13" x14ac:dyDescent="0.25">
      <c r="A51" s="8">
        <v>44</v>
      </c>
      <c r="B51" s="9" t="s">
        <v>2367</v>
      </c>
      <c r="C51" s="10" t="s">
        <v>2368</v>
      </c>
      <c r="D51" s="11" t="s">
        <v>327</v>
      </c>
      <c r="E51" s="12">
        <v>0</v>
      </c>
      <c r="F51" s="13">
        <v>0</v>
      </c>
      <c r="G51" s="14">
        <f t="shared" si="6"/>
        <v>200</v>
      </c>
      <c r="H51" s="15">
        <f t="shared" si="7"/>
        <v>100</v>
      </c>
      <c r="I51" s="13">
        <f t="shared" si="5"/>
        <v>1</v>
      </c>
      <c r="J51" s="16" t="str">
        <f t="shared" si="3"/>
        <v>TUNTAS</v>
      </c>
      <c r="K51" s="13"/>
      <c r="M51" s="46">
        <f t="shared" si="4"/>
        <v>10</v>
      </c>
    </row>
    <row r="52" spans="1:13" x14ac:dyDescent="0.25">
      <c r="A52" s="8">
        <v>45</v>
      </c>
      <c r="B52" s="9" t="s">
        <v>2369</v>
      </c>
      <c r="C52" s="10" t="s">
        <v>2370</v>
      </c>
      <c r="D52" s="11" t="s">
        <v>63</v>
      </c>
      <c r="E52" s="12">
        <v>9</v>
      </c>
      <c r="F52" s="13">
        <v>2</v>
      </c>
      <c r="G52" s="14">
        <f t="shared" si="6"/>
        <v>167</v>
      </c>
      <c r="H52" s="15">
        <f t="shared" si="7"/>
        <v>83.5</v>
      </c>
      <c r="I52" s="13">
        <f t="shared" si="5"/>
        <v>40</v>
      </c>
      <c r="J52" s="16" t="str">
        <f t="shared" si="3"/>
        <v>TUNTAS</v>
      </c>
      <c r="K52" s="13"/>
      <c r="M52" s="46">
        <f t="shared" si="4"/>
        <v>8.35</v>
      </c>
    </row>
    <row r="53" spans="1:13" x14ac:dyDescent="0.25">
      <c r="A53" s="8">
        <v>46</v>
      </c>
      <c r="B53" s="9" t="s">
        <v>2371</v>
      </c>
      <c r="C53" s="10" t="s">
        <v>2372</v>
      </c>
      <c r="D53" s="11" t="s">
        <v>64</v>
      </c>
      <c r="E53" s="12">
        <v>4</v>
      </c>
      <c r="F53" s="13">
        <v>1</v>
      </c>
      <c r="G53" s="14">
        <f t="shared" si="6"/>
        <v>185</v>
      </c>
      <c r="H53" s="15">
        <f t="shared" si="7"/>
        <v>92.5</v>
      </c>
      <c r="I53" s="13">
        <f t="shared" si="5"/>
        <v>21</v>
      </c>
      <c r="J53" s="16" t="str">
        <f t="shared" si="3"/>
        <v>TUNTAS</v>
      </c>
      <c r="K53" s="13"/>
      <c r="M53" s="46">
        <f t="shared" si="4"/>
        <v>9.25</v>
      </c>
    </row>
    <row r="54" spans="1:13" x14ac:dyDescent="0.25">
      <c r="A54" s="8">
        <v>47</v>
      </c>
      <c r="B54" s="9" t="s">
        <v>2373</v>
      </c>
      <c r="C54" s="10" t="s">
        <v>2374</v>
      </c>
      <c r="D54" s="11" t="s">
        <v>88</v>
      </c>
      <c r="E54" s="12">
        <v>3</v>
      </c>
      <c r="F54" s="13">
        <v>0</v>
      </c>
      <c r="G54" s="14">
        <f t="shared" si="6"/>
        <v>191</v>
      </c>
      <c r="H54" s="15">
        <f t="shared" si="7"/>
        <v>95.5</v>
      </c>
      <c r="I54" s="13">
        <f t="shared" si="5"/>
        <v>12</v>
      </c>
      <c r="J54" s="16" t="str">
        <f t="shared" si="3"/>
        <v>TUNTAS</v>
      </c>
      <c r="K54" s="13"/>
      <c r="M54" s="46">
        <f t="shared" si="4"/>
        <v>9.5500000000000007</v>
      </c>
    </row>
    <row r="55" spans="1:13" x14ac:dyDescent="0.25">
      <c r="A55" s="8">
        <v>48</v>
      </c>
      <c r="B55" s="9" t="s">
        <v>2375</v>
      </c>
      <c r="C55" s="10" t="s">
        <v>2376</v>
      </c>
      <c r="D55" s="11" t="s">
        <v>88</v>
      </c>
      <c r="E55" s="12">
        <v>5</v>
      </c>
      <c r="F55" s="13">
        <v>10</v>
      </c>
      <c r="G55" s="14">
        <f t="shared" si="6"/>
        <v>155</v>
      </c>
      <c r="H55" s="15">
        <f t="shared" si="7"/>
        <v>77.5</v>
      </c>
      <c r="I55" s="13">
        <f t="shared" si="5"/>
        <v>48</v>
      </c>
      <c r="J55" s="16" t="str">
        <f t="shared" si="3"/>
        <v>TUNTAS</v>
      </c>
      <c r="K55" s="13"/>
      <c r="M55" s="46">
        <f t="shared" si="4"/>
        <v>7.75</v>
      </c>
    </row>
    <row r="56" spans="1:13" x14ac:dyDescent="0.25">
      <c r="A56" s="8">
        <v>49</v>
      </c>
      <c r="B56" s="9" t="s">
        <v>2377</v>
      </c>
      <c r="C56" s="10" t="s">
        <v>2378</v>
      </c>
      <c r="D56" s="11" t="s">
        <v>113</v>
      </c>
      <c r="E56" s="12">
        <v>0</v>
      </c>
      <c r="F56" s="13">
        <v>0</v>
      </c>
      <c r="G56" s="14">
        <f t="shared" si="6"/>
        <v>200</v>
      </c>
      <c r="H56" s="15">
        <f t="shared" si="7"/>
        <v>100</v>
      </c>
      <c r="I56" s="13">
        <f t="shared" si="5"/>
        <v>1</v>
      </c>
      <c r="J56" s="16" t="str">
        <f t="shared" si="3"/>
        <v>TUNTAS</v>
      </c>
      <c r="K56" s="13"/>
      <c r="M56" s="46">
        <f t="shared" si="4"/>
        <v>10</v>
      </c>
    </row>
    <row r="57" spans="1:13" x14ac:dyDescent="0.25">
      <c r="A57" s="8">
        <v>50</v>
      </c>
      <c r="B57" s="9" t="s">
        <v>2379</v>
      </c>
      <c r="C57" s="10" t="s">
        <v>2380</v>
      </c>
      <c r="D57" s="11" t="s">
        <v>68</v>
      </c>
      <c r="E57" s="12">
        <v>10</v>
      </c>
      <c r="F57" s="13">
        <v>9</v>
      </c>
      <c r="G57" s="14">
        <f t="shared" si="6"/>
        <v>143</v>
      </c>
      <c r="H57" s="15">
        <f t="shared" si="7"/>
        <v>71.5</v>
      </c>
      <c r="I57" s="13">
        <f t="shared" si="5"/>
        <v>49</v>
      </c>
      <c r="J57" s="16" t="str">
        <f t="shared" si="3"/>
        <v>TUNTAS</v>
      </c>
      <c r="K57" s="13"/>
      <c r="M57" s="46">
        <f t="shared" si="4"/>
        <v>7.15</v>
      </c>
    </row>
    <row r="58" spans="1:13" x14ac:dyDescent="0.25">
      <c r="A58" s="8">
        <v>51</v>
      </c>
      <c r="B58" s="9" t="s">
        <v>2381</v>
      </c>
      <c r="C58" s="10" t="s">
        <v>2382</v>
      </c>
      <c r="D58" s="11" t="s">
        <v>69</v>
      </c>
      <c r="E58" s="12">
        <v>6</v>
      </c>
      <c r="F58" s="13">
        <v>1</v>
      </c>
      <c r="G58" s="14">
        <f t="shared" si="6"/>
        <v>179</v>
      </c>
      <c r="H58" s="15">
        <f t="shared" si="7"/>
        <v>89.5</v>
      </c>
      <c r="I58" s="13">
        <f t="shared" si="5"/>
        <v>34</v>
      </c>
      <c r="J58" s="16" t="str">
        <f t="shared" si="3"/>
        <v>TUNTAS</v>
      </c>
      <c r="K58" s="13"/>
      <c r="M58" s="46">
        <f t="shared" si="4"/>
        <v>8.9499999999999993</v>
      </c>
    </row>
    <row r="59" spans="1:13" x14ac:dyDescent="0.25">
      <c r="A59" s="8">
        <v>52</v>
      </c>
      <c r="B59" s="9" t="s">
        <v>2383</v>
      </c>
      <c r="C59" s="10" t="s">
        <v>2384</v>
      </c>
      <c r="D59" s="11" t="s">
        <v>70</v>
      </c>
      <c r="E59" s="12">
        <v>12</v>
      </c>
      <c r="F59" s="13">
        <v>9</v>
      </c>
      <c r="G59" s="14">
        <f t="shared" si="6"/>
        <v>137</v>
      </c>
      <c r="H59" s="15">
        <f t="shared" si="7"/>
        <v>68.5</v>
      </c>
      <c r="I59" s="13">
        <f t="shared" si="5"/>
        <v>50</v>
      </c>
      <c r="J59" s="16" t="str">
        <f t="shared" si="3"/>
        <v>TUNTAS</v>
      </c>
      <c r="K59" s="13"/>
      <c r="M59" s="46">
        <f t="shared" si="4"/>
        <v>6.85</v>
      </c>
    </row>
    <row r="60" spans="1:13" x14ac:dyDescent="0.25">
      <c r="A60" s="8">
        <v>53</v>
      </c>
      <c r="B60" s="9" t="s">
        <v>2385</v>
      </c>
      <c r="C60" s="10" t="s">
        <v>2386</v>
      </c>
      <c r="D60" s="11" t="s">
        <v>131</v>
      </c>
      <c r="E60" s="12">
        <v>0</v>
      </c>
      <c r="F60" s="13">
        <v>0</v>
      </c>
      <c r="G60" s="14">
        <f t="shared" si="6"/>
        <v>200</v>
      </c>
      <c r="H60" s="15">
        <f t="shared" si="7"/>
        <v>100</v>
      </c>
      <c r="I60" s="13">
        <f t="shared" si="5"/>
        <v>1</v>
      </c>
      <c r="J60" s="16" t="str">
        <f t="shared" si="3"/>
        <v>TUNTAS</v>
      </c>
      <c r="K60" s="13"/>
      <c r="M60" s="46">
        <f t="shared" si="4"/>
        <v>10</v>
      </c>
    </row>
    <row r="61" spans="1:13" x14ac:dyDescent="0.25">
      <c r="A61" s="8">
        <v>54</v>
      </c>
      <c r="B61" s="9" t="s">
        <v>2387</v>
      </c>
      <c r="C61" s="10" t="s">
        <v>2388</v>
      </c>
      <c r="D61" s="11" t="s">
        <v>72</v>
      </c>
      <c r="E61" s="12">
        <v>2</v>
      </c>
      <c r="F61" s="13">
        <v>0</v>
      </c>
      <c r="G61" s="14">
        <f t="shared" si="6"/>
        <v>194</v>
      </c>
      <c r="H61" s="15">
        <f t="shared" si="7"/>
        <v>97</v>
      </c>
      <c r="I61" s="13">
        <f t="shared" si="5"/>
        <v>9</v>
      </c>
      <c r="J61" s="16" t="str">
        <f t="shared" si="3"/>
        <v>TUNTAS</v>
      </c>
      <c r="K61" s="13"/>
      <c r="M61" s="46">
        <f t="shared" si="4"/>
        <v>9.6999999999999993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conditionalFormatting sqref="D8:D10">
    <cfRule type="cellIs" dxfId="220" priority="9" operator="equal">
      <formula>0</formula>
    </cfRule>
  </conditionalFormatting>
  <conditionalFormatting sqref="H8:H61">
    <cfRule type="cellIs" dxfId="219" priority="10" operator="lessThan">
      <formula>60</formula>
    </cfRule>
    <cfRule type="cellIs" dxfId="218" priority="11" operator="lessThan">
      <formula>60</formula>
    </cfRule>
    <cfRule type="cellIs" dxfId="217" priority="14" operator="lessThan">
      <formula>50</formula>
    </cfRule>
  </conditionalFormatting>
  <conditionalFormatting sqref="J8:J61">
    <cfRule type="cellIs" dxfId="216" priority="1" operator="equal">
      <formula>"TIDAK BACA"</formula>
    </cfRule>
    <cfRule type="cellIs" dxfId="215" priority="2" operator="equal">
      <formula>"TIDAK HADIR"</formula>
    </cfRule>
    <cfRule type="cellIs" dxfId="214" priority="3" operator="equal">
      <formula>"TUNTAS"</formula>
    </cfRule>
    <cfRule type="cellIs" dxfId="213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688975E9-16CB-4A68-B8D2-524291D2F1E5}"/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9FC8-5050-4D83-97B8-3A6070BA06C8}">
  <sheetPr>
    <tabColor theme="3" tint="0.59999389629810485"/>
  </sheetPr>
  <dimension ref="A1:M62"/>
  <sheetViews>
    <sheetView workbookViewId="0">
      <pane xSplit="1" ySplit="7" topLeftCell="B20" activePane="bottomRight" state="frozen"/>
      <selection activeCell="Q16" sqref="Q16"/>
      <selection pane="topRight" activeCell="Q16" sqref="Q16"/>
      <selection pane="bottomLeft" activeCell="Q16" sqref="Q16"/>
      <selection pane="bottomRight" activeCell="M62" sqref="M8:M62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3" customFormat="1" ht="19.899999999999999" customHeight="1" x14ac:dyDescent="0.25">
      <c r="A4" s="51" t="s">
        <v>3316</v>
      </c>
      <c r="B4" s="51"/>
      <c r="C4" s="51"/>
      <c r="D4" s="51"/>
      <c r="E4" s="51"/>
      <c r="F4" s="51"/>
      <c r="G4" s="51"/>
      <c r="H4" s="51"/>
      <c r="I4" s="51"/>
      <c r="J4" s="33" t="s">
        <v>3309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2389</v>
      </c>
      <c r="C8" s="10" t="s">
        <v>2390</v>
      </c>
      <c r="D8" s="11" t="s">
        <v>15</v>
      </c>
      <c r="E8" s="12">
        <v>1</v>
      </c>
      <c r="F8" s="13">
        <v>0</v>
      </c>
      <c r="G8" s="14">
        <f>100-E8*3+100-F8*3</f>
        <v>197</v>
      </c>
      <c r="H8" s="15">
        <f>G8/2</f>
        <v>98.5</v>
      </c>
      <c r="I8" s="13">
        <f>RANK(G8,$G$8:$G$62)</f>
        <v>2</v>
      </c>
      <c r="J8" s="16" t="str">
        <f>IF(H8&lt;4.1,"TIDAK HADIR",IF(H8&lt;7.1,"TIDAK BACA",IF(H8&lt;$J$7,"TIDAK TUNTAS","TUNTAS")))</f>
        <v>TUNTAS</v>
      </c>
      <c r="K8" s="13"/>
      <c r="M8" s="46">
        <f>H8/10</f>
        <v>9.85</v>
      </c>
    </row>
    <row r="9" spans="1:13" x14ac:dyDescent="0.25">
      <c r="A9" s="8">
        <v>2</v>
      </c>
      <c r="B9" s="9" t="s">
        <v>2391</v>
      </c>
      <c r="C9" s="17" t="s">
        <v>2392</v>
      </c>
      <c r="D9" s="18" t="s">
        <v>17</v>
      </c>
      <c r="E9" s="12">
        <v>11</v>
      </c>
      <c r="F9" s="13">
        <v>6</v>
      </c>
      <c r="G9" s="14">
        <f t="shared" ref="G9:G46" si="0">100-E9*3+100-F9*3</f>
        <v>149</v>
      </c>
      <c r="H9" s="15">
        <f t="shared" ref="H9:H46" si="1">G9/2</f>
        <v>74.5</v>
      </c>
      <c r="I9" s="13">
        <f t="shared" ref="I9:I62" si="2">RANK(G9,$G$8:$G$62)</f>
        <v>39</v>
      </c>
      <c r="J9" s="16" t="str">
        <f t="shared" ref="J9:J62" si="3">IF(H9&lt;4.1,"TIDAK HADIR",IF(H9&lt;7.1,"TIDAK BACA",IF(H9&lt;$J$7,"TIDAK TUNTAS","TUNTAS")))</f>
        <v>TUNTAS</v>
      </c>
      <c r="K9" s="13"/>
      <c r="M9" s="46">
        <f t="shared" ref="M9:M62" si="4">H9/10</f>
        <v>7.45</v>
      </c>
    </row>
    <row r="10" spans="1:13" x14ac:dyDescent="0.25">
      <c r="A10" s="8">
        <v>3</v>
      </c>
      <c r="B10" s="9" t="s">
        <v>2393</v>
      </c>
      <c r="C10" s="10" t="s">
        <v>2394</v>
      </c>
      <c r="D10" s="11" t="s">
        <v>18</v>
      </c>
      <c r="E10" s="12">
        <v>16</v>
      </c>
      <c r="F10" s="13">
        <v>7</v>
      </c>
      <c r="G10" s="14">
        <f t="shared" si="0"/>
        <v>131</v>
      </c>
      <c r="H10" s="15">
        <f t="shared" si="1"/>
        <v>65.5</v>
      </c>
      <c r="I10" s="13">
        <f t="shared" si="2"/>
        <v>48</v>
      </c>
      <c r="J10" s="16" t="str">
        <f t="shared" si="3"/>
        <v>TUNTAS</v>
      </c>
      <c r="K10" s="13"/>
      <c r="M10" s="46">
        <f t="shared" si="4"/>
        <v>6.55</v>
      </c>
    </row>
    <row r="11" spans="1:13" x14ac:dyDescent="0.25">
      <c r="A11" s="8">
        <v>4</v>
      </c>
      <c r="B11" s="9" t="s">
        <v>2395</v>
      </c>
      <c r="C11" s="10" t="s">
        <v>2396</v>
      </c>
      <c r="D11" s="11" t="s">
        <v>122</v>
      </c>
      <c r="E11" s="12">
        <v>12</v>
      </c>
      <c r="F11" s="13">
        <v>7</v>
      </c>
      <c r="G11" s="14">
        <f t="shared" si="0"/>
        <v>143</v>
      </c>
      <c r="H11" s="15">
        <f t="shared" si="1"/>
        <v>71.5</v>
      </c>
      <c r="I11" s="13">
        <f t="shared" si="2"/>
        <v>40</v>
      </c>
      <c r="J11" s="16" t="str">
        <f t="shared" si="3"/>
        <v>TUNTAS</v>
      </c>
      <c r="K11" s="13"/>
      <c r="M11" s="46">
        <f t="shared" si="4"/>
        <v>7.15</v>
      </c>
    </row>
    <row r="12" spans="1:13" x14ac:dyDescent="0.25">
      <c r="A12" s="8">
        <v>5</v>
      </c>
      <c r="B12" s="9" t="s">
        <v>2397</v>
      </c>
      <c r="C12" s="17" t="s">
        <v>2398</v>
      </c>
      <c r="D12" s="18" t="s">
        <v>90</v>
      </c>
      <c r="E12" s="12">
        <v>7</v>
      </c>
      <c r="F12" s="13">
        <v>3</v>
      </c>
      <c r="G12" s="14">
        <f t="shared" si="0"/>
        <v>170</v>
      </c>
      <c r="H12" s="15">
        <f t="shared" si="1"/>
        <v>85</v>
      </c>
      <c r="I12" s="13">
        <f t="shared" si="2"/>
        <v>26</v>
      </c>
      <c r="J12" s="16" t="str">
        <f t="shared" si="3"/>
        <v>TUNTAS</v>
      </c>
      <c r="K12" s="13"/>
      <c r="M12" s="46">
        <f t="shared" si="4"/>
        <v>8.5</v>
      </c>
    </row>
    <row r="13" spans="1:13" x14ac:dyDescent="0.25">
      <c r="A13" s="8">
        <v>6</v>
      </c>
      <c r="B13" s="9" t="s">
        <v>2399</v>
      </c>
      <c r="C13" s="17" t="s">
        <v>2400</v>
      </c>
      <c r="D13" s="18" t="s">
        <v>22</v>
      </c>
      <c r="E13" s="12">
        <v>8</v>
      </c>
      <c r="F13" s="13">
        <v>0</v>
      </c>
      <c r="G13" s="14">
        <f t="shared" si="0"/>
        <v>176</v>
      </c>
      <c r="H13" s="15">
        <f t="shared" si="1"/>
        <v>88</v>
      </c>
      <c r="I13" s="13">
        <f t="shared" si="2"/>
        <v>21</v>
      </c>
      <c r="J13" s="16" t="str">
        <f t="shared" si="3"/>
        <v>TUNTAS</v>
      </c>
      <c r="K13" s="13"/>
      <c r="M13" s="46">
        <f t="shared" si="4"/>
        <v>8.8000000000000007</v>
      </c>
    </row>
    <row r="14" spans="1:13" x14ac:dyDescent="0.25">
      <c r="A14" s="8">
        <v>7</v>
      </c>
      <c r="B14" s="9" t="s">
        <v>2401</v>
      </c>
      <c r="C14" s="17" t="s">
        <v>2402</v>
      </c>
      <c r="D14" s="18" t="s">
        <v>123</v>
      </c>
      <c r="E14" s="12">
        <v>1</v>
      </c>
      <c r="F14" s="13">
        <v>0</v>
      </c>
      <c r="G14" s="14">
        <f t="shared" si="0"/>
        <v>197</v>
      </c>
      <c r="H14" s="15">
        <f t="shared" si="1"/>
        <v>98.5</v>
      </c>
      <c r="I14" s="13">
        <f t="shared" si="2"/>
        <v>2</v>
      </c>
      <c r="J14" s="16" t="str">
        <f t="shared" si="3"/>
        <v>TUNTAS</v>
      </c>
      <c r="K14" s="13"/>
      <c r="M14" s="46">
        <f t="shared" si="4"/>
        <v>9.85</v>
      </c>
    </row>
    <row r="15" spans="1:13" x14ac:dyDescent="0.25">
      <c r="A15" s="8">
        <v>8</v>
      </c>
      <c r="B15" s="9" t="s">
        <v>2403</v>
      </c>
      <c r="C15" s="10" t="s">
        <v>2404</v>
      </c>
      <c r="D15" s="11" t="s">
        <v>24</v>
      </c>
      <c r="E15" s="12">
        <v>8</v>
      </c>
      <c r="F15" s="13">
        <v>6</v>
      </c>
      <c r="G15" s="14">
        <f t="shared" si="0"/>
        <v>158</v>
      </c>
      <c r="H15" s="15">
        <f t="shared" si="1"/>
        <v>79</v>
      </c>
      <c r="I15" s="13">
        <f t="shared" si="2"/>
        <v>33</v>
      </c>
      <c r="J15" s="16" t="str">
        <f t="shared" si="3"/>
        <v>TUNTAS</v>
      </c>
      <c r="K15" s="13"/>
      <c r="M15" s="46">
        <f t="shared" si="4"/>
        <v>7.9</v>
      </c>
    </row>
    <row r="16" spans="1:13" x14ac:dyDescent="0.25">
      <c r="A16" s="8">
        <v>9</v>
      </c>
      <c r="B16" s="9" t="s">
        <v>2405</v>
      </c>
      <c r="C16" s="20" t="s">
        <v>2406</v>
      </c>
      <c r="D16" s="18" t="s">
        <v>124</v>
      </c>
      <c r="E16" s="12">
        <v>12</v>
      </c>
      <c r="F16" s="13">
        <v>3</v>
      </c>
      <c r="G16" s="14">
        <f t="shared" si="0"/>
        <v>155</v>
      </c>
      <c r="H16" s="15">
        <f t="shared" si="1"/>
        <v>77.5</v>
      </c>
      <c r="I16" s="13">
        <f t="shared" si="2"/>
        <v>36</v>
      </c>
      <c r="J16" s="16" t="str">
        <f t="shared" si="3"/>
        <v>TUNTAS</v>
      </c>
      <c r="K16" s="13"/>
      <c r="M16" s="46">
        <f t="shared" si="4"/>
        <v>7.75</v>
      </c>
    </row>
    <row r="17" spans="1:13" x14ac:dyDescent="0.25">
      <c r="A17" s="8">
        <v>10</v>
      </c>
      <c r="B17" s="9" t="s">
        <v>2407</v>
      </c>
      <c r="C17" s="10" t="s">
        <v>1553</v>
      </c>
      <c r="D17" s="11" t="s">
        <v>124</v>
      </c>
      <c r="E17" s="12">
        <v>12</v>
      </c>
      <c r="F17" s="13">
        <v>1</v>
      </c>
      <c r="G17" s="14">
        <f t="shared" si="0"/>
        <v>161</v>
      </c>
      <c r="H17" s="15">
        <f t="shared" si="1"/>
        <v>80.5</v>
      </c>
      <c r="I17" s="13">
        <f t="shared" si="2"/>
        <v>32</v>
      </c>
      <c r="J17" s="16" t="str">
        <f t="shared" si="3"/>
        <v>TUNTAS</v>
      </c>
      <c r="K17" s="13"/>
      <c r="M17" s="46">
        <f t="shared" si="4"/>
        <v>8.0500000000000007</v>
      </c>
    </row>
    <row r="18" spans="1:13" x14ac:dyDescent="0.25">
      <c r="A18" s="8">
        <v>11</v>
      </c>
      <c r="B18" s="9" t="s">
        <v>2408</v>
      </c>
      <c r="C18" s="10" t="s">
        <v>2409</v>
      </c>
      <c r="D18" s="11" t="s">
        <v>25</v>
      </c>
      <c r="E18" s="12">
        <v>10</v>
      </c>
      <c r="F18" s="13">
        <v>12</v>
      </c>
      <c r="G18" s="14">
        <f t="shared" si="0"/>
        <v>134</v>
      </c>
      <c r="H18" s="15">
        <f t="shared" si="1"/>
        <v>67</v>
      </c>
      <c r="I18" s="13">
        <f t="shared" si="2"/>
        <v>45</v>
      </c>
      <c r="J18" s="16" t="str">
        <f t="shared" si="3"/>
        <v>TUNTAS</v>
      </c>
      <c r="K18" s="13"/>
      <c r="M18" s="46">
        <f t="shared" si="4"/>
        <v>6.7</v>
      </c>
    </row>
    <row r="19" spans="1:13" x14ac:dyDescent="0.25">
      <c r="A19" s="8">
        <v>12</v>
      </c>
      <c r="B19" s="9" t="s">
        <v>2410</v>
      </c>
      <c r="C19" s="10" t="s">
        <v>2411</v>
      </c>
      <c r="D19" s="11" t="s">
        <v>26</v>
      </c>
      <c r="E19" s="12">
        <v>9</v>
      </c>
      <c r="F19" s="13">
        <v>5</v>
      </c>
      <c r="G19" s="14">
        <f t="shared" si="0"/>
        <v>158</v>
      </c>
      <c r="H19" s="15">
        <f t="shared" si="1"/>
        <v>79</v>
      </c>
      <c r="I19" s="13">
        <f t="shared" si="2"/>
        <v>33</v>
      </c>
      <c r="J19" s="16" t="str">
        <f t="shared" si="3"/>
        <v>TUNTAS</v>
      </c>
      <c r="K19" s="13"/>
      <c r="M19" s="46">
        <f t="shared" si="4"/>
        <v>7.9</v>
      </c>
    </row>
    <row r="20" spans="1:13" x14ac:dyDescent="0.25">
      <c r="A20" s="8">
        <v>13</v>
      </c>
      <c r="B20" s="9" t="s">
        <v>2412</v>
      </c>
      <c r="C20" s="10" t="s">
        <v>2413</v>
      </c>
      <c r="D20" s="18" t="s">
        <v>75</v>
      </c>
      <c r="E20" s="12">
        <v>3</v>
      </c>
      <c r="F20" s="13">
        <v>0</v>
      </c>
      <c r="G20" s="14">
        <f t="shared" si="0"/>
        <v>191</v>
      </c>
      <c r="H20" s="15">
        <f t="shared" si="1"/>
        <v>95.5</v>
      </c>
      <c r="I20" s="13">
        <f t="shared" si="2"/>
        <v>6</v>
      </c>
      <c r="J20" s="16" t="str">
        <f t="shared" si="3"/>
        <v>TUNTAS</v>
      </c>
      <c r="K20" s="13"/>
      <c r="M20" s="46">
        <f t="shared" si="4"/>
        <v>9.5500000000000007</v>
      </c>
    </row>
    <row r="21" spans="1:13" x14ac:dyDescent="0.25">
      <c r="A21" s="8">
        <v>14</v>
      </c>
      <c r="B21" s="9" t="s">
        <v>2414</v>
      </c>
      <c r="C21" s="10" t="s">
        <v>2415</v>
      </c>
      <c r="D21" s="11" t="s">
        <v>28</v>
      </c>
      <c r="E21" s="12">
        <v>32</v>
      </c>
      <c r="F21" s="13">
        <v>32</v>
      </c>
      <c r="G21" s="14">
        <f t="shared" si="0"/>
        <v>8</v>
      </c>
      <c r="H21" s="15">
        <f t="shared" si="1"/>
        <v>4</v>
      </c>
      <c r="I21" s="13">
        <f t="shared" si="2"/>
        <v>52</v>
      </c>
      <c r="J21" s="16" t="str">
        <f t="shared" si="3"/>
        <v>TIDAK HADIR</v>
      </c>
      <c r="K21" s="13"/>
      <c r="M21" s="46">
        <f t="shared" si="4"/>
        <v>0.4</v>
      </c>
    </row>
    <row r="22" spans="1:13" x14ac:dyDescent="0.25">
      <c r="A22" s="8">
        <v>15</v>
      </c>
      <c r="B22" s="9" t="s">
        <v>2416</v>
      </c>
      <c r="C22" s="21" t="s">
        <v>2417</v>
      </c>
      <c r="D22" s="19" t="s">
        <v>76</v>
      </c>
      <c r="E22" s="12">
        <v>5</v>
      </c>
      <c r="F22" s="13">
        <v>1</v>
      </c>
      <c r="G22" s="14">
        <f t="shared" si="0"/>
        <v>182</v>
      </c>
      <c r="H22" s="15">
        <f t="shared" si="1"/>
        <v>91</v>
      </c>
      <c r="I22" s="13">
        <f t="shared" si="2"/>
        <v>12</v>
      </c>
      <c r="J22" s="16" t="str">
        <f t="shared" si="3"/>
        <v>TUNTAS</v>
      </c>
      <c r="K22" s="13"/>
      <c r="M22" s="46">
        <f t="shared" si="4"/>
        <v>9.1</v>
      </c>
    </row>
    <row r="23" spans="1:13" x14ac:dyDescent="0.25">
      <c r="A23" s="8">
        <v>16</v>
      </c>
      <c r="B23" s="9" t="s">
        <v>2418</v>
      </c>
      <c r="C23" s="21" t="s">
        <v>2419</v>
      </c>
      <c r="D23" s="19" t="s">
        <v>30</v>
      </c>
      <c r="E23" s="12">
        <v>5</v>
      </c>
      <c r="F23" s="13">
        <v>0</v>
      </c>
      <c r="G23" s="14">
        <f t="shared" si="0"/>
        <v>185</v>
      </c>
      <c r="H23" s="15">
        <f t="shared" si="1"/>
        <v>92.5</v>
      </c>
      <c r="I23" s="13">
        <f t="shared" si="2"/>
        <v>10</v>
      </c>
      <c r="J23" s="16" t="str">
        <f t="shared" si="3"/>
        <v>TUNTAS</v>
      </c>
      <c r="K23" s="13"/>
      <c r="M23" s="46">
        <f t="shared" si="4"/>
        <v>9.25</v>
      </c>
    </row>
    <row r="24" spans="1:13" x14ac:dyDescent="0.25">
      <c r="A24" s="8">
        <v>17</v>
      </c>
      <c r="B24" s="9" t="s">
        <v>2420</v>
      </c>
      <c r="C24" s="10" t="s">
        <v>2421</v>
      </c>
      <c r="D24" s="11" t="s">
        <v>31</v>
      </c>
      <c r="E24" s="12">
        <v>8</v>
      </c>
      <c r="F24" s="13">
        <v>0</v>
      </c>
      <c r="G24" s="14">
        <f t="shared" si="0"/>
        <v>176</v>
      </c>
      <c r="H24" s="15">
        <f t="shared" si="1"/>
        <v>88</v>
      </c>
      <c r="I24" s="13">
        <f t="shared" si="2"/>
        <v>21</v>
      </c>
      <c r="J24" s="16" t="str">
        <f t="shared" si="3"/>
        <v>TUNTAS</v>
      </c>
      <c r="K24" s="13"/>
      <c r="M24" s="46">
        <f t="shared" si="4"/>
        <v>8.8000000000000007</v>
      </c>
    </row>
    <row r="25" spans="1:13" x14ac:dyDescent="0.25">
      <c r="A25" s="8">
        <v>18</v>
      </c>
      <c r="B25" s="9" t="s">
        <v>2422</v>
      </c>
      <c r="C25" s="20" t="s">
        <v>2423</v>
      </c>
      <c r="D25" s="18" t="s">
        <v>92</v>
      </c>
      <c r="E25" s="12">
        <v>32</v>
      </c>
      <c r="F25" s="13">
        <v>32</v>
      </c>
      <c r="G25" s="14">
        <f t="shared" si="0"/>
        <v>8</v>
      </c>
      <c r="H25" s="15">
        <f t="shared" si="1"/>
        <v>4</v>
      </c>
      <c r="I25" s="13">
        <f t="shared" si="2"/>
        <v>52</v>
      </c>
      <c r="J25" s="16" t="str">
        <f t="shared" si="3"/>
        <v>TIDAK HADIR</v>
      </c>
      <c r="K25" s="13"/>
      <c r="M25" s="46">
        <f t="shared" si="4"/>
        <v>0.4</v>
      </c>
    </row>
    <row r="26" spans="1:13" x14ac:dyDescent="0.25">
      <c r="A26" s="8">
        <v>19</v>
      </c>
      <c r="B26" s="9" t="s">
        <v>2424</v>
      </c>
      <c r="C26" s="10" t="s">
        <v>2425</v>
      </c>
      <c r="D26" s="11" t="s">
        <v>79</v>
      </c>
      <c r="E26" s="12">
        <v>0</v>
      </c>
      <c r="F26" s="13">
        <v>0</v>
      </c>
      <c r="G26" s="14">
        <f t="shared" si="0"/>
        <v>200</v>
      </c>
      <c r="H26" s="15">
        <f t="shared" si="1"/>
        <v>100</v>
      </c>
      <c r="I26" s="13">
        <f t="shared" si="2"/>
        <v>1</v>
      </c>
      <c r="J26" s="16" t="str">
        <f t="shared" si="3"/>
        <v>TUNTAS</v>
      </c>
      <c r="K26" s="13"/>
      <c r="M26" s="46">
        <f t="shared" si="4"/>
        <v>10</v>
      </c>
    </row>
    <row r="27" spans="1:13" x14ac:dyDescent="0.25">
      <c r="A27" s="8">
        <v>20</v>
      </c>
      <c r="B27" s="9" t="s">
        <v>2426</v>
      </c>
      <c r="C27" s="10" t="s">
        <v>2427</v>
      </c>
      <c r="D27" s="11" t="s">
        <v>34</v>
      </c>
      <c r="E27" s="12">
        <v>10</v>
      </c>
      <c r="F27" s="13">
        <v>4</v>
      </c>
      <c r="G27" s="14">
        <f t="shared" si="0"/>
        <v>158</v>
      </c>
      <c r="H27" s="15">
        <f t="shared" si="1"/>
        <v>79</v>
      </c>
      <c r="I27" s="13">
        <f t="shared" si="2"/>
        <v>33</v>
      </c>
      <c r="J27" s="16" t="str">
        <f t="shared" si="3"/>
        <v>TUNTAS</v>
      </c>
      <c r="K27" s="13"/>
      <c r="M27" s="46">
        <f t="shared" si="4"/>
        <v>7.9</v>
      </c>
    </row>
    <row r="28" spans="1:13" x14ac:dyDescent="0.25">
      <c r="A28" s="8">
        <v>21</v>
      </c>
      <c r="B28" s="9" t="s">
        <v>2428</v>
      </c>
      <c r="C28" s="10" t="s">
        <v>2429</v>
      </c>
      <c r="D28" s="11" t="s">
        <v>93</v>
      </c>
      <c r="E28" s="12">
        <v>2</v>
      </c>
      <c r="F28" s="13">
        <v>1</v>
      </c>
      <c r="G28" s="14">
        <f t="shared" si="0"/>
        <v>191</v>
      </c>
      <c r="H28" s="15">
        <f t="shared" si="1"/>
        <v>95.5</v>
      </c>
      <c r="I28" s="13">
        <f t="shared" si="2"/>
        <v>6</v>
      </c>
      <c r="J28" s="16" t="str">
        <f t="shared" si="3"/>
        <v>TUNTAS</v>
      </c>
      <c r="K28" s="13"/>
      <c r="M28" s="46">
        <f t="shared" si="4"/>
        <v>9.5500000000000007</v>
      </c>
    </row>
    <row r="29" spans="1:13" x14ac:dyDescent="0.25">
      <c r="A29" s="8">
        <v>22</v>
      </c>
      <c r="B29" s="9" t="s">
        <v>2430</v>
      </c>
      <c r="C29" s="10" t="s">
        <v>2431</v>
      </c>
      <c r="D29" s="11" t="s">
        <v>36</v>
      </c>
      <c r="E29" s="12">
        <v>11</v>
      </c>
      <c r="F29" s="13">
        <v>0</v>
      </c>
      <c r="G29" s="14">
        <f t="shared" si="0"/>
        <v>167</v>
      </c>
      <c r="H29" s="15">
        <f t="shared" si="1"/>
        <v>83.5</v>
      </c>
      <c r="I29" s="13">
        <f t="shared" si="2"/>
        <v>29</v>
      </c>
      <c r="J29" s="16" t="str">
        <f t="shared" si="3"/>
        <v>TUNTAS</v>
      </c>
      <c r="K29" s="13"/>
      <c r="M29" s="46">
        <f t="shared" si="4"/>
        <v>8.35</v>
      </c>
    </row>
    <row r="30" spans="1:13" x14ac:dyDescent="0.25">
      <c r="A30" s="8">
        <v>23</v>
      </c>
      <c r="B30" s="9" t="s">
        <v>2432</v>
      </c>
      <c r="C30" s="10" t="s">
        <v>2433</v>
      </c>
      <c r="D30" s="11" t="s">
        <v>126</v>
      </c>
      <c r="E30" s="12">
        <v>19</v>
      </c>
      <c r="F30" s="13">
        <v>0</v>
      </c>
      <c r="G30" s="14">
        <f t="shared" si="0"/>
        <v>143</v>
      </c>
      <c r="H30" s="15">
        <f t="shared" si="1"/>
        <v>71.5</v>
      </c>
      <c r="I30" s="13">
        <f t="shared" si="2"/>
        <v>40</v>
      </c>
      <c r="J30" s="16" t="str">
        <f t="shared" si="3"/>
        <v>TUNTAS</v>
      </c>
      <c r="K30" s="13"/>
      <c r="M30" s="46">
        <f t="shared" si="4"/>
        <v>7.15</v>
      </c>
    </row>
    <row r="31" spans="1:13" x14ac:dyDescent="0.25">
      <c r="A31" s="8">
        <v>24</v>
      </c>
      <c r="B31" s="9" t="s">
        <v>2434</v>
      </c>
      <c r="C31" s="10" t="s">
        <v>2435</v>
      </c>
      <c r="D31" s="11" t="s">
        <v>80</v>
      </c>
      <c r="E31" s="12">
        <v>6</v>
      </c>
      <c r="F31" s="13">
        <v>0</v>
      </c>
      <c r="G31" s="14">
        <f t="shared" si="0"/>
        <v>182</v>
      </c>
      <c r="H31" s="15">
        <f t="shared" si="1"/>
        <v>91</v>
      </c>
      <c r="I31" s="13">
        <f t="shared" si="2"/>
        <v>12</v>
      </c>
      <c r="J31" s="16" t="str">
        <f t="shared" si="3"/>
        <v>TUNTAS</v>
      </c>
      <c r="K31" s="13"/>
      <c r="M31" s="46">
        <f t="shared" si="4"/>
        <v>9.1</v>
      </c>
    </row>
    <row r="32" spans="1:13" x14ac:dyDescent="0.25">
      <c r="A32" s="8">
        <v>25</v>
      </c>
      <c r="B32" s="9" t="s">
        <v>2436</v>
      </c>
      <c r="C32" s="10" t="s">
        <v>2437</v>
      </c>
      <c r="D32" s="11" t="s">
        <v>80</v>
      </c>
      <c r="E32" s="12">
        <v>7</v>
      </c>
      <c r="F32" s="13">
        <v>3</v>
      </c>
      <c r="G32" s="14">
        <f t="shared" si="0"/>
        <v>170</v>
      </c>
      <c r="H32" s="15">
        <f t="shared" si="1"/>
        <v>85</v>
      </c>
      <c r="I32" s="13">
        <f t="shared" si="2"/>
        <v>26</v>
      </c>
      <c r="J32" s="16" t="str">
        <f t="shared" si="3"/>
        <v>TUNTAS</v>
      </c>
      <c r="K32" s="13"/>
      <c r="M32" s="46">
        <f t="shared" si="4"/>
        <v>8.5</v>
      </c>
    </row>
    <row r="33" spans="1:13" x14ac:dyDescent="0.25">
      <c r="A33" s="8">
        <v>26</v>
      </c>
      <c r="B33" s="9" t="s">
        <v>2438</v>
      </c>
      <c r="C33" s="21" t="s">
        <v>2439</v>
      </c>
      <c r="D33" s="19" t="s">
        <v>284</v>
      </c>
      <c r="E33" s="12">
        <v>10</v>
      </c>
      <c r="F33" s="13">
        <v>5</v>
      </c>
      <c r="G33" s="14">
        <f t="shared" si="0"/>
        <v>155</v>
      </c>
      <c r="H33" s="15">
        <f t="shared" si="1"/>
        <v>77.5</v>
      </c>
      <c r="I33" s="13">
        <f t="shared" si="2"/>
        <v>36</v>
      </c>
      <c r="J33" s="16" t="str">
        <f t="shared" si="3"/>
        <v>TUNTAS</v>
      </c>
      <c r="K33" s="13"/>
      <c r="M33" s="46">
        <f t="shared" si="4"/>
        <v>7.75</v>
      </c>
    </row>
    <row r="34" spans="1:13" x14ac:dyDescent="0.25">
      <c r="A34" s="8">
        <v>27</v>
      </c>
      <c r="B34" s="9" t="s">
        <v>2440</v>
      </c>
      <c r="C34" s="10" t="s">
        <v>2441</v>
      </c>
      <c r="D34" s="11" t="s">
        <v>81</v>
      </c>
      <c r="E34" s="12">
        <v>4</v>
      </c>
      <c r="F34" s="13">
        <v>2</v>
      </c>
      <c r="G34" s="14">
        <f t="shared" si="0"/>
        <v>182</v>
      </c>
      <c r="H34" s="15">
        <f t="shared" si="1"/>
        <v>91</v>
      </c>
      <c r="I34" s="13">
        <f t="shared" si="2"/>
        <v>12</v>
      </c>
      <c r="J34" s="16" t="str">
        <f t="shared" si="3"/>
        <v>TUNTAS</v>
      </c>
      <c r="K34" s="13"/>
      <c r="M34" s="46">
        <f t="shared" si="4"/>
        <v>9.1</v>
      </c>
    </row>
    <row r="35" spans="1:13" x14ac:dyDescent="0.25">
      <c r="A35" s="8">
        <v>28</v>
      </c>
      <c r="B35" s="9" t="s">
        <v>2442</v>
      </c>
      <c r="C35" s="10" t="s">
        <v>2443</v>
      </c>
      <c r="D35" s="11" t="s">
        <v>82</v>
      </c>
      <c r="E35" s="12">
        <v>6</v>
      </c>
      <c r="F35" s="13">
        <v>1</v>
      </c>
      <c r="G35" s="14">
        <f t="shared" si="0"/>
        <v>179</v>
      </c>
      <c r="H35" s="15">
        <f t="shared" si="1"/>
        <v>89.5</v>
      </c>
      <c r="I35" s="13">
        <f t="shared" si="2"/>
        <v>17</v>
      </c>
      <c r="J35" s="16" t="str">
        <f t="shared" si="3"/>
        <v>TUNTAS</v>
      </c>
      <c r="K35" s="13"/>
      <c r="M35" s="46">
        <f t="shared" si="4"/>
        <v>8.9499999999999993</v>
      </c>
    </row>
    <row r="36" spans="1:13" x14ac:dyDescent="0.25">
      <c r="A36" s="8">
        <v>29</v>
      </c>
      <c r="B36" s="9" t="s">
        <v>2444</v>
      </c>
      <c r="C36" s="10" t="s">
        <v>2445</v>
      </c>
      <c r="D36" s="11" t="s">
        <v>82</v>
      </c>
      <c r="E36" s="12">
        <v>15</v>
      </c>
      <c r="F36" s="13">
        <v>6</v>
      </c>
      <c r="G36" s="14">
        <f t="shared" si="0"/>
        <v>137</v>
      </c>
      <c r="H36" s="15">
        <f t="shared" si="1"/>
        <v>68.5</v>
      </c>
      <c r="I36" s="13">
        <f t="shared" si="2"/>
        <v>44</v>
      </c>
      <c r="J36" s="16" t="str">
        <f t="shared" si="3"/>
        <v>TUNTAS</v>
      </c>
      <c r="K36" s="13"/>
      <c r="M36" s="46">
        <f t="shared" si="4"/>
        <v>6.85</v>
      </c>
    </row>
    <row r="37" spans="1:13" x14ac:dyDescent="0.25">
      <c r="A37" s="8">
        <v>30</v>
      </c>
      <c r="B37" s="9" t="s">
        <v>2446</v>
      </c>
      <c r="C37" s="17" t="s">
        <v>2447</v>
      </c>
      <c r="D37" s="18" t="s">
        <v>44</v>
      </c>
      <c r="E37" s="12">
        <v>15</v>
      </c>
      <c r="F37" s="13">
        <v>10</v>
      </c>
      <c r="G37" s="14">
        <f t="shared" si="0"/>
        <v>125</v>
      </c>
      <c r="H37" s="15">
        <f t="shared" si="1"/>
        <v>62.5</v>
      </c>
      <c r="I37" s="13">
        <f t="shared" si="2"/>
        <v>50</v>
      </c>
      <c r="J37" s="16" t="str">
        <f t="shared" si="3"/>
        <v>TUNTAS</v>
      </c>
      <c r="K37" s="13"/>
      <c r="M37" s="46">
        <f t="shared" si="4"/>
        <v>6.25</v>
      </c>
    </row>
    <row r="38" spans="1:13" x14ac:dyDescent="0.25">
      <c r="A38" s="8">
        <v>31</v>
      </c>
      <c r="B38" s="9" t="s">
        <v>2448</v>
      </c>
      <c r="C38" s="10" t="s">
        <v>2449</v>
      </c>
      <c r="D38" s="11" t="s">
        <v>45</v>
      </c>
      <c r="E38" s="12">
        <v>7</v>
      </c>
      <c r="F38" s="13">
        <v>1</v>
      </c>
      <c r="G38" s="14">
        <f t="shared" si="0"/>
        <v>176</v>
      </c>
      <c r="H38" s="15">
        <f t="shared" si="1"/>
        <v>88</v>
      </c>
      <c r="I38" s="13">
        <f t="shared" si="2"/>
        <v>21</v>
      </c>
      <c r="J38" s="16" t="str">
        <f t="shared" si="3"/>
        <v>TUNTAS</v>
      </c>
      <c r="K38" s="13"/>
      <c r="M38" s="46">
        <f t="shared" si="4"/>
        <v>8.8000000000000007</v>
      </c>
    </row>
    <row r="39" spans="1:13" x14ac:dyDescent="0.25">
      <c r="A39" s="8">
        <v>32</v>
      </c>
      <c r="B39" s="9" t="s">
        <v>2450</v>
      </c>
      <c r="C39" s="10" t="s">
        <v>2451</v>
      </c>
      <c r="D39" s="11" t="s">
        <v>128</v>
      </c>
      <c r="E39" s="12">
        <v>1</v>
      </c>
      <c r="F39" s="13">
        <v>0</v>
      </c>
      <c r="G39" s="14">
        <f t="shared" si="0"/>
        <v>197</v>
      </c>
      <c r="H39" s="15">
        <f t="shared" si="1"/>
        <v>98.5</v>
      </c>
      <c r="I39" s="13">
        <f t="shared" si="2"/>
        <v>2</v>
      </c>
      <c r="J39" s="16" t="str">
        <f t="shared" si="3"/>
        <v>TUNTAS</v>
      </c>
      <c r="K39" s="13"/>
      <c r="M39" s="46">
        <f t="shared" si="4"/>
        <v>9.85</v>
      </c>
    </row>
    <row r="40" spans="1:13" x14ac:dyDescent="0.25">
      <c r="A40" s="8">
        <v>33</v>
      </c>
      <c r="B40" s="9" t="s">
        <v>2452</v>
      </c>
      <c r="C40" s="10" t="s">
        <v>2453</v>
      </c>
      <c r="D40" s="11" t="s">
        <v>107</v>
      </c>
      <c r="E40" s="12">
        <v>5</v>
      </c>
      <c r="F40" s="13">
        <v>1</v>
      </c>
      <c r="G40" s="14">
        <f t="shared" si="0"/>
        <v>182</v>
      </c>
      <c r="H40" s="15">
        <f t="shared" si="1"/>
        <v>91</v>
      </c>
      <c r="I40" s="13">
        <f t="shared" si="2"/>
        <v>12</v>
      </c>
      <c r="J40" s="16" t="str">
        <f t="shared" si="3"/>
        <v>TUNTAS</v>
      </c>
      <c r="K40" s="13"/>
      <c r="M40" s="46">
        <f t="shared" si="4"/>
        <v>9.1</v>
      </c>
    </row>
    <row r="41" spans="1:13" x14ac:dyDescent="0.25">
      <c r="A41" s="8">
        <v>34</v>
      </c>
      <c r="B41" s="9" t="s">
        <v>2454</v>
      </c>
      <c r="C41" s="10" t="s">
        <v>2455</v>
      </c>
      <c r="D41" s="11" t="s">
        <v>48</v>
      </c>
      <c r="E41" s="12">
        <v>16</v>
      </c>
      <c r="F41" s="13">
        <v>3</v>
      </c>
      <c r="G41" s="14">
        <f t="shared" si="0"/>
        <v>143</v>
      </c>
      <c r="H41" s="15">
        <f t="shared" si="1"/>
        <v>71.5</v>
      </c>
      <c r="I41" s="13">
        <f t="shared" si="2"/>
        <v>40</v>
      </c>
      <c r="J41" s="16" t="str">
        <f t="shared" si="3"/>
        <v>TUNTAS</v>
      </c>
      <c r="K41" s="13"/>
      <c r="M41" s="46">
        <f t="shared" si="4"/>
        <v>7.15</v>
      </c>
    </row>
    <row r="42" spans="1:13" x14ac:dyDescent="0.25">
      <c r="A42" s="8">
        <v>35</v>
      </c>
      <c r="B42" s="9" t="s">
        <v>2456</v>
      </c>
      <c r="C42" s="10" t="s">
        <v>2457</v>
      </c>
      <c r="D42" s="11" t="s">
        <v>50</v>
      </c>
      <c r="E42" s="12">
        <v>12</v>
      </c>
      <c r="F42" s="13">
        <v>10</v>
      </c>
      <c r="G42" s="14">
        <f t="shared" si="0"/>
        <v>134</v>
      </c>
      <c r="H42" s="15">
        <f t="shared" si="1"/>
        <v>67</v>
      </c>
      <c r="I42" s="13">
        <f t="shared" si="2"/>
        <v>45</v>
      </c>
      <c r="J42" s="16" t="str">
        <f t="shared" si="3"/>
        <v>TUNTAS</v>
      </c>
      <c r="K42" s="13"/>
      <c r="M42" s="46">
        <f t="shared" si="4"/>
        <v>6.7</v>
      </c>
    </row>
    <row r="43" spans="1:13" x14ac:dyDescent="0.25">
      <c r="A43" s="8">
        <v>36</v>
      </c>
      <c r="B43" s="9" t="s">
        <v>2458</v>
      </c>
      <c r="C43" s="10" t="s">
        <v>2459</v>
      </c>
      <c r="D43" s="11" t="s">
        <v>52</v>
      </c>
      <c r="E43" s="12">
        <v>24</v>
      </c>
      <c r="F43" s="13">
        <v>8</v>
      </c>
      <c r="G43" s="14">
        <f t="shared" si="0"/>
        <v>104</v>
      </c>
      <c r="H43" s="15">
        <f t="shared" si="1"/>
        <v>52</v>
      </c>
      <c r="I43" s="13">
        <f t="shared" si="2"/>
        <v>51</v>
      </c>
      <c r="J43" s="16" t="str">
        <f t="shared" si="3"/>
        <v>TIDAK TUNTAS</v>
      </c>
      <c r="K43" s="13"/>
      <c r="M43" s="46">
        <f t="shared" si="4"/>
        <v>5.2</v>
      </c>
    </row>
    <row r="44" spans="1:13" x14ac:dyDescent="0.25">
      <c r="A44" s="8">
        <v>37</v>
      </c>
      <c r="B44" s="9" t="s">
        <v>2460</v>
      </c>
      <c r="C44" s="10" t="s">
        <v>2461</v>
      </c>
      <c r="D44" s="11" t="s">
        <v>52</v>
      </c>
      <c r="E44" s="12">
        <v>18</v>
      </c>
      <c r="F44" s="13">
        <v>1</v>
      </c>
      <c r="G44" s="14">
        <f t="shared" si="0"/>
        <v>143</v>
      </c>
      <c r="H44" s="15">
        <f t="shared" si="1"/>
        <v>71.5</v>
      </c>
      <c r="I44" s="13">
        <f t="shared" si="2"/>
        <v>40</v>
      </c>
      <c r="J44" s="16" t="str">
        <f t="shared" si="3"/>
        <v>TUNTAS</v>
      </c>
      <c r="K44" s="13"/>
      <c r="M44" s="46">
        <f t="shared" si="4"/>
        <v>7.15</v>
      </c>
    </row>
    <row r="45" spans="1:13" x14ac:dyDescent="0.25">
      <c r="A45" s="8">
        <v>38</v>
      </c>
      <c r="B45" s="9" t="s">
        <v>2462</v>
      </c>
      <c r="C45" s="10" t="s">
        <v>2463</v>
      </c>
      <c r="D45" s="11" t="s">
        <v>53</v>
      </c>
      <c r="E45" s="12">
        <v>6</v>
      </c>
      <c r="F45" s="13">
        <v>1</v>
      </c>
      <c r="G45" s="14">
        <f t="shared" si="0"/>
        <v>179</v>
      </c>
      <c r="H45" s="15">
        <f t="shared" si="1"/>
        <v>89.5</v>
      </c>
      <c r="I45" s="13">
        <f t="shared" si="2"/>
        <v>17</v>
      </c>
      <c r="J45" s="16" t="str">
        <f t="shared" si="3"/>
        <v>TUNTAS</v>
      </c>
      <c r="K45" s="13"/>
      <c r="M45" s="46">
        <f t="shared" si="4"/>
        <v>8.9499999999999993</v>
      </c>
    </row>
    <row r="46" spans="1:13" x14ac:dyDescent="0.25">
      <c r="A46" s="8">
        <v>39</v>
      </c>
      <c r="B46" s="9" t="s">
        <v>2464</v>
      </c>
      <c r="C46" s="10" t="s">
        <v>2465</v>
      </c>
      <c r="D46" s="11" t="s">
        <v>55</v>
      </c>
      <c r="E46" s="12">
        <v>10</v>
      </c>
      <c r="F46" s="13">
        <v>1</v>
      </c>
      <c r="G46" s="14">
        <f t="shared" si="0"/>
        <v>167</v>
      </c>
      <c r="H46" s="15">
        <f t="shared" si="1"/>
        <v>83.5</v>
      </c>
      <c r="I46" s="13">
        <f t="shared" si="2"/>
        <v>29</v>
      </c>
      <c r="J46" s="16" t="str">
        <f t="shared" si="3"/>
        <v>TUNTAS</v>
      </c>
      <c r="K46" s="13"/>
      <c r="M46" s="46">
        <f t="shared" si="4"/>
        <v>8.35</v>
      </c>
    </row>
    <row r="47" spans="1:13" x14ac:dyDescent="0.25">
      <c r="A47" s="8">
        <v>40</v>
      </c>
      <c r="B47" s="9" t="s">
        <v>2466</v>
      </c>
      <c r="C47" s="10" t="s">
        <v>2467</v>
      </c>
      <c r="D47" s="11" t="s">
        <v>94</v>
      </c>
      <c r="E47" s="12">
        <v>7</v>
      </c>
      <c r="F47" s="13">
        <v>0</v>
      </c>
      <c r="G47" s="14">
        <f t="shared" ref="G47:G62" si="5">100-E47*3+100-F47*3</f>
        <v>179</v>
      </c>
      <c r="H47" s="15">
        <f t="shared" ref="H47:H62" si="6">G47/2</f>
        <v>89.5</v>
      </c>
      <c r="I47" s="13">
        <f t="shared" si="2"/>
        <v>17</v>
      </c>
      <c r="J47" s="16" t="str">
        <f t="shared" si="3"/>
        <v>TUNTAS</v>
      </c>
      <c r="K47" s="13"/>
      <c r="M47" s="46">
        <f t="shared" si="4"/>
        <v>8.9499999999999993</v>
      </c>
    </row>
    <row r="48" spans="1:13" x14ac:dyDescent="0.25">
      <c r="A48" s="8">
        <v>41</v>
      </c>
      <c r="B48" s="9" t="s">
        <v>2468</v>
      </c>
      <c r="C48" s="10" t="s">
        <v>2469</v>
      </c>
      <c r="D48" s="11" t="s">
        <v>56</v>
      </c>
      <c r="E48" s="12">
        <v>4</v>
      </c>
      <c r="F48" s="13">
        <v>3</v>
      </c>
      <c r="G48" s="14">
        <f t="shared" si="5"/>
        <v>179</v>
      </c>
      <c r="H48" s="15">
        <f t="shared" si="6"/>
        <v>89.5</v>
      </c>
      <c r="I48" s="13">
        <f t="shared" si="2"/>
        <v>17</v>
      </c>
      <c r="J48" s="16" t="str">
        <f t="shared" si="3"/>
        <v>TUNTAS</v>
      </c>
      <c r="K48" s="13"/>
      <c r="M48" s="46">
        <f t="shared" si="4"/>
        <v>8.9499999999999993</v>
      </c>
    </row>
    <row r="49" spans="1:13" x14ac:dyDescent="0.25">
      <c r="A49" s="8">
        <v>42</v>
      </c>
      <c r="B49" s="9" t="s">
        <v>2470</v>
      </c>
      <c r="C49" s="10" t="s">
        <v>2471</v>
      </c>
      <c r="D49" s="11" t="s">
        <v>139</v>
      </c>
      <c r="E49" s="12">
        <v>3</v>
      </c>
      <c r="F49" s="13">
        <v>2</v>
      </c>
      <c r="G49" s="14">
        <f t="shared" si="5"/>
        <v>185</v>
      </c>
      <c r="H49" s="15">
        <f t="shared" si="6"/>
        <v>92.5</v>
      </c>
      <c r="I49" s="13">
        <f t="shared" si="2"/>
        <v>10</v>
      </c>
      <c r="J49" s="16" t="str">
        <f t="shared" si="3"/>
        <v>TUNTAS</v>
      </c>
      <c r="K49" s="13"/>
      <c r="M49" s="46">
        <f t="shared" si="4"/>
        <v>9.25</v>
      </c>
    </row>
    <row r="50" spans="1:13" x14ac:dyDescent="0.25">
      <c r="A50" s="8">
        <v>43</v>
      </c>
      <c r="B50" s="9" t="s">
        <v>2472</v>
      </c>
      <c r="C50" s="10" t="s">
        <v>2473</v>
      </c>
      <c r="D50" s="11" t="s">
        <v>60</v>
      </c>
      <c r="E50" s="12">
        <v>17</v>
      </c>
      <c r="F50" s="13">
        <v>5</v>
      </c>
      <c r="G50" s="14">
        <f t="shared" si="5"/>
        <v>134</v>
      </c>
      <c r="H50" s="15">
        <f t="shared" si="6"/>
        <v>67</v>
      </c>
      <c r="I50" s="13">
        <f t="shared" si="2"/>
        <v>45</v>
      </c>
      <c r="J50" s="16" t="str">
        <f t="shared" si="3"/>
        <v>TUNTAS</v>
      </c>
      <c r="K50" s="13"/>
      <c r="M50" s="46">
        <f t="shared" si="4"/>
        <v>6.7</v>
      </c>
    </row>
    <row r="51" spans="1:13" x14ac:dyDescent="0.25">
      <c r="A51" s="8">
        <v>44</v>
      </c>
      <c r="B51" s="9" t="s">
        <v>2474</v>
      </c>
      <c r="C51" s="10" t="s">
        <v>2475</v>
      </c>
      <c r="D51" s="11" t="s">
        <v>61</v>
      </c>
      <c r="E51" s="12">
        <v>20</v>
      </c>
      <c r="F51" s="13">
        <v>4</v>
      </c>
      <c r="G51" s="14">
        <f t="shared" si="5"/>
        <v>128</v>
      </c>
      <c r="H51" s="15">
        <f t="shared" si="6"/>
        <v>64</v>
      </c>
      <c r="I51" s="13">
        <f t="shared" si="2"/>
        <v>49</v>
      </c>
      <c r="J51" s="16" t="str">
        <f t="shared" si="3"/>
        <v>TUNTAS</v>
      </c>
      <c r="K51" s="13"/>
      <c r="M51" s="46">
        <f t="shared" si="4"/>
        <v>6.4</v>
      </c>
    </row>
    <row r="52" spans="1:13" x14ac:dyDescent="0.25">
      <c r="A52" s="8">
        <v>45</v>
      </c>
      <c r="B52" s="9" t="s">
        <v>2476</v>
      </c>
      <c r="C52" s="10" t="s">
        <v>2477</v>
      </c>
      <c r="D52" s="11" t="s">
        <v>327</v>
      </c>
      <c r="E52" s="12">
        <v>2</v>
      </c>
      <c r="F52" s="13">
        <v>1</v>
      </c>
      <c r="G52" s="14">
        <f t="shared" si="5"/>
        <v>191</v>
      </c>
      <c r="H52" s="15">
        <f t="shared" si="6"/>
        <v>95.5</v>
      </c>
      <c r="I52" s="13">
        <f t="shared" si="2"/>
        <v>6</v>
      </c>
      <c r="J52" s="16" t="str">
        <f t="shared" si="3"/>
        <v>TUNTAS</v>
      </c>
      <c r="K52" s="13"/>
      <c r="M52" s="46">
        <f t="shared" si="4"/>
        <v>9.5500000000000007</v>
      </c>
    </row>
    <row r="53" spans="1:13" x14ac:dyDescent="0.25">
      <c r="A53" s="8">
        <v>46</v>
      </c>
      <c r="B53" s="9" t="s">
        <v>2478</v>
      </c>
      <c r="C53" s="10" t="s">
        <v>2479</v>
      </c>
      <c r="D53" s="11" t="s">
        <v>63</v>
      </c>
      <c r="E53" s="12">
        <v>3</v>
      </c>
      <c r="F53" s="13">
        <v>0</v>
      </c>
      <c r="G53" s="14">
        <f t="shared" si="5"/>
        <v>191</v>
      </c>
      <c r="H53" s="15">
        <f t="shared" si="6"/>
        <v>95.5</v>
      </c>
      <c r="I53" s="13">
        <f t="shared" si="2"/>
        <v>6</v>
      </c>
      <c r="J53" s="16" t="str">
        <f t="shared" si="3"/>
        <v>TUNTAS</v>
      </c>
      <c r="K53" s="13"/>
      <c r="M53" s="46">
        <f t="shared" si="4"/>
        <v>9.5500000000000007</v>
      </c>
    </row>
    <row r="54" spans="1:13" x14ac:dyDescent="0.25">
      <c r="A54" s="8">
        <v>47</v>
      </c>
      <c r="B54" s="9" t="s">
        <v>2480</v>
      </c>
      <c r="C54" s="10" t="s">
        <v>2481</v>
      </c>
      <c r="D54" s="11" t="s">
        <v>65</v>
      </c>
      <c r="E54" s="12">
        <v>5</v>
      </c>
      <c r="F54" s="13">
        <v>3</v>
      </c>
      <c r="G54" s="14">
        <f t="shared" si="5"/>
        <v>176</v>
      </c>
      <c r="H54" s="15">
        <f t="shared" si="6"/>
        <v>88</v>
      </c>
      <c r="I54" s="13">
        <f t="shared" si="2"/>
        <v>21</v>
      </c>
      <c r="J54" s="16" t="str">
        <f t="shared" si="3"/>
        <v>TUNTAS</v>
      </c>
      <c r="K54" s="13"/>
      <c r="M54" s="46">
        <f t="shared" si="4"/>
        <v>8.8000000000000007</v>
      </c>
    </row>
    <row r="55" spans="1:13" x14ac:dyDescent="0.25">
      <c r="A55" s="8">
        <v>48</v>
      </c>
      <c r="B55" s="9" t="s">
        <v>2482</v>
      </c>
      <c r="C55" s="10" t="s">
        <v>2483</v>
      </c>
      <c r="D55" s="11" t="s">
        <v>88</v>
      </c>
      <c r="E55" s="12">
        <v>4</v>
      </c>
      <c r="F55" s="13">
        <v>5</v>
      </c>
      <c r="G55" s="14">
        <f t="shared" si="5"/>
        <v>173</v>
      </c>
      <c r="H55" s="15">
        <f t="shared" si="6"/>
        <v>86.5</v>
      </c>
      <c r="I55" s="13">
        <f t="shared" si="2"/>
        <v>25</v>
      </c>
      <c r="J55" s="16" t="str">
        <f t="shared" si="3"/>
        <v>TUNTAS</v>
      </c>
      <c r="K55" s="13"/>
      <c r="M55" s="46">
        <f t="shared" si="4"/>
        <v>8.65</v>
      </c>
    </row>
    <row r="56" spans="1:13" x14ac:dyDescent="0.25">
      <c r="A56" s="8">
        <v>49</v>
      </c>
      <c r="B56" s="9" t="s">
        <v>2484</v>
      </c>
      <c r="C56" s="10" t="s">
        <v>2485</v>
      </c>
      <c r="D56" s="11" t="s">
        <v>66</v>
      </c>
      <c r="E56" s="12">
        <v>32</v>
      </c>
      <c r="F56" s="13">
        <v>32</v>
      </c>
      <c r="G56" s="14">
        <f t="shared" si="5"/>
        <v>8</v>
      </c>
      <c r="H56" s="15">
        <f t="shared" si="6"/>
        <v>4</v>
      </c>
      <c r="I56" s="13">
        <f t="shared" si="2"/>
        <v>52</v>
      </c>
      <c r="J56" s="16" t="str">
        <f t="shared" si="3"/>
        <v>TIDAK HADIR</v>
      </c>
      <c r="K56" s="13"/>
      <c r="M56" s="46">
        <f t="shared" si="4"/>
        <v>0.4</v>
      </c>
    </row>
    <row r="57" spans="1:13" x14ac:dyDescent="0.25">
      <c r="A57" s="8">
        <v>50</v>
      </c>
      <c r="B57" s="9" t="s">
        <v>2486</v>
      </c>
      <c r="C57" s="10" t="s">
        <v>303</v>
      </c>
      <c r="D57" s="11" t="s">
        <v>130</v>
      </c>
      <c r="E57" s="12">
        <v>10</v>
      </c>
      <c r="F57" s="13">
        <v>5</v>
      </c>
      <c r="G57" s="14">
        <f t="shared" si="5"/>
        <v>155</v>
      </c>
      <c r="H57" s="15">
        <f t="shared" si="6"/>
        <v>77.5</v>
      </c>
      <c r="I57" s="13">
        <f t="shared" si="2"/>
        <v>36</v>
      </c>
      <c r="J57" s="16" t="str">
        <f t="shared" si="3"/>
        <v>TUNTAS</v>
      </c>
      <c r="K57" s="13"/>
      <c r="M57" s="46">
        <f t="shared" si="4"/>
        <v>7.75</v>
      </c>
    </row>
    <row r="58" spans="1:13" x14ac:dyDescent="0.25">
      <c r="A58" s="8">
        <v>51</v>
      </c>
      <c r="B58" s="9" t="s">
        <v>2487</v>
      </c>
      <c r="C58" s="10" t="s">
        <v>2488</v>
      </c>
      <c r="D58" s="11" t="s">
        <v>68</v>
      </c>
      <c r="E58" s="12">
        <v>1</v>
      </c>
      <c r="F58" s="13">
        <v>1</v>
      </c>
      <c r="G58" s="14">
        <f t="shared" si="5"/>
        <v>194</v>
      </c>
      <c r="H58" s="15">
        <f t="shared" si="6"/>
        <v>97</v>
      </c>
      <c r="I58" s="13">
        <f t="shared" si="2"/>
        <v>5</v>
      </c>
      <c r="J58" s="16" t="str">
        <f t="shared" si="3"/>
        <v>TUNTAS</v>
      </c>
      <c r="K58" s="13"/>
      <c r="M58" s="46">
        <f t="shared" si="4"/>
        <v>9.6999999999999993</v>
      </c>
    </row>
    <row r="59" spans="1:13" x14ac:dyDescent="0.25">
      <c r="A59" s="8">
        <v>52</v>
      </c>
      <c r="B59" s="9" t="s">
        <v>2489</v>
      </c>
      <c r="C59" s="10" t="s">
        <v>2490</v>
      </c>
      <c r="D59" s="11" t="s">
        <v>99</v>
      </c>
      <c r="E59" s="12">
        <v>8</v>
      </c>
      <c r="F59" s="13">
        <v>2</v>
      </c>
      <c r="G59" s="14">
        <f t="shared" si="5"/>
        <v>170</v>
      </c>
      <c r="H59" s="15">
        <f t="shared" si="6"/>
        <v>85</v>
      </c>
      <c r="I59" s="13">
        <f t="shared" si="2"/>
        <v>26</v>
      </c>
      <c r="J59" s="16" t="str">
        <f t="shared" si="3"/>
        <v>TUNTAS</v>
      </c>
      <c r="K59" s="13"/>
      <c r="M59" s="46">
        <f t="shared" si="4"/>
        <v>8.5</v>
      </c>
    </row>
    <row r="60" spans="1:13" x14ac:dyDescent="0.25">
      <c r="A60" s="8">
        <v>53</v>
      </c>
      <c r="B60" s="9" t="s">
        <v>2491</v>
      </c>
      <c r="C60" s="10" t="s">
        <v>2492</v>
      </c>
      <c r="D60" s="11" t="s">
        <v>70</v>
      </c>
      <c r="E60" s="12">
        <v>1</v>
      </c>
      <c r="F60" s="13">
        <v>5</v>
      </c>
      <c r="G60" s="14">
        <f t="shared" si="5"/>
        <v>182</v>
      </c>
      <c r="H60" s="15">
        <f t="shared" si="6"/>
        <v>91</v>
      </c>
      <c r="I60" s="13">
        <f t="shared" si="2"/>
        <v>12</v>
      </c>
      <c r="J60" s="16" t="str">
        <f t="shared" si="3"/>
        <v>TUNTAS</v>
      </c>
      <c r="K60" s="13"/>
      <c r="M60" s="46">
        <f t="shared" si="4"/>
        <v>9.1</v>
      </c>
    </row>
    <row r="61" spans="1:13" x14ac:dyDescent="0.25">
      <c r="A61" s="8">
        <v>54</v>
      </c>
      <c r="B61" s="9" t="s">
        <v>2493</v>
      </c>
      <c r="C61" s="10" t="s">
        <v>2494</v>
      </c>
      <c r="D61" s="11" t="s">
        <v>131</v>
      </c>
      <c r="E61" s="12">
        <v>32</v>
      </c>
      <c r="F61" s="13">
        <v>32</v>
      </c>
      <c r="G61" s="14">
        <f t="shared" si="5"/>
        <v>8</v>
      </c>
      <c r="H61" s="15">
        <f t="shared" si="6"/>
        <v>4</v>
      </c>
      <c r="I61" s="13">
        <f t="shared" si="2"/>
        <v>52</v>
      </c>
      <c r="J61" s="16" t="str">
        <f t="shared" si="3"/>
        <v>TIDAK HADIR</v>
      </c>
      <c r="K61" s="13"/>
      <c r="M61" s="46">
        <f t="shared" si="4"/>
        <v>0.4</v>
      </c>
    </row>
    <row r="62" spans="1:13" x14ac:dyDescent="0.25">
      <c r="A62" s="8">
        <v>55</v>
      </c>
      <c r="B62" s="9" t="s">
        <v>2495</v>
      </c>
      <c r="C62" s="10" t="s">
        <v>2496</v>
      </c>
      <c r="D62" s="11" t="s">
        <v>89</v>
      </c>
      <c r="E62" s="12">
        <v>5</v>
      </c>
      <c r="F62" s="13">
        <v>7</v>
      </c>
      <c r="G62" s="14">
        <f t="shared" si="5"/>
        <v>164</v>
      </c>
      <c r="H62" s="15">
        <f t="shared" si="6"/>
        <v>82</v>
      </c>
      <c r="I62" s="13">
        <f t="shared" si="2"/>
        <v>31</v>
      </c>
      <c r="J62" s="16" t="str">
        <f t="shared" si="3"/>
        <v>TUNTAS</v>
      </c>
      <c r="K62" s="13"/>
      <c r="M62" s="46">
        <f t="shared" si="4"/>
        <v>8.1999999999999993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conditionalFormatting sqref="D8:D10">
    <cfRule type="cellIs" dxfId="212" priority="9" operator="equal">
      <formula>0</formula>
    </cfRule>
  </conditionalFormatting>
  <conditionalFormatting sqref="H8:H62">
    <cfRule type="cellIs" dxfId="211" priority="10" operator="lessThan">
      <formula>60</formula>
    </cfRule>
    <cfRule type="cellIs" dxfId="210" priority="11" operator="lessThan">
      <formula>60</formula>
    </cfRule>
    <cfRule type="cellIs" dxfId="209" priority="14" operator="lessThan">
      <formula>50</formula>
    </cfRule>
  </conditionalFormatting>
  <conditionalFormatting sqref="J8:J62">
    <cfRule type="cellIs" dxfId="208" priority="1" operator="equal">
      <formula>"TIDAK BACA"</formula>
    </cfRule>
    <cfRule type="cellIs" dxfId="207" priority="2" operator="equal">
      <formula>"TIDAK HADIR"</formula>
    </cfRule>
    <cfRule type="cellIs" dxfId="206" priority="3" operator="equal">
      <formula>"TUNTAS"</formula>
    </cfRule>
    <cfRule type="cellIs" dxfId="205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E56D67FC-BF58-47B3-8EE2-73033EFBF1C4}"/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2587-30FB-4939-BAB2-FC956BF2DC37}">
  <sheetPr>
    <tabColor theme="3" tint="0.59999389629810485"/>
  </sheetPr>
  <dimension ref="A1:M60"/>
  <sheetViews>
    <sheetView workbookViewId="0">
      <pane xSplit="1" ySplit="7" topLeftCell="B20" activePane="bottomRight" state="frozen"/>
      <selection activeCell="Q16" sqref="Q16"/>
      <selection pane="topRight" activeCell="Q16" sqref="Q16"/>
      <selection pane="bottomLeft" activeCell="Q16" sqref="Q16"/>
      <selection pane="bottomRight" activeCell="M60" sqref="M8:M60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3" customFormat="1" ht="19.899999999999999" customHeight="1" x14ac:dyDescent="0.2">
      <c r="A4" s="55" t="s">
        <v>3315</v>
      </c>
      <c r="B4" s="55"/>
      <c r="C4" s="55"/>
      <c r="D4" s="55"/>
      <c r="E4" s="55"/>
      <c r="F4" s="55"/>
      <c r="G4" s="55"/>
      <c r="H4" s="55"/>
      <c r="I4" s="55"/>
      <c r="J4" s="45" t="s">
        <v>3310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2497</v>
      </c>
      <c r="C8" s="10" t="s">
        <v>2498</v>
      </c>
      <c r="D8" s="11" t="s">
        <v>15</v>
      </c>
      <c r="E8" s="12">
        <v>11</v>
      </c>
      <c r="F8" s="13">
        <v>6</v>
      </c>
      <c r="G8" s="14">
        <f>100-E8*3+100-F8*3</f>
        <v>149</v>
      </c>
      <c r="H8" s="15">
        <f>G8/2</f>
        <v>74.5</v>
      </c>
      <c r="I8" s="13">
        <f>RANK(G8,$G$8:$G$60)</f>
        <v>38</v>
      </c>
      <c r="J8" s="16" t="str">
        <f>IF(H8&lt;4.1,"TIDAK HADIR",IF(H8&lt;7.1,"TIDAK BACA",IF(H8&lt;$J$7,"TIDAK TUNTAS","TUNTAS")))</f>
        <v>TUNTAS</v>
      </c>
      <c r="K8" s="13"/>
      <c r="M8" s="46">
        <f>H8/10</f>
        <v>7.45</v>
      </c>
    </row>
    <row r="9" spans="1:13" x14ac:dyDescent="0.25">
      <c r="A9" s="8">
        <v>2</v>
      </c>
      <c r="B9" s="9" t="s">
        <v>2499</v>
      </c>
      <c r="C9" s="17" t="s">
        <v>2500</v>
      </c>
      <c r="D9" s="18" t="s">
        <v>17</v>
      </c>
      <c r="E9" s="12">
        <v>7</v>
      </c>
      <c r="F9" s="13">
        <v>6</v>
      </c>
      <c r="G9" s="14">
        <f t="shared" ref="G9:G46" si="0">100-E9*3+100-F9*3</f>
        <v>161</v>
      </c>
      <c r="H9" s="15">
        <f t="shared" ref="H9:H46" si="1">G9/2</f>
        <v>80.5</v>
      </c>
      <c r="I9" s="13">
        <f t="shared" ref="I9:I60" si="2">RANK(G9,$G$8:$G$60)</f>
        <v>32</v>
      </c>
      <c r="J9" s="16" t="str">
        <f t="shared" ref="J9:J60" si="3">IF(H9&lt;4.1,"TIDAK HADIR",IF(H9&lt;7.1,"TIDAK BACA",IF(H9&lt;$J$7,"TIDAK TUNTAS","TUNTAS")))</f>
        <v>TUNTAS</v>
      </c>
      <c r="K9" s="13"/>
      <c r="M9" s="46">
        <f t="shared" ref="M9:M60" si="4">H9/10</f>
        <v>8.0500000000000007</v>
      </c>
    </row>
    <row r="10" spans="1:13" x14ac:dyDescent="0.25">
      <c r="A10" s="8">
        <v>3</v>
      </c>
      <c r="B10" s="9" t="s">
        <v>2501</v>
      </c>
      <c r="C10" s="10" t="s">
        <v>2502</v>
      </c>
      <c r="D10" s="11" t="s">
        <v>18</v>
      </c>
      <c r="E10" s="12">
        <v>7</v>
      </c>
      <c r="F10" s="13">
        <v>2</v>
      </c>
      <c r="G10" s="14">
        <f t="shared" si="0"/>
        <v>173</v>
      </c>
      <c r="H10" s="15">
        <f t="shared" si="1"/>
        <v>86.5</v>
      </c>
      <c r="I10" s="13">
        <f t="shared" si="2"/>
        <v>23</v>
      </c>
      <c r="J10" s="16" t="str">
        <f t="shared" si="3"/>
        <v>TUNTAS</v>
      </c>
      <c r="K10" s="13"/>
      <c r="M10" s="46">
        <f t="shared" si="4"/>
        <v>8.65</v>
      </c>
    </row>
    <row r="11" spans="1:13" x14ac:dyDescent="0.25">
      <c r="A11" s="8">
        <v>4</v>
      </c>
      <c r="B11" s="9" t="s">
        <v>2503</v>
      </c>
      <c r="C11" s="10" t="s">
        <v>2437</v>
      </c>
      <c r="D11" s="11" t="s">
        <v>122</v>
      </c>
      <c r="E11" s="12">
        <v>5</v>
      </c>
      <c r="F11" s="13">
        <v>0</v>
      </c>
      <c r="G11" s="14">
        <f t="shared" si="0"/>
        <v>185</v>
      </c>
      <c r="H11" s="15">
        <f t="shared" si="1"/>
        <v>92.5</v>
      </c>
      <c r="I11" s="13">
        <f t="shared" si="2"/>
        <v>10</v>
      </c>
      <c r="J11" s="16" t="str">
        <f t="shared" si="3"/>
        <v>TUNTAS</v>
      </c>
      <c r="K11" s="13"/>
      <c r="M11" s="46">
        <f t="shared" si="4"/>
        <v>9.25</v>
      </c>
    </row>
    <row r="12" spans="1:13" x14ac:dyDescent="0.25">
      <c r="A12" s="8">
        <v>5</v>
      </c>
      <c r="B12" s="9" t="s">
        <v>2504</v>
      </c>
      <c r="C12" s="17" t="s">
        <v>2505</v>
      </c>
      <c r="D12" s="18" t="s">
        <v>22</v>
      </c>
      <c r="E12" s="12">
        <v>16</v>
      </c>
      <c r="F12" s="13">
        <v>4</v>
      </c>
      <c r="G12" s="14">
        <f t="shared" si="0"/>
        <v>140</v>
      </c>
      <c r="H12" s="15">
        <f t="shared" si="1"/>
        <v>70</v>
      </c>
      <c r="I12" s="13">
        <f t="shared" si="2"/>
        <v>41</v>
      </c>
      <c r="J12" s="16" t="str">
        <f t="shared" si="3"/>
        <v>TUNTAS</v>
      </c>
      <c r="K12" s="13"/>
      <c r="M12" s="46">
        <f t="shared" si="4"/>
        <v>7</v>
      </c>
    </row>
    <row r="13" spans="1:13" x14ac:dyDescent="0.25">
      <c r="A13" s="8">
        <v>6</v>
      </c>
      <c r="B13" s="9" t="s">
        <v>2506</v>
      </c>
      <c r="C13" s="17" t="s">
        <v>2507</v>
      </c>
      <c r="D13" s="18" t="s">
        <v>123</v>
      </c>
      <c r="E13" s="12">
        <v>5</v>
      </c>
      <c r="F13" s="13">
        <v>0</v>
      </c>
      <c r="G13" s="14">
        <f t="shared" si="0"/>
        <v>185</v>
      </c>
      <c r="H13" s="15">
        <f t="shared" si="1"/>
        <v>92.5</v>
      </c>
      <c r="I13" s="13">
        <f t="shared" si="2"/>
        <v>10</v>
      </c>
      <c r="J13" s="16" t="str">
        <f t="shared" si="3"/>
        <v>TUNTAS</v>
      </c>
      <c r="K13" s="13"/>
      <c r="M13" s="46">
        <f t="shared" si="4"/>
        <v>9.25</v>
      </c>
    </row>
    <row r="14" spans="1:13" x14ac:dyDescent="0.25">
      <c r="A14" s="8">
        <v>7</v>
      </c>
      <c r="B14" s="9" t="s">
        <v>2508</v>
      </c>
      <c r="C14" s="17" t="s">
        <v>2509</v>
      </c>
      <c r="D14" s="18" t="s">
        <v>24</v>
      </c>
      <c r="E14" s="12">
        <v>4</v>
      </c>
      <c r="F14" s="13">
        <v>1</v>
      </c>
      <c r="G14" s="14">
        <f t="shared" si="0"/>
        <v>185</v>
      </c>
      <c r="H14" s="15">
        <f t="shared" si="1"/>
        <v>92.5</v>
      </c>
      <c r="I14" s="13">
        <f t="shared" si="2"/>
        <v>10</v>
      </c>
      <c r="J14" s="16" t="str">
        <f t="shared" si="3"/>
        <v>TUNTAS</v>
      </c>
      <c r="K14" s="13"/>
      <c r="M14" s="46">
        <f t="shared" si="4"/>
        <v>9.25</v>
      </c>
    </row>
    <row r="15" spans="1:13" x14ac:dyDescent="0.25">
      <c r="A15" s="8">
        <v>8</v>
      </c>
      <c r="B15" s="9" t="s">
        <v>2510</v>
      </c>
      <c r="C15" s="10" t="s">
        <v>2511</v>
      </c>
      <c r="D15" s="11" t="s">
        <v>124</v>
      </c>
      <c r="E15" s="12">
        <v>8</v>
      </c>
      <c r="F15" s="13">
        <v>0</v>
      </c>
      <c r="G15" s="14">
        <f t="shared" si="0"/>
        <v>176</v>
      </c>
      <c r="H15" s="15">
        <f t="shared" si="1"/>
        <v>88</v>
      </c>
      <c r="I15" s="13">
        <f t="shared" si="2"/>
        <v>21</v>
      </c>
      <c r="J15" s="16" t="str">
        <f t="shared" si="3"/>
        <v>TUNTAS</v>
      </c>
      <c r="K15" s="13"/>
      <c r="M15" s="46">
        <f t="shared" si="4"/>
        <v>8.8000000000000007</v>
      </c>
    </row>
    <row r="16" spans="1:13" x14ac:dyDescent="0.25">
      <c r="A16" s="8">
        <v>9</v>
      </c>
      <c r="B16" s="9" t="s">
        <v>2512</v>
      </c>
      <c r="C16" s="20" t="s">
        <v>2513</v>
      </c>
      <c r="D16" s="18" t="s">
        <v>25</v>
      </c>
      <c r="E16" s="12">
        <v>4</v>
      </c>
      <c r="F16" s="13">
        <v>3</v>
      </c>
      <c r="G16" s="14">
        <f t="shared" si="0"/>
        <v>179</v>
      </c>
      <c r="H16" s="15">
        <f t="shared" si="1"/>
        <v>89.5</v>
      </c>
      <c r="I16" s="13">
        <f t="shared" si="2"/>
        <v>16</v>
      </c>
      <c r="J16" s="16" t="str">
        <f t="shared" si="3"/>
        <v>TUNTAS</v>
      </c>
      <c r="K16" s="13"/>
      <c r="M16" s="46">
        <f t="shared" si="4"/>
        <v>8.9499999999999993</v>
      </c>
    </row>
    <row r="17" spans="1:13" x14ac:dyDescent="0.25">
      <c r="A17" s="8">
        <v>10</v>
      </c>
      <c r="B17" s="9" t="s">
        <v>2514</v>
      </c>
      <c r="C17" s="10" t="s">
        <v>2515</v>
      </c>
      <c r="D17" s="11" t="s">
        <v>26</v>
      </c>
      <c r="E17" s="12">
        <v>17</v>
      </c>
      <c r="F17" s="13">
        <v>11</v>
      </c>
      <c r="G17" s="14">
        <f t="shared" si="0"/>
        <v>116</v>
      </c>
      <c r="H17" s="15">
        <f t="shared" si="1"/>
        <v>58</v>
      </c>
      <c r="I17" s="13">
        <f t="shared" si="2"/>
        <v>46</v>
      </c>
      <c r="J17" s="16" t="str">
        <f t="shared" si="3"/>
        <v>TIDAK TUNTAS</v>
      </c>
      <c r="K17" s="13"/>
      <c r="M17" s="46">
        <f t="shared" si="4"/>
        <v>5.8</v>
      </c>
    </row>
    <row r="18" spans="1:13" x14ac:dyDescent="0.25">
      <c r="A18" s="8">
        <v>11</v>
      </c>
      <c r="B18" s="9" t="s">
        <v>2516</v>
      </c>
      <c r="C18" s="10" t="s">
        <v>2517</v>
      </c>
      <c r="D18" s="11" t="s">
        <v>101</v>
      </c>
      <c r="E18" s="12">
        <v>29</v>
      </c>
      <c r="F18" s="13">
        <v>28</v>
      </c>
      <c r="G18" s="14">
        <f t="shared" si="0"/>
        <v>29</v>
      </c>
      <c r="H18" s="15">
        <f t="shared" si="1"/>
        <v>14.5</v>
      </c>
      <c r="I18" s="13">
        <f t="shared" si="2"/>
        <v>49</v>
      </c>
      <c r="J18" s="16" t="str">
        <f t="shared" si="3"/>
        <v>TIDAK TUNTAS</v>
      </c>
      <c r="K18" s="13"/>
      <c r="M18" s="46">
        <f t="shared" si="4"/>
        <v>1.45</v>
      </c>
    </row>
    <row r="19" spans="1:13" x14ac:dyDescent="0.25">
      <c r="A19" s="8">
        <v>12</v>
      </c>
      <c r="B19" s="9" t="s">
        <v>2518</v>
      </c>
      <c r="C19" s="10" t="s">
        <v>2519</v>
      </c>
      <c r="D19" s="11" t="s">
        <v>75</v>
      </c>
      <c r="E19" s="12">
        <v>2</v>
      </c>
      <c r="F19" s="13">
        <v>1</v>
      </c>
      <c r="G19" s="14">
        <f t="shared" si="0"/>
        <v>191</v>
      </c>
      <c r="H19" s="15">
        <f t="shared" si="1"/>
        <v>95.5</v>
      </c>
      <c r="I19" s="13">
        <f t="shared" si="2"/>
        <v>6</v>
      </c>
      <c r="J19" s="16" t="str">
        <f t="shared" si="3"/>
        <v>TUNTAS</v>
      </c>
      <c r="K19" s="13"/>
      <c r="M19" s="46">
        <f t="shared" si="4"/>
        <v>9.5500000000000007</v>
      </c>
    </row>
    <row r="20" spans="1:13" x14ac:dyDescent="0.25">
      <c r="A20" s="8">
        <v>13</v>
      </c>
      <c r="B20" s="9" t="s">
        <v>2520</v>
      </c>
      <c r="C20" s="10" t="s">
        <v>2521</v>
      </c>
      <c r="D20" s="18" t="s">
        <v>28</v>
      </c>
      <c r="E20" s="12">
        <v>7</v>
      </c>
      <c r="F20" s="13">
        <v>2</v>
      </c>
      <c r="G20" s="14">
        <f t="shared" si="0"/>
        <v>173</v>
      </c>
      <c r="H20" s="15">
        <f t="shared" si="1"/>
        <v>86.5</v>
      </c>
      <c r="I20" s="13">
        <f t="shared" si="2"/>
        <v>23</v>
      </c>
      <c r="J20" s="16" t="str">
        <f t="shared" si="3"/>
        <v>TUNTAS</v>
      </c>
      <c r="K20" s="13"/>
      <c r="M20" s="46">
        <f t="shared" si="4"/>
        <v>8.65</v>
      </c>
    </row>
    <row r="21" spans="1:13" x14ac:dyDescent="0.25">
      <c r="A21" s="8">
        <v>14</v>
      </c>
      <c r="B21" s="9" t="s">
        <v>2522</v>
      </c>
      <c r="C21" s="10" t="s">
        <v>2523</v>
      </c>
      <c r="D21" s="11" t="s">
        <v>29</v>
      </c>
      <c r="E21" s="12">
        <v>6</v>
      </c>
      <c r="F21" s="13">
        <v>1</v>
      </c>
      <c r="G21" s="14">
        <f t="shared" si="0"/>
        <v>179</v>
      </c>
      <c r="H21" s="15">
        <f t="shared" si="1"/>
        <v>89.5</v>
      </c>
      <c r="I21" s="13">
        <f t="shared" si="2"/>
        <v>16</v>
      </c>
      <c r="J21" s="16" t="str">
        <f t="shared" si="3"/>
        <v>TUNTAS</v>
      </c>
      <c r="K21" s="13"/>
      <c r="M21" s="46">
        <f t="shared" si="4"/>
        <v>8.9499999999999993</v>
      </c>
    </row>
    <row r="22" spans="1:13" x14ac:dyDescent="0.25">
      <c r="A22" s="8">
        <v>15</v>
      </c>
      <c r="B22" s="9" t="s">
        <v>2524</v>
      </c>
      <c r="C22" s="21" t="s">
        <v>2525</v>
      </c>
      <c r="D22" s="19" t="s">
        <v>30</v>
      </c>
      <c r="E22" s="12">
        <v>8</v>
      </c>
      <c r="F22" s="13">
        <v>1</v>
      </c>
      <c r="G22" s="14">
        <f t="shared" si="0"/>
        <v>173</v>
      </c>
      <c r="H22" s="15">
        <f t="shared" si="1"/>
        <v>86.5</v>
      </c>
      <c r="I22" s="13">
        <f t="shared" si="2"/>
        <v>23</v>
      </c>
      <c r="J22" s="16" t="str">
        <f t="shared" si="3"/>
        <v>TUNTAS</v>
      </c>
      <c r="K22" s="13"/>
      <c r="M22" s="46">
        <f t="shared" si="4"/>
        <v>8.65</v>
      </c>
    </row>
    <row r="23" spans="1:13" x14ac:dyDescent="0.25">
      <c r="A23" s="8">
        <v>16</v>
      </c>
      <c r="B23" s="9" t="s">
        <v>2526</v>
      </c>
      <c r="C23" s="21" t="s">
        <v>2527</v>
      </c>
      <c r="D23" s="19" t="s">
        <v>31</v>
      </c>
      <c r="E23" s="12">
        <v>5</v>
      </c>
      <c r="F23" s="13">
        <v>2</v>
      </c>
      <c r="G23" s="14">
        <f t="shared" si="0"/>
        <v>179</v>
      </c>
      <c r="H23" s="15">
        <f t="shared" si="1"/>
        <v>89.5</v>
      </c>
      <c r="I23" s="13">
        <f t="shared" si="2"/>
        <v>16</v>
      </c>
      <c r="J23" s="16" t="str">
        <f t="shared" si="3"/>
        <v>TUNTAS</v>
      </c>
      <c r="K23" s="13"/>
      <c r="M23" s="46">
        <f t="shared" si="4"/>
        <v>8.9499999999999993</v>
      </c>
    </row>
    <row r="24" spans="1:13" x14ac:dyDescent="0.25">
      <c r="A24" s="8">
        <v>17</v>
      </c>
      <c r="B24" s="9" t="s">
        <v>2528</v>
      </c>
      <c r="C24" s="10" t="s">
        <v>2529</v>
      </c>
      <c r="D24" s="11" t="s">
        <v>125</v>
      </c>
      <c r="E24" s="12">
        <v>3</v>
      </c>
      <c r="F24" s="13">
        <v>2</v>
      </c>
      <c r="G24" s="14">
        <f t="shared" si="0"/>
        <v>185</v>
      </c>
      <c r="H24" s="15">
        <f t="shared" si="1"/>
        <v>92.5</v>
      </c>
      <c r="I24" s="13">
        <f t="shared" si="2"/>
        <v>10</v>
      </c>
      <c r="J24" s="16" t="str">
        <f t="shared" si="3"/>
        <v>TUNTAS</v>
      </c>
      <c r="K24" s="13"/>
      <c r="M24" s="46">
        <f t="shared" si="4"/>
        <v>9.25</v>
      </c>
    </row>
    <row r="25" spans="1:13" x14ac:dyDescent="0.25">
      <c r="A25" s="8">
        <v>18</v>
      </c>
      <c r="B25" s="9" t="s">
        <v>2530</v>
      </c>
      <c r="C25" s="20" t="s">
        <v>2531</v>
      </c>
      <c r="D25" s="18" t="s">
        <v>569</v>
      </c>
      <c r="E25" s="12">
        <v>6</v>
      </c>
      <c r="F25" s="13">
        <v>0</v>
      </c>
      <c r="G25" s="14">
        <f t="shared" si="0"/>
        <v>182</v>
      </c>
      <c r="H25" s="15">
        <f t="shared" si="1"/>
        <v>91</v>
      </c>
      <c r="I25" s="13">
        <f t="shared" si="2"/>
        <v>14</v>
      </c>
      <c r="J25" s="16" t="str">
        <f t="shared" si="3"/>
        <v>TUNTAS</v>
      </c>
      <c r="K25" s="13"/>
      <c r="M25" s="46">
        <f t="shared" si="4"/>
        <v>9.1</v>
      </c>
    </row>
    <row r="26" spans="1:13" x14ac:dyDescent="0.25">
      <c r="A26" s="8">
        <v>19</v>
      </c>
      <c r="B26" s="9" t="s">
        <v>2532</v>
      </c>
      <c r="C26" s="10" t="s">
        <v>2533</v>
      </c>
      <c r="D26" s="11" t="s">
        <v>34</v>
      </c>
      <c r="E26" s="12">
        <v>12</v>
      </c>
      <c r="F26" s="13">
        <v>1</v>
      </c>
      <c r="G26" s="14">
        <f t="shared" si="0"/>
        <v>161</v>
      </c>
      <c r="H26" s="15">
        <f t="shared" si="1"/>
        <v>80.5</v>
      </c>
      <c r="I26" s="13">
        <f t="shared" si="2"/>
        <v>32</v>
      </c>
      <c r="J26" s="16" t="str">
        <f t="shared" si="3"/>
        <v>TUNTAS</v>
      </c>
      <c r="K26" s="13"/>
      <c r="M26" s="46">
        <f t="shared" si="4"/>
        <v>8.0500000000000007</v>
      </c>
    </row>
    <row r="27" spans="1:13" x14ac:dyDescent="0.25">
      <c r="A27" s="8">
        <v>20</v>
      </c>
      <c r="B27" s="9" t="s">
        <v>2534</v>
      </c>
      <c r="C27" s="10" t="s">
        <v>2535</v>
      </c>
      <c r="D27" s="11" t="s">
        <v>93</v>
      </c>
      <c r="E27" s="12">
        <v>7</v>
      </c>
      <c r="F27" s="13">
        <v>4</v>
      </c>
      <c r="G27" s="14">
        <f t="shared" si="0"/>
        <v>167</v>
      </c>
      <c r="H27" s="15">
        <f t="shared" si="1"/>
        <v>83.5</v>
      </c>
      <c r="I27" s="13">
        <f t="shared" si="2"/>
        <v>30</v>
      </c>
      <c r="J27" s="16" t="str">
        <f t="shared" si="3"/>
        <v>TUNTAS</v>
      </c>
      <c r="K27" s="13"/>
      <c r="M27" s="46">
        <f t="shared" si="4"/>
        <v>8.35</v>
      </c>
    </row>
    <row r="28" spans="1:13" x14ac:dyDescent="0.25">
      <c r="A28" s="8">
        <v>21</v>
      </c>
      <c r="B28" s="9" t="s">
        <v>2536</v>
      </c>
      <c r="C28" s="10" t="s">
        <v>2537</v>
      </c>
      <c r="D28" s="11" t="s">
        <v>36</v>
      </c>
      <c r="E28" s="12">
        <v>15</v>
      </c>
      <c r="F28" s="13">
        <v>11</v>
      </c>
      <c r="G28" s="14">
        <f t="shared" si="0"/>
        <v>122</v>
      </c>
      <c r="H28" s="15">
        <f t="shared" si="1"/>
        <v>61</v>
      </c>
      <c r="I28" s="13">
        <f t="shared" si="2"/>
        <v>44</v>
      </c>
      <c r="J28" s="16" t="str">
        <f t="shared" si="3"/>
        <v>TUNTAS</v>
      </c>
      <c r="K28" s="13"/>
      <c r="M28" s="46">
        <f t="shared" si="4"/>
        <v>6.1</v>
      </c>
    </row>
    <row r="29" spans="1:13" x14ac:dyDescent="0.25">
      <c r="A29" s="8">
        <v>22</v>
      </c>
      <c r="B29" s="9" t="s">
        <v>2538</v>
      </c>
      <c r="C29" s="10" t="s">
        <v>386</v>
      </c>
      <c r="D29" s="11" t="s">
        <v>37</v>
      </c>
      <c r="E29" s="12">
        <v>1</v>
      </c>
      <c r="F29" s="13">
        <v>1</v>
      </c>
      <c r="G29" s="14">
        <f t="shared" si="0"/>
        <v>194</v>
      </c>
      <c r="H29" s="15">
        <f t="shared" si="1"/>
        <v>97</v>
      </c>
      <c r="I29" s="13">
        <f t="shared" si="2"/>
        <v>4</v>
      </c>
      <c r="J29" s="16" t="str">
        <f t="shared" si="3"/>
        <v>TUNTAS</v>
      </c>
      <c r="K29" s="13"/>
      <c r="M29" s="46">
        <f t="shared" si="4"/>
        <v>9.6999999999999993</v>
      </c>
    </row>
    <row r="30" spans="1:13" x14ac:dyDescent="0.25">
      <c r="A30" s="8">
        <v>23</v>
      </c>
      <c r="B30" s="9" t="s">
        <v>2539</v>
      </c>
      <c r="C30" s="10" t="s">
        <v>2540</v>
      </c>
      <c r="D30" s="11" t="s">
        <v>105</v>
      </c>
      <c r="E30" s="12">
        <v>20</v>
      </c>
      <c r="F30" s="13">
        <v>15</v>
      </c>
      <c r="G30" s="14">
        <f t="shared" si="0"/>
        <v>95</v>
      </c>
      <c r="H30" s="15">
        <f t="shared" si="1"/>
        <v>47.5</v>
      </c>
      <c r="I30" s="13">
        <f t="shared" si="2"/>
        <v>48</v>
      </c>
      <c r="J30" s="16" t="str">
        <f t="shared" si="3"/>
        <v>TIDAK TUNTAS</v>
      </c>
      <c r="K30" s="13"/>
      <c r="M30" s="46">
        <f t="shared" si="4"/>
        <v>4.75</v>
      </c>
    </row>
    <row r="31" spans="1:13" x14ac:dyDescent="0.25">
      <c r="A31" s="8">
        <v>24</v>
      </c>
      <c r="B31" s="9" t="s">
        <v>2541</v>
      </c>
      <c r="C31" s="10" t="s">
        <v>2542</v>
      </c>
      <c r="D31" s="11" t="s">
        <v>40</v>
      </c>
      <c r="E31" s="12">
        <v>32</v>
      </c>
      <c r="F31" s="13">
        <v>32</v>
      </c>
      <c r="G31" s="14">
        <f t="shared" si="0"/>
        <v>8</v>
      </c>
      <c r="H31" s="15">
        <f t="shared" si="1"/>
        <v>4</v>
      </c>
      <c r="I31" s="13">
        <f t="shared" si="2"/>
        <v>50</v>
      </c>
      <c r="J31" s="16" t="str">
        <f t="shared" si="3"/>
        <v>TIDAK HADIR</v>
      </c>
      <c r="K31" s="13" t="s">
        <v>3265</v>
      </c>
      <c r="M31" s="46">
        <f t="shared" si="4"/>
        <v>0.4</v>
      </c>
    </row>
    <row r="32" spans="1:13" x14ac:dyDescent="0.25">
      <c r="A32" s="8">
        <v>25</v>
      </c>
      <c r="B32" s="9" t="s">
        <v>2543</v>
      </c>
      <c r="C32" s="10" t="s">
        <v>2544</v>
      </c>
      <c r="D32" s="11" t="s">
        <v>284</v>
      </c>
      <c r="E32" s="12">
        <v>10</v>
      </c>
      <c r="F32" s="13">
        <v>1</v>
      </c>
      <c r="G32" s="14">
        <f t="shared" si="0"/>
        <v>167</v>
      </c>
      <c r="H32" s="15">
        <f t="shared" si="1"/>
        <v>83.5</v>
      </c>
      <c r="I32" s="13">
        <f t="shared" si="2"/>
        <v>30</v>
      </c>
      <c r="J32" s="16" t="str">
        <f t="shared" si="3"/>
        <v>TUNTAS</v>
      </c>
      <c r="K32" s="13"/>
      <c r="M32" s="46">
        <f t="shared" si="4"/>
        <v>8.35</v>
      </c>
    </row>
    <row r="33" spans="1:13" x14ac:dyDescent="0.25">
      <c r="A33" s="8">
        <v>26</v>
      </c>
      <c r="B33" s="9" t="s">
        <v>2545</v>
      </c>
      <c r="C33" s="21" t="s">
        <v>2546</v>
      </c>
      <c r="D33" s="19" t="s">
        <v>290</v>
      </c>
      <c r="E33" s="12">
        <v>4</v>
      </c>
      <c r="F33" s="13">
        <v>4</v>
      </c>
      <c r="G33" s="14">
        <f t="shared" si="0"/>
        <v>176</v>
      </c>
      <c r="H33" s="15">
        <f t="shared" si="1"/>
        <v>88</v>
      </c>
      <c r="I33" s="13">
        <f t="shared" si="2"/>
        <v>21</v>
      </c>
      <c r="J33" s="16" t="str">
        <f t="shared" si="3"/>
        <v>TUNTAS</v>
      </c>
      <c r="K33" s="13"/>
      <c r="M33" s="46">
        <f t="shared" si="4"/>
        <v>8.8000000000000007</v>
      </c>
    </row>
    <row r="34" spans="1:13" x14ac:dyDescent="0.25">
      <c r="A34" s="8">
        <v>27</v>
      </c>
      <c r="B34" s="9" t="s">
        <v>2547</v>
      </c>
      <c r="C34" s="10" t="s">
        <v>2548</v>
      </c>
      <c r="D34" s="11" t="s">
        <v>43</v>
      </c>
      <c r="E34" s="12">
        <v>6</v>
      </c>
      <c r="F34" s="13">
        <v>1</v>
      </c>
      <c r="G34" s="14">
        <f t="shared" si="0"/>
        <v>179</v>
      </c>
      <c r="H34" s="15">
        <f t="shared" si="1"/>
        <v>89.5</v>
      </c>
      <c r="I34" s="13">
        <f t="shared" si="2"/>
        <v>16</v>
      </c>
      <c r="J34" s="16" t="str">
        <f t="shared" si="3"/>
        <v>TUNTAS</v>
      </c>
      <c r="K34" s="13"/>
      <c r="M34" s="46">
        <f t="shared" si="4"/>
        <v>8.9499999999999993</v>
      </c>
    </row>
    <row r="35" spans="1:13" x14ac:dyDescent="0.25">
      <c r="A35" s="8">
        <v>28</v>
      </c>
      <c r="B35" s="9" t="s">
        <v>2549</v>
      </c>
      <c r="C35" s="10" t="s">
        <v>2550</v>
      </c>
      <c r="D35" s="11" t="s">
        <v>45</v>
      </c>
      <c r="E35" s="12">
        <v>16</v>
      </c>
      <c r="F35" s="13">
        <v>12</v>
      </c>
      <c r="G35" s="14">
        <f t="shared" si="0"/>
        <v>116</v>
      </c>
      <c r="H35" s="15">
        <f t="shared" si="1"/>
        <v>58</v>
      </c>
      <c r="I35" s="13">
        <f t="shared" si="2"/>
        <v>46</v>
      </c>
      <c r="J35" s="16" t="str">
        <f t="shared" si="3"/>
        <v>TIDAK TUNTAS</v>
      </c>
      <c r="K35" s="13"/>
      <c r="M35" s="46">
        <f t="shared" si="4"/>
        <v>5.8</v>
      </c>
    </row>
    <row r="36" spans="1:13" x14ac:dyDescent="0.25">
      <c r="A36" s="8">
        <v>29</v>
      </c>
      <c r="B36" s="9" t="s">
        <v>2551</v>
      </c>
      <c r="C36" s="10" t="s">
        <v>2552</v>
      </c>
      <c r="D36" s="11" t="s">
        <v>116</v>
      </c>
      <c r="E36" s="12">
        <v>3</v>
      </c>
      <c r="F36" s="13">
        <v>7</v>
      </c>
      <c r="G36" s="14">
        <f t="shared" si="0"/>
        <v>170</v>
      </c>
      <c r="H36" s="15">
        <f t="shared" si="1"/>
        <v>85</v>
      </c>
      <c r="I36" s="13">
        <f t="shared" si="2"/>
        <v>27</v>
      </c>
      <c r="J36" s="16" t="str">
        <f t="shared" si="3"/>
        <v>TUNTAS</v>
      </c>
      <c r="K36" s="13"/>
      <c r="M36" s="46">
        <f t="shared" si="4"/>
        <v>8.5</v>
      </c>
    </row>
    <row r="37" spans="1:13" x14ac:dyDescent="0.25">
      <c r="A37" s="8">
        <v>30</v>
      </c>
      <c r="B37" s="9" t="s">
        <v>2553</v>
      </c>
      <c r="C37" s="17" t="s">
        <v>2554</v>
      </c>
      <c r="D37" s="18" t="s">
        <v>46</v>
      </c>
      <c r="E37" s="12">
        <v>13</v>
      </c>
      <c r="F37" s="13">
        <v>3</v>
      </c>
      <c r="G37" s="14">
        <f t="shared" si="0"/>
        <v>152</v>
      </c>
      <c r="H37" s="15">
        <f t="shared" si="1"/>
        <v>76</v>
      </c>
      <c r="I37" s="13">
        <f t="shared" si="2"/>
        <v>37</v>
      </c>
      <c r="J37" s="16" t="str">
        <f t="shared" si="3"/>
        <v>TUNTAS</v>
      </c>
      <c r="K37" s="13"/>
      <c r="M37" s="46">
        <f t="shared" si="4"/>
        <v>7.6</v>
      </c>
    </row>
    <row r="38" spans="1:13" x14ac:dyDescent="0.25">
      <c r="A38" s="8">
        <v>31</v>
      </c>
      <c r="B38" s="9" t="s">
        <v>2555</v>
      </c>
      <c r="C38" s="10" t="s">
        <v>2556</v>
      </c>
      <c r="D38" s="11" t="s">
        <v>107</v>
      </c>
      <c r="E38" s="12">
        <v>7</v>
      </c>
      <c r="F38" s="13">
        <v>0</v>
      </c>
      <c r="G38" s="14">
        <f t="shared" si="0"/>
        <v>179</v>
      </c>
      <c r="H38" s="15">
        <f t="shared" si="1"/>
        <v>89.5</v>
      </c>
      <c r="I38" s="13">
        <f t="shared" si="2"/>
        <v>16</v>
      </c>
      <c r="J38" s="16" t="str">
        <f t="shared" si="3"/>
        <v>TUNTAS</v>
      </c>
      <c r="K38" s="13"/>
      <c r="M38" s="46">
        <f t="shared" si="4"/>
        <v>8.9499999999999993</v>
      </c>
    </row>
    <row r="39" spans="1:13" x14ac:dyDescent="0.25">
      <c r="A39" s="8">
        <v>32</v>
      </c>
      <c r="B39" s="9" t="s">
        <v>2557</v>
      </c>
      <c r="C39" s="10" t="s">
        <v>2558</v>
      </c>
      <c r="D39" s="11" t="s">
        <v>48</v>
      </c>
      <c r="E39" s="12">
        <v>5</v>
      </c>
      <c r="F39" s="13">
        <v>1</v>
      </c>
      <c r="G39" s="14">
        <f t="shared" si="0"/>
        <v>182</v>
      </c>
      <c r="H39" s="15">
        <f t="shared" si="1"/>
        <v>91</v>
      </c>
      <c r="I39" s="13">
        <f t="shared" si="2"/>
        <v>14</v>
      </c>
      <c r="J39" s="16" t="str">
        <f t="shared" si="3"/>
        <v>TUNTAS</v>
      </c>
      <c r="K39" s="13"/>
      <c r="M39" s="46">
        <f t="shared" si="4"/>
        <v>9.1</v>
      </c>
    </row>
    <row r="40" spans="1:13" x14ac:dyDescent="0.25">
      <c r="A40" s="8">
        <v>33</v>
      </c>
      <c r="B40" s="9" t="s">
        <v>2559</v>
      </c>
      <c r="C40" s="10" t="s">
        <v>2560</v>
      </c>
      <c r="D40" s="11" t="s">
        <v>52</v>
      </c>
      <c r="E40" s="12">
        <v>10</v>
      </c>
      <c r="F40" s="13">
        <v>7</v>
      </c>
      <c r="G40" s="14">
        <f t="shared" si="0"/>
        <v>149</v>
      </c>
      <c r="H40" s="15">
        <f t="shared" si="1"/>
        <v>74.5</v>
      </c>
      <c r="I40" s="13">
        <f t="shared" si="2"/>
        <v>38</v>
      </c>
      <c r="J40" s="16" t="str">
        <f t="shared" si="3"/>
        <v>TUNTAS</v>
      </c>
      <c r="K40" s="13"/>
      <c r="M40" s="46">
        <f t="shared" si="4"/>
        <v>7.45</v>
      </c>
    </row>
    <row r="41" spans="1:13" x14ac:dyDescent="0.25">
      <c r="A41" s="8">
        <v>34</v>
      </c>
      <c r="B41" s="9" t="s">
        <v>2561</v>
      </c>
      <c r="C41" s="10" t="s">
        <v>2562</v>
      </c>
      <c r="D41" s="11" t="s">
        <v>53</v>
      </c>
      <c r="E41" s="12">
        <v>4</v>
      </c>
      <c r="F41" s="13">
        <v>0</v>
      </c>
      <c r="G41" s="14">
        <f t="shared" si="0"/>
        <v>188</v>
      </c>
      <c r="H41" s="15">
        <f t="shared" si="1"/>
        <v>94</v>
      </c>
      <c r="I41" s="13">
        <f t="shared" si="2"/>
        <v>8</v>
      </c>
      <c r="J41" s="16" t="str">
        <f t="shared" si="3"/>
        <v>TUNTAS</v>
      </c>
      <c r="K41" s="13"/>
      <c r="M41" s="46">
        <f t="shared" si="4"/>
        <v>9.4</v>
      </c>
    </row>
    <row r="42" spans="1:13" x14ac:dyDescent="0.25">
      <c r="A42" s="8">
        <v>35</v>
      </c>
      <c r="B42" s="9" t="s">
        <v>2563</v>
      </c>
      <c r="C42" s="10" t="s">
        <v>2564</v>
      </c>
      <c r="D42" s="11" t="s">
        <v>54</v>
      </c>
      <c r="E42" s="12">
        <v>32</v>
      </c>
      <c r="F42" s="13">
        <v>32</v>
      </c>
      <c r="G42" s="14">
        <f t="shared" si="0"/>
        <v>8</v>
      </c>
      <c r="H42" s="15">
        <f t="shared" si="1"/>
        <v>4</v>
      </c>
      <c r="I42" s="13">
        <f t="shared" si="2"/>
        <v>50</v>
      </c>
      <c r="J42" s="16" t="str">
        <f t="shared" si="3"/>
        <v>TIDAK HADIR</v>
      </c>
      <c r="K42" s="13" t="s">
        <v>3265</v>
      </c>
      <c r="M42" s="46">
        <f t="shared" si="4"/>
        <v>0.4</v>
      </c>
    </row>
    <row r="43" spans="1:13" x14ac:dyDescent="0.25">
      <c r="A43" s="8">
        <v>36</v>
      </c>
      <c r="B43" s="9" t="s">
        <v>2565</v>
      </c>
      <c r="C43" s="10" t="s">
        <v>2566</v>
      </c>
      <c r="D43" s="11" t="s">
        <v>55</v>
      </c>
      <c r="E43" s="12">
        <v>19</v>
      </c>
      <c r="F43" s="13">
        <v>4</v>
      </c>
      <c r="G43" s="14">
        <f t="shared" si="0"/>
        <v>131</v>
      </c>
      <c r="H43" s="15">
        <f t="shared" si="1"/>
        <v>65.5</v>
      </c>
      <c r="I43" s="13">
        <f t="shared" si="2"/>
        <v>42</v>
      </c>
      <c r="J43" s="16" t="str">
        <f t="shared" si="3"/>
        <v>TUNTAS</v>
      </c>
      <c r="K43" s="13"/>
      <c r="M43" s="46">
        <f t="shared" si="4"/>
        <v>6.55</v>
      </c>
    </row>
    <row r="44" spans="1:13" x14ac:dyDescent="0.25">
      <c r="A44" s="8">
        <v>37</v>
      </c>
      <c r="B44" s="9" t="s">
        <v>2567</v>
      </c>
      <c r="C44" s="10" t="s">
        <v>2568</v>
      </c>
      <c r="D44" s="11" t="s">
        <v>94</v>
      </c>
      <c r="E44" s="12">
        <v>20</v>
      </c>
      <c r="F44" s="13">
        <v>4</v>
      </c>
      <c r="G44" s="14">
        <f t="shared" si="0"/>
        <v>128</v>
      </c>
      <c r="H44" s="15">
        <f t="shared" si="1"/>
        <v>64</v>
      </c>
      <c r="I44" s="13">
        <f t="shared" si="2"/>
        <v>43</v>
      </c>
      <c r="J44" s="16" t="str">
        <f t="shared" si="3"/>
        <v>TUNTAS</v>
      </c>
      <c r="K44" s="13"/>
      <c r="M44" s="46">
        <f t="shared" si="4"/>
        <v>6.4</v>
      </c>
    </row>
    <row r="45" spans="1:13" x14ac:dyDescent="0.25">
      <c r="A45" s="8">
        <v>38</v>
      </c>
      <c r="B45" s="9" t="s">
        <v>2569</v>
      </c>
      <c r="C45" s="10" t="s">
        <v>2570</v>
      </c>
      <c r="D45" s="11" t="s">
        <v>129</v>
      </c>
      <c r="E45" s="12">
        <v>8</v>
      </c>
      <c r="F45" s="13">
        <v>2</v>
      </c>
      <c r="G45" s="14">
        <f t="shared" si="0"/>
        <v>170</v>
      </c>
      <c r="H45" s="15">
        <f t="shared" si="1"/>
        <v>85</v>
      </c>
      <c r="I45" s="13">
        <f t="shared" si="2"/>
        <v>27</v>
      </c>
      <c r="J45" s="16" t="str">
        <f t="shared" si="3"/>
        <v>TUNTAS</v>
      </c>
      <c r="K45" s="13"/>
      <c r="M45" s="46">
        <f t="shared" si="4"/>
        <v>8.5</v>
      </c>
    </row>
    <row r="46" spans="1:13" x14ac:dyDescent="0.25">
      <c r="A46" s="8">
        <v>39</v>
      </c>
      <c r="B46" s="9" t="s">
        <v>2571</v>
      </c>
      <c r="C46" s="10" t="s">
        <v>2572</v>
      </c>
      <c r="D46" s="11" t="s">
        <v>139</v>
      </c>
      <c r="E46" s="12">
        <v>14</v>
      </c>
      <c r="F46" s="13">
        <v>1</v>
      </c>
      <c r="G46" s="14">
        <f t="shared" si="0"/>
        <v>155</v>
      </c>
      <c r="H46" s="15">
        <f t="shared" si="1"/>
        <v>77.5</v>
      </c>
      <c r="I46" s="13">
        <f t="shared" si="2"/>
        <v>36</v>
      </c>
      <c r="J46" s="16" t="str">
        <f t="shared" si="3"/>
        <v>TUNTAS</v>
      </c>
      <c r="K46" s="13"/>
      <c r="M46" s="46">
        <f t="shared" si="4"/>
        <v>7.75</v>
      </c>
    </row>
    <row r="47" spans="1:13" x14ac:dyDescent="0.25">
      <c r="A47" s="8">
        <v>40</v>
      </c>
      <c r="B47" s="9" t="s">
        <v>2573</v>
      </c>
      <c r="C47" s="10" t="s">
        <v>2574</v>
      </c>
      <c r="D47" s="11" t="s">
        <v>60</v>
      </c>
      <c r="E47" s="12">
        <v>14</v>
      </c>
      <c r="F47" s="13">
        <v>4</v>
      </c>
      <c r="G47" s="14">
        <f t="shared" ref="G47:G60" si="5">100-E47*3+100-F47*3</f>
        <v>146</v>
      </c>
      <c r="H47" s="15">
        <f t="shared" ref="H47:H60" si="6">G47/2</f>
        <v>73</v>
      </c>
      <c r="I47" s="13">
        <f t="shared" si="2"/>
        <v>40</v>
      </c>
      <c r="J47" s="16" t="str">
        <f t="shared" si="3"/>
        <v>TUNTAS</v>
      </c>
      <c r="K47" s="13"/>
      <c r="M47" s="46">
        <f t="shared" si="4"/>
        <v>7.3</v>
      </c>
    </row>
    <row r="48" spans="1:13" x14ac:dyDescent="0.25">
      <c r="A48" s="8">
        <v>41</v>
      </c>
      <c r="B48" s="9" t="s">
        <v>2575</v>
      </c>
      <c r="C48" s="10" t="s">
        <v>2576</v>
      </c>
      <c r="D48" s="11" t="s">
        <v>61</v>
      </c>
      <c r="E48" s="12">
        <v>21</v>
      </c>
      <c r="F48" s="13">
        <v>5</v>
      </c>
      <c r="G48" s="14">
        <f t="shared" si="5"/>
        <v>122</v>
      </c>
      <c r="H48" s="15">
        <f t="shared" si="6"/>
        <v>61</v>
      </c>
      <c r="I48" s="13">
        <f t="shared" si="2"/>
        <v>44</v>
      </c>
      <c r="J48" s="16" t="str">
        <f t="shared" si="3"/>
        <v>TUNTAS</v>
      </c>
      <c r="K48" s="13"/>
      <c r="M48" s="46">
        <f t="shared" si="4"/>
        <v>6.1</v>
      </c>
    </row>
    <row r="49" spans="1:13" x14ac:dyDescent="0.25">
      <c r="A49" s="8">
        <v>42</v>
      </c>
      <c r="B49" s="9" t="s">
        <v>2577</v>
      </c>
      <c r="C49" s="10" t="s">
        <v>2578</v>
      </c>
      <c r="D49" s="11" t="s">
        <v>327</v>
      </c>
      <c r="E49" s="12">
        <v>2</v>
      </c>
      <c r="F49" s="13">
        <v>0</v>
      </c>
      <c r="G49" s="14">
        <f t="shared" si="5"/>
        <v>194</v>
      </c>
      <c r="H49" s="15">
        <f t="shared" si="6"/>
        <v>97</v>
      </c>
      <c r="I49" s="13">
        <f t="shared" si="2"/>
        <v>4</v>
      </c>
      <c r="J49" s="16" t="str">
        <f t="shared" si="3"/>
        <v>TUNTAS</v>
      </c>
      <c r="K49" s="13"/>
      <c r="M49" s="46">
        <f t="shared" si="4"/>
        <v>9.6999999999999993</v>
      </c>
    </row>
    <row r="50" spans="1:13" x14ac:dyDescent="0.25">
      <c r="A50" s="8">
        <v>43</v>
      </c>
      <c r="B50" s="9" t="s">
        <v>2579</v>
      </c>
      <c r="C50" s="10" t="s">
        <v>2580</v>
      </c>
      <c r="D50" s="11" t="s">
        <v>63</v>
      </c>
      <c r="E50" s="12">
        <v>32</v>
      </c>
      <c r="F50" s="13">
        <v>32</v>
      </c>
      <c r="G50" s="14">
        <f t="shared" si="5"/>
        <v>8</v>
      </c>
      <c r="H50" s="15">
        <f t="shared" si="6"/>
        <v>4</v>
      </c>
      <c r="I50" s="13">
        <f t="shared" si="2"/>
        <v>50</v>
      </c>
      <c r="J50" s="16" t="str">
        <f t="shared" si="3"/>
        <v>TIDAK HADIR</v>
      </c>
      <c r="K50" s="13" t="s">
        <v>3264</v>
      </c>
      <c r="M50" s="46">
        <f t="shared" si="4"/>
        <v>0.4</v>
      </c>
    </row>
    <row r="51" spans="1:13" x14ac:dyDescent="0.25">
      <c r="A51" s="8">
        <v>44</v>
      </c>
      <c r="B51" s="9" t="s">
        <v>2581</v>
      </c>
      <c r="C51" s="10" t="s">
        <v>2582</v>
      </c>
      <c r="D51" s="11" t="s">
        <v>65</v>
      </c>
      <c r="E51" s="12">
        <v>1</v>
      </c>
      <c r="F51" s="13">
        <v>0</v>
      </c>
      <c r="G51" s="14">
        <f t="shared" si="5"/>
        <v>197</v>
      </c>
      <c r="H51" s="15">
        <f t="shared" si="6"/>
        <v>98.5</v>
      </c>
      <c r="I51" s="13">
        <f t="shared" si="2"/>
        <v>2</v>
      </c>
      <c r="J51" s="16" t="str">
        <f t="shared" si="3"/>
        <v>TUNTAS</v>
      </c>
      <c r="K51" s="13"/>
      <c r="M51" s="46">
        <f t="shared" si="4"/>
        <v>9.85</v>
      </c>
    </row>
    <row r="52" spans="1:13" x14ac:dyDescent="0.25">
      <c r="A52" s="8">
        <v>45</v>
      </c>
      <c r="B52" s="9" t="s">
        <v>2583</v>
      </c>
      <c r="C52" s="10" t="s">
        <v>2584</v>
      </c>
      <c r="D52" s="11" t="s">
        <v>88</v>
      </c>
      <c r="E52" s="12">
        <v>0</v>
      </c>
      <c r="F52" s="13">
        <v>0</v>
      </c>
      <c r="G52" s="14">
        <f t="shared" si="5"/>
        <v>200</v>
      </c>
      <c r="H52" s="15">
        <f t="shared" si="6"/>
        <v>100</v>
      </c>
      <c r="I52" s="13">
        <f t="shared" si="2"/>
        <v>1</v>
      </c>
      <c r="J52" s="16" t="str">
        <f t="shared" si="3"/>
        <v>TUNTAS</v>
      </c>
      <c r="K52" s="13"/>
      <c r="M52" s="46">
        <f t="shared" si="4"/>
        <v>10</v>
      </c>
    </row>
    <row r="53" spans="1:13" x14ac:dyDescent="0.25">
      <c r="A53" s="8">
        <v>46</v>
      </c>
      <c r="B53" s="9" t="s">
        <v>2585</v>
      </c>
      <c r="C53" s="10" t="s">
        <v>2586</v>
      </c>
      <c r="D53" s="11" t="s">
        <v>66</v>
      </c>
      <c r="E53" s="12">
        <v>4</v>
      </c>
      <c r="F53" s="13">
        <v>0</v>
      </c>
      <c r="G53" s="14">
        <f t="shared" si="5"/>
        <v>188</v>
      </c>
      <c r="H53" s="15">
        <f t="shared" si="6"/>
        <v>94</v>
      </c>
      <c r="I53" s="13">
        <f t="shared" si="2"/>
        <v>8</v>
      </c>
      <c r="J53" s="16" t="str">
        <f t="shared" si="3"/>
        <v>TUNTAS</v>
      </c>
      <c r="K53" s="13"/>
      <c r="M53" s="46">
        <f t="shared" si="4"/>
        <v>9.4</v>
      </c>
    </row>
    <row r="54" spans="1:13" x14ac:dyDescent="0.25">
      <c r="A54" s="8">
        <v>47</v>
      </c>
      <c r="B54" s="9" t="s">
        <v>2587</v>
      </c>
      <c r="C54" s="10" t="s">
        <v>2588</v>
      </c>
      <c r="D54" s="11" t="s">
        <v>67</v>
      </c>
      <c r="E54" s="12">
        <v>5</v>
      </c>
      <c r="F54" s="13">
        <v>9</v>
      </c>
      <c r="G54" s="14">
        <f t="shared" si="5"/>
        <v>158</v>
      </c>
      <c r="H54" s="15">
        <f t="shared" si="6"/>
        <v>79</v>
      </c>
      <c r="I54" s="13">
        <f t="shared" si="2"/>
        <v>35</v>
      </c>
      <c r="J54" s="16" t="str">
        <f t="shared" si="3"/>
        <v>TUNTAS</v>
      </c>
      <c r="K54" s="13"/>
      <c r="M54" s="46">
        <f t="shared" si="4"/>
        <v>7.9</v>
      </c>
    </row>
    <row r="55" spans="1:13" x14ac:dyDescent="0.25">
      <c r="A55" s="8">
        <v>48</v>
      </c>
      <c r="B55" s="9" t="s">
        <v>2589</v>
      </c>
      <c r="C55" s="10" t="s">
        <v>2590</v>
      </c>
      <c r="D55" s="11" t="s">
        <v>130</v>
      </c>
      <c r="E55" s="12">
        <v>32</v>
      </c>
      <c r="F55" s="13">
        <v>32</v>
      </c>
      <c r="G55" s="14">
        <f t="shared" si="5"/>
        <v>8</v>
      </c>
      <c r="H55" s="15">
        <f t="shared" si="6"/>
        <v>4</v>
      </c>
      <c r="I55" s="13">
        <f t="shared" si="2"/>
        <v>50</v>
      </c>
      <c r="J55" s="16" t="str">
        <f t="shared" si="3"/>
        <v>TIDAK HADIR</v>
      </c>
      <c r="K55" s="13" t="s">
        <v>3265</v>
      </c>
      <c r="M55" s="46">
        <f t="shared" si="4"/>
        <v>0.4</v>
      </c>
    </row>
    <row r="56" spans="1:13" x14ac:dyDescent="0.25">
      <c r="A56" s="8">
        <v>49</v>
      </c>
      <c r="B56" s="9" t="s">
        <v>2591</v>
      </c>
      <c r="C56" s="10" t="s">
        <v>2592</v>
      </c>
      <c r="D56" s="11" t="s">
        <v>121</v>
      </c>
      <c r="E56" s="12">
        <v>11</v>
      </c>
      <c r="F56" s="13">
        <v>2</v>
      </c>
      <c r="G56" s="14">
        <f t="shared" si="5"/>
        <v>161</v>
      </c>
      <c r="H56" s="15">
        <f t="shared" si="6"/>
        <v>80.5</v>
      </c>
      <c r="I56" s="13">
        <f t="shared" si="2"/>
        <v>32</v>
      </c>
      <c r="J56" s="16" t="str">
        <f t="shared" si="3"/>
        <v>TUNTAS</v>
      </c>
      <c r="K56" s="13"/>
      <c r="M56" s="46">
        <f t="shared" si="4"/>
        <v>8.0500000000000007</v>
      </c>
    </row>
    <row r="57" spans="1:13" x14ac:dyDescent="0.25">
      <c r="A57" s="8">
        <v>50</v>
      </c>
      <c r="B57" s="9" t="s">
        <v>2593</v>
      </c>
      <c r="C57" s="10" t="s">
        <v>2594</v>
      </c>
      <c r="D57" s="11" t="s">
        <v>99</v>
      </c>
      <c r="E57" s="12">
        <v>1</v>
      </c>
      <c r="F57" s="13">
        <v>0</v>
      </c>
      <c r="G57" s="14">
        <f t="shared" si="5"/>
        <v>197</v>
      </c>
      <c r="H57" s="15">
        <f t="shared" si="6"/>
        <v>98.5</v>
      </c>
      <c r="I57" s="13">
        <f t="shared" si="2"/>
        <v>2</v>
      </c>
      <c r="J57" s="16" t="str">
        <f t="shared" si="3"/>
        <v>TUNTAS</v>
      </c>
      <c r="K57" s="13"/>
      <c r="M57" s="46">
        <f t="shared" si="4"/>
        <v>9.85</v>
      </c>
    </row>
    <row r="58" spans="1:13" x14ac:dyDescent="0.25">
      <c r="A58" s="8">
        <v>51</v>
      </c>
      <c r="B58" s="9" t="s">
        <v>2595</v>
      </c>
      <c r="C58" s="10" t="s">
        <v>386</v>
      </c>
      <c r="D58" s="11" t="s">
        <v>70</v>
      </c>
      <c r="E58" s="12">
        <v>8</v>
      </c>
      <c r="F58" s="13">
        <v>2</v>
      </c>
      <c r="G58" s="14">
        <f t="shared" si="5"/>
        <v>170</v>
      </c>
      <c r="H58" s="15">
        <f t="shared" si="6"/>
        <v>85</v>
      </c>
      <c r="I58" s="13">
        <f t="shared" si="2"/>
        <v>27</v>
      </c>
      <c r="J58" s="16" t="str">
        <f t="shared" si="3"/>
        <v>TUNTAS</v>
      </c>
      <c r="K58" s="13"/>
      <c r="M58" s="46">
        <f t="shared" si="4"/>
        <v>8.5</v>
      </c>
    </row>
    <row r="59" spans="1:13" x14ac:dyDescent="0.25">
      <c r="A59" s="8">
        <v>52</v>
      </c>
      <c r="B59" s="9" t="s">
        <v>2596</v>
      </c>
      <c r="C59" s="10" t="s">
        <v>2597</v>
      </c>
      <c r="D59" s="11" t="s">
        <v>131</v>
      </c>
      <c r="E59" s="12">
        <v>3</v>
      </c>
      <c r="F59" s="13">
        <v>0</v>
      </c>
      <c r="G59" s="14">
        <f t="shared" si="5"/>
        <v>191</v>
      </c>
      <c r="H59" s="15">
        <f t="shared" si="6"/>
        <v>95.5</v>
      </c>
      <c r="I59" s="13">
        <f t="shared" si="2"/>
        <v>6</v>
      </c>
      <c r="J59" s="16" t="str">
        <f t="shared" si="3"/>
        <v>TUNTAS</v>
      </c>
      <c r="K59" s="13"/>
      <c r="M59" s="46">
        <f t="shared" si="4"/>
        <v>9.5500000000000007</v>
      </c>
    </row>
    <row r="60" spans="1:13" x14ac:dyDescent="0.25">
      <c r="A60" s="8">
        <v>53</v>
      </c>
      <c r="B60" s="9" t="s">
        <v>2598</v>
      </c>
      <c r="C60" s="10" t="s">
        <v>2599</v>
      </c>
      <c r="D60" s="11" t="s">
        <v>73</v>
      </c>
      <c r="E60" s="12">
        <v>8</v>
      </c>
      <c r="F60" s="13">
        <v>1</v>
      </c>
      <c r="G60" s="14">
        <f t="shared" si="5"/>
        <v>173</v>
      </c>
      <c r="H60" s="15">
        <f t="shared" si="6"/>
        <v>86.5</v>
      </c>
      <c r="I60" s="13">
        <f t="shared" si="2"/>
        <v>23</v>
      </c>
      <c r="J60" s="16" t="str">
        <f t="shared" si="3"/>
        <v>TUNTAS</v>
      </c>
      <c r="K60" s="13"/>
      <c r="M60" s="46">
        <f t="shared" si="4"/>
        <v>8.65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conditionalFormatting sqref="D8:D10">
    <cfRule type="cellIs" dxfId="204" priority="9" operator="equal">
      <formula>0</formula>
    </cfRule>
  </conditionalFormatting>
  <conditionalFormatting sqref="H8:H60">
    <cfRule type="cellIs" dxfId="203" priority="10" operator="lessThan">
      <formula>60</formula>
    </cfRule>
    <cfRule type="cellIs" dxfId="202" priority="11" operator="lessThan">
      <formula>60</formula>
    </cfRule>
    <cfRule type="cellIs" dxfId="201" priority="14" operator="lessThan">
      <formula>50</formula>
    </cfRule>
  </conditionalFormatting>
  <conditionalFormatting sqref="J8:J60">
    <cfRule type="cellIs" dxfId="200" priority="1" operator="equal">
      <formula>"TIDAK BACA"</formula>
    </cfRule>
    <cfRule type="cellIs" dxfId="199" priority="2" operator="equal">
      <formula>"TIDAK HADIR"</formula>
    </cfRule>
    <cfRule type="cellIs" dxfId="198" priority="3" operator="equal">
      <formula>"TUNTAS"</formula>
    </cfRule>
    <cfRule type="cellIs" dxfId="197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570B777C-D9E0-4AB5-9C34-4DC1637317F8}"/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ACD8-2DE2-4F13-9216-E5999F5F75F3}">
  <sheetPr>
    <tabColor theme="3" tint="0.59999389629810485"/>
  </sheetPr>
  <dimension ref="A1:M59"/>
  <sheetViews>
    <sheetView workbookViewId="0">
      <pane xSplit="1" ySplit="7" topLeftCell="B8" activePane="bottomRight" state="frozen"/>
      <selection activeCell="Q16" sqref="Q16"/>
      <selection pane="topRight" activeCell="Q16" sqref="Q16"/>
      <selection pane="bottomLeft" activeCell="Q16" sqref="Q16"/>
      <selection pane="bottomRight" activeCell="M59" sqref="M8:M59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bestFit="1" customWidth="1"/>
    <col min="6" max="6" width="18" style="2" bestFit="1" customWidth="1"/>
    <col min="7" max="7" width="9.140625" style="2" customWidth="1"/>
    <col min="8" max="9" width="7.7109375" style="2" customWidth="1"/>
    <col min="10" max="10" width="14.7109375" style="2" customWidth="1"/>
    <col min="11" max="11" width="12.7109375" style="2" customWidth="1"/>
    <col min="12" max="16384" width="9.140625" style="2"/>
  </cols>
  <sheetData>
    <row r="1" spans="1:13" x14ac:dyDescent="0.25">
      <c r="A1" s="31" t="s">
        <v>1649</v>
      </c>
    </row>
    <row r="2" spans="1:13" x14ac:dyDescent="0.25">
      <c r="A2" s="31" t="s">
        <v>1650</v>
      </c>
    </row>
    <row r="3" spans="1:13" x14ac:dyDescent="0.25">
      <c r="A3" s="32" t="s">
        <v>1651</v>
      </c>
    </row>
    <row r="4" spans="1:13" s="33" customFormat="1" ht="19.899999999999999" customHeight="1" x14ac:dyDescent="0.25">
      <c r="A4" s="51" t="s">
        <v>3317</v>
      </c>
      <c r="B4" s="51"/>
      <c r="C4" s="51"/>
      <c r="D4" s="51"/>
      <c r="E4" s="51"/>
      <c r="F4" s="51"/>
      <c r="G4" s="51"/>
      <c r="H4" s="51"/>
      <c r="I4" s="51"/>
      <c r="J4" s="33" t="s">
        <v>3311</v>
      </c>
    </row>
    <row r="5" spans="1:13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2" t="s">
        <v>4</v>
      </c>
      <c r="F5" s="52"/>
      <c r="G5" s="53" t="s">
        <v>5</v>
      </c>
      <c r="H5" s="53" t="s">
        <v>6</v>
      </c>
      <c r="I5" s="53" t="s">
        <v>7</v>
      </c>
      <c r="J5" s="50" t="s">
        <v>12</v>
      </c>
      <c r="K5" s="47" t="s">
        <v>13</v>
      </c>
    </row>
    <row r="6" spans="1:13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54"/>
      <c r="H6" s="54"/>
      <c r="I6" s="54"/>
      <c r="J6" s="50"/>
      <c r="K6" s="48"/>
    </row>
    <row r="7" spans="1:13" s="1" customFormat="1" ht="15" customHeight="1" x14ac:dyDescent="0.25">
      <c r="A7" s="52"/>
      <c r="B7" s="49"/>
      <c r="C7" s="49"/>
      <c r="D7" s="52"/>
      <c r="E7" s="6" t="s">
        <v>10</v>
      </c>
      <c r="F7" s="6" t="s">
        <v>10</v>
      </c>
      <c r="G7" s="54"/>
      <c r="H7" s="54"/>
      <c r="I7" s="54"/>
      <c r="J7" s="7">
        <v>60</v>
      </c>
      <c r="K7" s="49"/>
    </row>
    <row r="8" spans="1:13" x14ac:dyDescent="0.25">
      <c r="A8" s="8">
        <v>1</v>
      </c>
      <c r="B8" s="9" t="s">
        <v>2600</v>
      </c>
      <c r="C8" s="10" t="s">
        <v>2601</v>
      </c>
      <c r="D8" s="11" t="s">
        <v>15</v>
      </c>
      <c r="E8" s="12">
        <v>14</v>
      </c>
      <c r="F8" s="13">
        <v>12</v>
      </c>
      <c r="G8" s="14">
        <f>100-E8*3+100-F8*3</f>
        <v>122</v>
      </c>
      <c r="H8" s="15">
        <f>G8/2</f>
        <v>61</v>
      </c>
      <c r="I8" s="13">
        <f>RANK(G8,$G$8:$G$59)</f>
        <v>43</v>
      </c>
      <c r="J8" s="16" t="str">
        <f>IF(H8&lt;4.1,"TIDAK HADIR",IF(H8&lt;7.1,"TIDAK BACA",IF(H8&lt;$J$7,"TIDAK TUNTAS","TUNTAS")))</f>
        <v>TUNTAS</v>
      </c>
      <c r="K8" s="13"/>
      <c r="M8" s="46">
        <f>H8/10</f>
        <v>6.1</v>
      </c>
    </row>
    <row r="9" spans="1:13" x14ac:dyDescent="0.25">
      <c r="A9" s="8">
        <v>2</v>
      </c>
      <c r="B9" s="9" t="s">
        <v>2602</v>
      </c>
      <c r="C9" s="17" t="s">
        <v>2603</v>
      </c>
      <c r="D9" s="18" t="s">
        <v>16</v>
      </c>
      <c r="E9" s="12">
        <v>18</v>
      </c>
      <c r="F9" s="13">
        <v>15</v>
      </c>
      <c r="G9" s="14">
        <f t="shared" ref="G9:G46" si="0">100-E9*3+100-F9*3</f>
        <v>101</v>
      </c>
      <c r="H9" s="15">
        <f t="shared" ref="H9:H46" si="1">G9/2</f>
        <v>50.5</v>
      </c>
      <c r="I9" s="13">
        <f t="shared" ref="I9:I59" si="2">RANK(G9,$G$8:$G$59)</f>
        <v>45</v>
      </c>
      <c r="J9" s="16" t="str">
        <f t="shared" ref="J9:J59" si="3">IF(H9&lt;4.1,"TIDAK HADIR",IF(H9&lt;7.1,"TIDAK BACA",IF(H9&lt;$J$7,"TIDAK TUNTAS","TUNTAS")))</f>
        <v>TIDAK TUNTAS</v>
      </c>
      <c r="K9" s="13"/>
      <c r="M9" s="46">
        <f t="shared" ref="M9:M59" si="4">H9/10</f>
        <v>5.05</v>
      </c>
    </row>
    <row r="10" spans="1:13" x14ac:dyDescent="0.25">
      <c r="A10" s="8">
        <v>3</v>
      </c>
      <c r="B10" s="9" t="s">
        <v>2604</v>
      </c>
      <c r="C10" s="10" t="s">
        <v>2605</v>
      </c>
      <c r="D10" s="11" t="s">
        <v>17</v>
      </c>
      <c r="E10" s="12">
        <v>9</v>
      </c>
      <c r="F10" s="13">
        <v>0</v>
      </c>
      <c r="G10" s="14">
        <f t="shared" si="0"/>
        <v>173</v>
      </c>
      <c r="H10" s="15">
        <f t="shared" si="1"/>
        <v>86.5</v>
      </c>
      <c r="I10" s="13">
        <f t="shared" si="2"/>
        <v>19</v>
      </c>
      <c r="J10" s="16" t="str">
        <f t="shared" si="3"/>
        <v>TUNTAS</v>
      </c>
      <c r="K10" s="13"/>
      <c r="M10" s="46">
        <f t="shared" si="4"/>
        <v>8.65</v>
      </c>
    </row>
    <row r="11" spans="1:13" x14ac:dyDescent="0.25">
      <c r="A11" s="8">
        <v>4</v>
      </c>
      <c r="B11" s="9" t="s">
        <v>2606</v>
      </c>
      <c r="C11" s="10" t="s">
        <v>2607</v>
      </c>
      <c r="D11" s="11" t="s">
        <v>18</v>
      </c>
      <c r="E11" s="12">
        <v>10</v>
      </c>
      <c r="F11" s="13">
        <v>7</v>
      </c>
      <c r="G11" s="14">
        <f t="shared" si="0"/>
        <v>149</v>
      </c>
      <c r="H11" s="15">
        <f t="shared" si="1"/>
        <v>74.5</v>
      </c>
      <c r="I11" s="13">
        <f t="shared" si="2"/>
        <v>36</v>
      </c>
      <c r="J11" s="16" t="str">
        <f t="shared" si="3"/>
        <v>TUNTAS</v>
      </c>
      <c r="K11" s="13"/>
      <c r="M11" s="46">
        <f t="shared" si="4"/>
        <v>7.45</v>
      </c>
    </row>
    <row r="12" spans="1:13" x14ac:dyDescent="0.25">
      <c r="A12" s="8">
        <v>5</v>
      </c>
      <c r="B12" s="9" t="s">
        <v>2608</v>
      </c>
      <c r="C12" s="17" t="s">
        <v>2609</v>
      </c>
      <c r="D12" s="18" t="s">
        <v>122</v>
      </c>
      <c r="E12" s="12">
        <v>6</v>
      </c>
      <c r="F12" s="13">
        <v>1</v>
      </c>
      <c r="G12" s="14">
        <f t="shared" si="0"/>
        <v>179</v>
      </c>
      <c r="H12" s="15">
        <f t="shared" si="1"/>
        <v>89.5</v>
      </c>
      <c r="I12" s="13">
        <f t="shared" si="2"/>
        <v>16</v>
      </c>
      <c r="J12" s="16" t="str">
        <f t="shared" si="3"/>
        <v>TUNTAS</v>
      </c>
      <c r="K12" s="13"/>
      <c r="M12" s="46">
        <f t="shared" si="4"/>
        <v>8.9499999999999993</v>
      </c>
    </row>
    <row r="13" spans="1:13" x14ac:dyDescent="0.25">
      <c r="A13" s="8">
        <v>6</v>
      </c>
      <c r="B13" s="9" t="s">
        <v>2610</v>
      </c>
      <c r="C13" s="17" t="s">
        <v>2611</v>
      </c>
      <c r="D13" s="18" t="s">
        <v>22</v>
      </c>
      <c r="E13" s="12">
        <v>0</v>
      </c>
      <c r="F13" s="13">
        <v>0</v>
      </c>
      <c r="G13" s="14">
        <f t="shared" si="0"/>
        <v>200</v>
      </c>
      <c r="H13" s="15">
        <f t="shared" si="1"/>
        <v>100</v>
      </c>
      <c r="I13" s="13">
        <f t="shared" si="2"/>
        <v>1</v>
      </c>
      <c r="J13" s="16" t="str">
        <f t="shared" si="3"/>
        <v>TUNTAS</v>
      </c>
      <c r="K13" s="13"/>
      <c r="M13" s="46">
        <f t="shared" si="4"/>
        <v>10</v>
      </c>
    </row>
    <row r="14" spans="1:13" x14ac:dyDescent="0.25">
      <c r="A14" s="8">
        <v>7</v>
      </c>
      <c r="B14" s="9" t="s">
        <v>2612</v>
      </c>
      <c r="C14" s="17" t="s">
        <v>2613</v>
      </c>
      <c r="D14" s="18" t="s">
        <v>23</v>
      </c>
      <c r="E14" s="12">
        <v>32</v>
      </c>
      <c r="F14" s="13">
        <v>32</v>
      </c>
      <c r="G14" s="14">
        <f t="shared" si="0"/>
        <v>8</v>
      </c>
      <c r="H14" s="15">
        <f t="shared" si="1"/>
        <v>4</v>
      </c>
      <c r="I14" s="13">
        <f t="shared" si="2"/>
        <v>48</v>
      </c>
      <c r="J14" s="16" t="str">
        <f t="shared" si="3"/>
        <v>TIDAK HADIR</v>
      </c>
      <c r="K14" s="13" t="s">
        <v>3264</v>
      </c>
      <c r="M14" s="46">
        <f t="shared" si="4"/>
        <v>0.4</v>
      </c>
    </row>
    <row r="15" spans="1:13" x14ac:dyDescent="0.25">
      <c r="A15" s="8">
        <v>8</v>
      </c>
      <c r="B15" s="9" t="s">
        <v>2614</v>
      </c>
      <c r="C15" s="10" t="s">
        <v>2615</v>
      </c>
      <c r="D15" s="11" t="s">
        <v>24</v>
      </c>
      <c r="E15" s="12">
        <v>5</v>
      </c>
      <c r="F15" s="13">
        <v>0</v>
      </c>
      <c r="G15" s="14">
        <f t="shared" si="0"/>
        <v>185</v>
      </c>
      <c r="H15" s="15">
        <f t="shared" si="1"/>
        <v>92.5</v>
      </c>
      <c r="I15" s="13">
        <f t="shared" si="2"/>
        <v>8</v>
      </c>
      <c r="J15" s="16" t="str">
        <f t="shared" si="3"/>
        <v>TUNTAS</v>
      </c>
      <c r="K15" s="13"/>
      <c r="M15" s="46">
        <f t="shared" si="4"/>
        <v>9.25</v>
      </c>
    </row>
    <row r="16" spans="1:13" x14ac:dyDescent="0.25">
      <c r="A16" s="8">
        <v>9</v>
      </c>
      <c r="B16" s="9" t="s">
        <v>2616</v>
      </c>
      <c r="C16" s="20" t="s">
        <v>2617</v>
      </c>
      <c r="D16" s="18" t="s">
        <v>124</v>
      </c>
      <c r="E16" s="12">
        <v>4</v>
      </c>
      <c r="F16" s="13">
        <v>0</v>
      </c>
      <c r="G16" s="14">
        <f t="shared" si="0"/>
        <v>188</v>
      </c>
      <c r="H16" s="15">
        <f t="shared" si="1"/>
        <v>94</v>
      </c>
      <c r="I16" s="13">
        <f t="shared" si="2"/>
        <v>7</v>
      </c>
      <c r="J16" s="16" t="str">
        <f t="shared" si="3"/>
        <v>TUNTAS</v>
      </c>
      <c r="K16" s="13"/>
      <c r="M16" s="46">
        <f t="shared" si="4"/>
        <v>9.4</v>
      </c>
    </row>
    <row r="17" spans="1:13" x14ac:dyDescent="0.25">
      <c r="A17" s="8">
        <v>10</v>
      </c>
      <c r="B17" s="9" t="s">
        <v>2618</v>
      </c>
      <c r="C17" s="10" t="s">
        <v>2619</v>
      </c>
      <c r="D17" s="11" t="s">
        <v>25</v>
      </c>
      <c r="E17" s="12">
        <v>3</v>
      </c>
      <c r="F17" s="13">
        <v>2</v>
      </c>
      <c r="G17" s="14">
        <f t="shared" si="0"/>
        <v>185</v>
      </c>
      <c r="H17" s="15">
        <f t="shared" si="1"/>
        <v>92.5</v>
      </c>
      <c r="I17" s="13">
        <f t="shared" si="2"/>
        <v>8</v>
      </c>
      <c r="J17" s="16" t="str">
        <f t="shared" si="3"/>
        <v>TUNTAS</v>
      </c>
      <c r="K17" s="13"/>
      <c r="M17" s="46">
        <f t="shared" si="4"/>
        <v>9.25</v>
      </c>
    </row>
    <row r="18" spans="1:13" x14ac:dyDescent="0.25">
      <c r="A18" s="8">
        <v>11</v>
      </c>
      <c r="B18" s="9" t="s">
        <v>2620</v>
      </c>
      <c r="C18" s="10" t="s">
        <v>2621</v>
      </c>
      <c r="D18" s="11" t="s">
        <v>26</v>
      </c>
      <c r="E18" s="12">
        <v>11</v>
      </c>
      <c r="F18" s="13">
        <v>2</v>
      </c>
      <c r="G18" s="14">
        <f t="shared" si="0"/>
        <v>161</v>
      </c>
      <c r="H18" s="15">
        <f t="shared" si="1"/>
        <v>80.5</v>
      </c>
      <c r="I18" s="13">
        <f t="shared" si="2"/>
        <v>30</v>
      </c>
      <c r="J18" s="16" t="str">
        <f t="shared" si="3"/>
        <v>TUNTAS</v>
      </c>
      <c r="K18" s="13"/>
      <c r="M18" s="46">
        <f t="shared" si="4"/>
        <v>8.0500000000000007</v>
      </c>
    </row>
    <row r="19" spans="1:13" x14ac:dyDescent="0.25">
      <c r="A19" s="8">
        <v>12</v>
      </c>
      <c r="B19" s="9" t="s">
        <v>2622</v>
      </c>
      <c r="C19" s="10" t="s">
        <v>2623</v>
      </c>
      <c r="D19" s="11" t="s">
        <v>27</v>
      </c>
      <c r="E19" s="12">
        <v>15</v>
      </c>
      <c r="F19" s="13">
        <v>6</v>
      </c>
      <c r="G19" s="14">
        <f t="shared" si="0"/>
        <v>137</v>
      </c>
      <c r="H19" s="15">
        <f t="shared" si="1"/>
        <v>68.5</v>
      </c>
      <c r="I19" s="13">
        <f t="shared" si="2"/>
        <v>41</v>
      </c>
      <c r="J19" s="16" t="str">
        <f t="shared" si="3"/>
        <v>TUNTAS</v>
      </c>
      <c r="K19" s="13"/>
      <c r="M19" s="46">
        <f t="shared" si="4"/>
        <v>6.85</v>
      </c>
    </row>
    <row r="20" spans="1:13" x14ac:dyDescent="0.25">
      <c r="A20" s="8">
        <v>13</v>
      </c>
      <c r="B20" s="9" t="s">
        <v>2624</v>
      </c>
      <c r="C20" s="10" t="s">
        <v>2625</v>
      </c>
      <c r="D20" s="18" t="s">
        <v>75</v>
      </c>
      <c r="E20" s="12">
        <v>7</v>
      </c>
      <c r="F20" s="13">
        <v>2</v>
      </c>
      <c r="G20" s="14">
        <f t="shared" si="0"/>
        <v>173</v>
      </c>
      <c r="H20" s="15">
        <f t="shared" si="1"/>
        <v>86.5</v>
      </c>
      <c r="I20" s="13">
        <f t="shared" si="2"/>
        <v>19</v>
      </c>
      <c r="J20" s="16" t="str">
        <f t="shared" si="3"/>
        <v>TUNTAS</v>
      </c>
      <c r="K20" s="13"/>
      <c r="M20" s="46">
        <f t="shared" si="4"/>
        <v>8.65</v>
      </c>
    </row>
    <row r="21" spans="1:13" x14ac:dyDescent="0.25">
      <c r="A21" s="8">
        <v>14</v>
      </c>
      <c r="B21" s="9" t="s">
        <v>2626</v>
      </c>
      <c r="C21" s="10" t="s">
        <v>2627</v>
      </c>
      <c r="D21" s="11" t="s">
        <v>28</v>
      </c>
      <c r="E21" s="12">
        <v>5</v>
      </c>
      <c r="F21" s="13">
        <v>1</v>
      </c>
      <c r="G21" s="14">
        <f t="shared" si="0"/>
        <v>182</v>
      </c>
      <c r="H21" s="15">
        <f t="shared" si="1"/>
        <v>91</v>
      </c>
      <c r="I21" s="13">
        <f t="shared" si="2"/>
        <v>13</v>
      </c>
      <c r="J21" s="16" t="str">
        <f t="shared" si="3"/>
        <v>TUNTAS</v>
      </c>
      <c r="K21" s="13"/>
      <c r="M21" s="46">
        <f t="shared" si="4"/>
        <v>9.1</v>
      </c>
    </row>
    <row r="22" spans="1:13" x14ac:dyDescent="0.25">
      <c r="A22" s="8">
        <v>15</v>
      </c>
      <c r="B22" s="9" t="s">
        <v>2628</v>
      </c>
      <c r="C22" s="21" t="s">
        <v>2629</v>
      </c>
      <c r="D22" s="19" t="s">
        <v>29</v>
      </c>
      <c r="E22" s="12">
        <v>15</v>
      </c>
      <c r="F22" s="13">
        <v>3</v>
      </c>
      <c r="G22" s="14">
        <f t="shared" si="0"/>
        <v>146</v>
      </c>
      <c r="H22" s="15">
        <f t="shared" si="1"/>
        <v>73</v>
      </c>
      <c r="I22" s="13">
        <f t="shared" si="2"/>
        <v>38</v>
      </c>
      <c r="J22" s="16" t="str">
        <f t="shared" si="3"/>
        <v>TUNTAS</v>
      </c>
      <c r="K22" s="13"/>
      <c r="M22" s="46">
        <f t="shared" si="4"/>
        <v>7.3</v>
      </c>
    </row>
    <row r="23" spans="1:13" x14ac:dyDescent="0.25">
      <c r="A23" s="8">
        <v>16</v>
      </c>
      <c r="B23" s="9" t="s">
        <v>2630</v>
      </c>
      <c r="C23" s="21" t="s">
        <v>2631</v>
      </c>
      <c r="D23" s="19" t="s">
        <v>77</v>
      </c>
      <c r="E23" s="12">
        <v>5</v>
      </c>
      <c r="F23" s="13">
        <v>0</v>
      </c>
      <c r="G23" s="14">
        <f t="shared" si="0"/>
        <v>185</v>
      </c>
      <c r="H23" s="15">
        <f t="shared" si="1"/>
        <v>92.5</v>
      </c>
      <c r="I23" s="13">
        <f t="shared" si="2"/>
        <v>8</v>
      </c>
      <c r="J23" s="16" t="str">
        <f t="shared" si="3"/>
        <v>TUNTAS</v>
      </c>
      <c r="K23" s="13"/>
      <c r="M23" s="46">
        <f t="shared" si="4"/>
        <v>9.25</v>
      </c>
    </row>
    <row r="24" spans="1:13" x14ac:dyDescent="0.25">
      <c r="A24" s="8">
        <v>17</v>
      </c>
      <c r="B24" s="9" t="s">
        <v>2632</v>
      </c>
      <c r="C24" s="10" t="s">
        <v>2633</v>
      </c>
      <c r="D24" s="11" t="s">
        <v>91</v>
      </c>
      <c r="E24" s="12">
        <v>1</v>
      </c>
      <c r="F24" s="13">
        <v>2</v>
      </c>
      <c r="G24" s="14">
        <f t="shared" si="0"/>
        <v>191</v>
      </c>
      <c r="H24" s="15">
        <f t="shared" si="1"/>
        <v>95.5</v>
      </c>
      <c r="I24" s="13">
        <f t="shared" si="2"/>
        <v>3</v>
      </c>
      <c r="J24" s="16" t="str">
        <f t="shared" si="3"/>
        <v>TUNTAS</v>
      </c>
      <c r="K24" s="13"/>
      <c r="M24" s="46">
        <f t="shared" si="4"/>
        <v>9.5500000000000007</v>
      </c>
    </row>
    <row r="25" spans="1:13" x14ac:dyDescent="0.25">
      <c r="A25" s="8">
        <v>18</v>
      </c>
      <c r="B25" s="9" t="s">
        <v>2634</v>
      </c>
      <c r="C25" s="20" t="s">
        <v>2635</v>
      </c>
      <c r="D25" s="18" t="s">
        <v>125</v>
      </c>
      <c r="E25" s="12">
        <v>1</v>
      </c>
      <c r="F25" s="13">
        <v>2</v>
      </c>
      <c r="G25" s="14">
        <f t="shared" si="0"/>
        <v>191</v>
      </c>
      <c r="H25" s="15">
        <f t="shared" si="1"/>
        <v>95.5</v>
      </c>
      <c r="I25" s="13">
        <f t="shared" si="2"/>
        <v>3</v>
      </c>
      <c r="J25" s="16" t="str">
        <f t="shared" si="3"/>
        <v>TUNTAS</v>
      </c>
      <c r="K25" s="13"/>
      <c r="M25" s="46">
        <f t="shared" si="4"/>
        <v>9.5500000000000007</v>
      </c>
    </row>
    <row r="26" spans="1:13" x14ac:dyDescent="0.25">
      <c r="A26" s="8">
        <v>19</v>
      </c>
      <c r="B26" s="9" t="s">
        <v>2636</v>
      </c>
      <c r="C26" s="10" t="s">
        <v>2637</v>
      </c>
      <c r="D26" s="11" t="s">
        <v>569</v>
      </c>
      <c r="E26" s="12">
        <v>3</v>
      </c>
      <c r="F26" s="13">
        <v>6</v>
      </c>
      <c r="G26" s="14">
        <f t="shared" si="0"/>
        <v>173</v>
      </c>
      <c r="H26" s="15">
        <f t="shared" si="1"/>
        <v>86.5</v>
      </c>
      <c r="I26" s="13">
        <f t="shared" si="2"/>
        <v>19</v>
      </c>
      <c r="J26" s="16" t="str">
        <f t="shared" si="3"/>
        <v>TUNTAS</v>
      </c>
      <c r="K26" s="13"/>
      <c r="M26" s="46">
        <f t="shared" si="4"/>
        <v>8.65</v>
      </c>
    </row>
    <row r="27" spans="1:13" x14ac:dyDescent="0.25">
      <c r="A27" s="8">
        <v>20</v>
      </c>
      <c r="B27" s="9" t="s">
        <v>2638</v>
      </c>
      <c r="C27" s="10" t="s">
        <v>2639</v>
      </c>
      <c r="D27" s="11" t="s">
        <v>34</v>
      </c>
      <c r="E27" s="12">
        <v>6</v>
      </c>
      <c r="F27" s="13">
        <v>0</v>
      </c>
      <c r="G27" s="14">
        <f t="shared" si="0"/>
        <v>182</v>
      </c>
      <c r="H27" s="15">
        <f t="shared" si="1"/>
        <v>91</v>
      </c>
      <c r="I27" s="13">
        <f t="shared" si="2"/>
        <v>13</v>
      </c>
      <c r="J27" s="16" t="str">
        <f t="shared" si="3"/>
        <v>TUNTAS</v>
      </c>
      <c r="K27" s="13"/>
      <c r="M27" s="46">
        <f t="shared" si="4"/>
        <v>9.1</v>
      </c>
    </row>
    <row r="28" spans="1:13" x14ac:dyDescent="0.25">
      <c r="A28" s="8">
        <v>21</v>
      </c>
      <c r="B28" s="9" t="s">
        <v>2640</v>
      </c>
      <c r="C28" s="10" t="s">
        <v>2641</v>
      </c>
      <c r="D28" s="11" t="s">
        <v>93</v>
      </c>
      <c r="E28" s="12">
        <v>6</v>
      </c>
      <c r="F28" s="13">
        <v>4</v>
      </c>
      <c r="G28" s="14">
        <f t="shared" si="0"/>
        <v>170</v>
      </c>
      <c r="H28" s="15">
        <f t="shared" si="1"/>
        <v>85</v>
      </c>
      <c r="I28" s="13">
        <f t="shared" si="2"/>
        <v>24</v>
      </c>
      <c r="J28" s="16" t="str">
        <f t="shared" si="3"/>
        <v>TUNTAS</v>
      </c>
      <c r="K28" s="13"/>
      <c r="M28" s="46">
        <f t="shared" si="4"/>
        <v>8.5</v>
      </c>
    </row>
    <row r="29" spans="1:13" x14ac:dyDescent="0.25">
      <c r="A29" s="8">
        <v>22</v>
      </c>
      <c r="B29" s="9" t="s">
        <v>2642</v>
      </c>
      <c r="C29" s="10" t="s">
        <v>2643</v>
      </c>
      <c r="D29" s="11" t="s">
        <v>36</v>
      </c>
      <c r="E29" s="12">
        <v>1</v>
      </c>
      <c r="F29" s="13">
        <v>2</v>
      </c>
      <c r="G29" s="14">
        <f t="shared" si="0"/>
        <v>191</v>
      </c>
      <c r="H29" s="15">
        <f t="shared" si="1"/>
        <v>95.5</v>
      </c>
      <c r="I29" s="13">
        <f t="shared" si="2"/>
        <v>3</v>
      </c>
      <c r="J29" s="16" t="str">
        <f t="shared" si="3"/>
        <v>TUNTAS</v>
      </c>
      <c r="K29" s="13"/>
      <c r="M29" s="46">
        <f t="shared" si="4"/>
        <v>9.5500000000000007</v>
      </c>
    </row>
    <row r="30" spans="1:13" x14ac:dyDescent="0.25">
      <c r="A30" s="8">
        <v>23</v>
      </c>
      <c r="B30" s="9" t="s">
        <v>2644</v>
      </c>
      <c r="C30" s="10" t="s">
        <v>2645</v>
      </c>
      <c r="D30" s="11" t="s">
        <v>37</v>
      </c>
      <c r="E30" s="12">
        <v>14</v>
      </c>
      <c r="F30" s="13">
        <v>5</v>
      </c>
      <c r="G30" s="14">
        <f t="shared" si="0"/>
        <v>143</v>
      </c>
      <c r="H30" s="15">
        <f t="shared" si="1"/>
        <v>71.5</v>
      </c>
      <c r="I30" s="13">
        <f t="shared" si="2"/>
        <v>39</v>
      </c>
      <c r="J30" s="16" t="str">
        <f t="shared" si="3"/>
        <v>TUNTAS</v>
      </c>
      <c r="K30" s="13"/>
      <c r="M30" s="46">
        <f t="shared" si="4"/>
        <v>7.15</v>
      </c>
    </row>
    <row r="31" spans="1:13" x14ac:dyDescent="0.25">
      <c r="A31" s="8">
        <v>24</v>
      </c>
      <c r="B31" s="9" t="s">
        <v>2646</v>
      </c>
      <c r="C31" s="10" t="s">
        <v>2647</v>
      </c>
      <c r="D31" s="11" t="s">
        <v>40</v>
      </c>
      <c r="E31" s="12">
        <v>6</v>
      </c>
      <c r="F31" s="13">
        <v>1</v>
      </c>
      <c r="G31" s="14">
        <f t="shared" si="0"/>
        <v>179</v>
      </c>
      <c r="H31" s="15">
        <f t="shared" si="1"/>
        <v>89.5</v>
      </c>
      <c r="I31" s="13">
        <f t="shared" si="2"/>
        <v>16</v>
      </c>
      <c r="J31" s="16" t="str">
        <f t="shared" si="3"/>
        <v>TUNTAS</v>
      </c>
      <c r="K31" s="13"/>
      <c r="M31" s="46">
        <f t="shared" si="4"/>
        <v>8.9499999999999993</v>
      </c>
    </row>
    <row r="32" spans="1:13" x14ac:dyDescent="0.25">
      <c r="A32" s="8">
        <v>25</v>
      </c>
      <c r="B32" s="9" t="s">
        <v>2648</v>
      </c>
      <c r="C32" s="10" t="s">
        <v>718</v>
      </c>
      <c r="D32" s="11" t="s">
        <v>127</v>
      </c>
      <c r="E32" s="12">
        <v>32</v>
      </c>
      <c r="F32" s="13">
        <v>32</v>
      </c>
      <c r="G32" s="14">
        <f t="shared" si="0"/>
        <v>8</v>
      </c>
      <c r="H32" s="15">
        <f t="shared" si="1"/>
        <v>4</v>
      </c>
      <c r="I32" s="13">
        <f t="shared" si="2"/>
        <v>48</v>
      </c>
      <c r="J32" s="16" t="str">
        <f t="shared" si="3"/>
        <v>TIDAK HADIR</v>
      </c>
      <c r="K32" s="13" t="s">
        <v>3264</v>
      </c>
      <c r="M32" s="46">
        <f t="shared" si="4"/>
        <v>0.4</v>
      </c>
    </row>
    <row r="33" spans="1:13" x14ac:dyDescent="0.25">
      <c r="A33" s="8">
        <v>26</v>
      </c>
      <c r="B33" s="9" t="s">
        <v>2649</v>
      </c>
      <c r="C33" s="21" t="s">
        <v>2650</v>
      </c>
      <c r="D33" s="19" t="s">
        <v>81</v>
      </c>
      <c r="E33" s="12">
        <v>4</v>
      </c>
      <c r="F33" s="13">
        <v>1</v>
      </c>
      <c r="G33" s="14">
        <f t="shared" si="0"/>
        <v>185</v>
      </c>
      <c r="H33" s="15">
        <f t="shared" si="1"/>
        <v>92.5</v>
      </c>
      <c r="I33" s="13">
        <f t="shared" si="2"/>
        <v>8</v>
      </c>
      <c r="J33" s="16" t="str">
        <f t="shared" si="3"/>
        <v>TUNTAS</v>
      </c>
      <c r="K33" s="13"/>
      <c r="M33" s="46">
        <f t="shared" si="4"/>
        <v>9.25</v>
      </c>
    </row>
    <row r="34" spans="1:13" x14ac:dyDescent="0.25">
      <c r="A34" s="8">
        <v>27</v>
      </c>
      <c r="B34" s="9" t="s">
        <v>2651</v>
      </c>
      <c r="C34" s="10" t="s">
        <v>2652</v>
      </c>
      <c r="D34" s="11" t="s">
        <v>106</v>
      </c>
      <c r="E34" s="12">
        <v>9</v>
      </c>
      <c r="F34" s="13">
        <v>2</v>
      </c>
      <c r="G34" s="14">
        <f t="shared" si="0"/>
        <v>167</v>
      </c>
      <c r="H34" s="15">
        <f t="shared" si="1"/>
        <v>83.5</v>
      </c>
      <c r="I34" s="13">
        <f t="shared" si="2"/>
        <v>26</v>
      </c>
      <c r="J34" s="16" t="str">
        <f t="shared" si="3"/>
        <v>TUNTAS</v>
      </c>
      <c r="K34" s="13"/>
      <c r="M34" s="46">
        <f t="shared" si="4"/>
        <v>8.35</v>
      </c>
    </row>
    <row r="35" spans="1:13" x14ac:dyDescent="0.25">
      <c r="A35" s="8">
        <v>28</v>
      </c>
      <c r="B35" s="9" t="s">
        <v>2653</v>
      </c>
      <c r="C35" s="10" t="s">
        <v>2654</v>
      </c>
      <c r="D35" s="11" t="s">
        <v>43</v>
      </c>
      <c r="E35" s="12">
        <v>10</v>
      </c>
      <c r="F35" s="13">
        <v>5</v>
      </c>
      <c r="G35" s="14">
        <f t="shared" si="0"/>
        <v>155</v>
      </c>
      <c r="H35" s="15">
        <f t="shared" si="1"/>
        <v>77.5</v>
      </c>
      <c r="I35" s="13">
        <f t="shared" si="2"/>
        <v>35</v>
      </c>
      <c r="J35" s="16" t="str">
        <f t="shared" si="3"/>
        <v>TUNTAS</v>
      </c>
      <c r="K35" s="13"/>
      <c r="M35" s="46">
        <f t="shared" si="4"/>
        <v>7.75</v>
      </c>
    </row>
    <row r="36" spans="1:13" x14ac:dyDescent="0.25">
      <c r="A36" s="8">
        <v>29</v>
      </c>
      <c r="B36" s="9" t="s">
        <v>2655</v>
      </c>
      <c r="C36" s="10" t="s">
        <v>2656</v>
      </c>
      <c r="D36" s="11" t="s">
        <v>45</v>
      </c>
      <c r="E36" s="12">
        <v>32</v>
      </c>
      <c r="F36" s="13">
        <v>32</v>
      </c>
      <c r="G36" s="14">
        <f t="shared" si="0"/>
        <v>8</v>
      </c>
      <c r="H36" s="15">
        <f t="shared" si="1"/>
        <v>4</v>
      </c>
      <c r="I36" s="13">
        <f t="shared" si="2"/>
        <v>48</v>
      </c>
      <c r="J36" s="16" t="str">
        <f t="shared" si="3"/>
        <v>TIDAK HADIR</v>
      </c>
      <c r="K36" s="13" t="s">
        <v>3264</v>
      </c>
      <c r="M36" s="46">
        <f t="shared" si="4"/>
        <v>0.4</v>
      </c>
    </row>
    <row r="37" spans="1:13" x14ac:dyDescent="0.25">
      <c r="A37" s="8">
        <v>30</v>
      </c>
      <c r="B37" s="9" t="s">
        <v>2657</v>
      </c>
      <c r="C37" s="17" t="s">
        <v>2658</v>
      </c>
      <c r="D37" s="18" t="s">
        <v>48</v>
      </c>
      <c r="E37" s="12">
        <v>19</v>
      </c>
      <c r="F37" s="13">
        <v>13</v>
      </c>
      <c r="G37" s="14">
        <f t="shared" si="0"/>
        <v>104</v>
      </c>
      <c r="H37" s="15">
        <f t="shared" si="1"/>
        <v>52</v>
      </c>
      <c r="I37" s="13">
        <f t="shared" si="2"/>
        <v>44</v>
      </c>
      <c r="J37" s="16" t="str">
        <f t="shared" si="3"/>
        <v>TIDAK TUNTAS</v>
      </c>
      <c r="K37" s="13"/>
      <c r="M37" s="46">
        <f t="shared" si="4"/>
        <v>5.2</v>
      </c>
    </row>
    <row r="38" spans="1:13" x14ac:dyDescent="0.25">
      <c r="A38" s="8">
        <v>31</v>
      </c>
      <c r="B38" s="9" t="s">
        <v>2659</v>
      </c>
      <c r="C38" s="10" t="s">
        <v>2660</v>
      </c>
      <c r="D38" s="11" t="s">
        <v>48</v>
      </c>
      <c r="E38" s="12">
        <v>5</v>
      </c>
      <c r="F38" s="13">
        <v>0</v>
      </c>
      <c r="G38" s="14">
        <f t="shared" si="0"/>
        <v>185</v>
      </c>
      <c r="H38" s="15">
        <f t="shared" si="1"/>
        <v>92.5</v>
      </c>
      <c r="I38" s="13">
        <f t="shared" si="2"/>
        <v>8</v>
      </c>
      <c r="J38" s="16" t="str">
        <f t="shared" si="3"/>
        <v>TUNTAS</v>
      </c>
      <c r="K38" s="13"/>
      <c r="M38" s="46">
        <f t="shared" si="4"/>
        <v>9.25</v>
      </c>
    </row>
    <row r="39" spans="1:13" x14ac:dyDescent="0.25">
      <c r="A39" s="8">
        <v>32</v>
      </c>
      <c r="B39" s="9" t="s">
        <v>2661</v>
      </c>
      <c r="C39" s="10" t="s">
        <v>838</v>
      </c>
      <c r="D39" s="11" t="s">
        <v>51</v>
      </c>
      <c r="E39" s="12">
        <v>7</v>
      </c>
      <c r="F39" s="13">
        <v>2</v>
      </c>
      <c r="G39" s="14">
        <f t="shared" si="0"/>
        <v>173</v>
      </c>
      <c r="H39" s="15">
        <f t="shared" si="1"/>
        <v>86.5</v>
      </c>
      <c r="I39" s="13">
        <f t="shared" si="2"/>
        <v>19</v>
      </c>
      <c r="J39" s="16" t="str">
        <f t="shared" si="3"/>
        <v>TUNTAS</v>
      </c>
      <c r="K39" s="13"/>
      <c r="M39" s="46">
        <f t="shared" si="4"/>
        <v>8.65</v>
      </c>
    </row>
    <row r="40" spans="1:13" x14ac:dyDescent="0.25">
      <c r="A40" s="8">
        <v>33</v>
      </c>
      <c r="B40" s="9" t="s">
        <v>2662</v>
      </c>
      <c r="C40" s="10" t="s">
        <v>2663</v>
      </c>
      <c r="D40" s="11" t="s">
        <v>52</v>
      </c>
      <c r="E40" s="12">
        <v>7</v>
      </c>
      <c r="F40" s="13">
        <v>12</v>
      </c>
      <c r="G40" s="14">
        <f t="shared" si="0"/>
        <v>143</v>
      </c>
      <c r="H40" s="15">
        <f t="shared" si="1"/>
        <v>71.5</v>
      </c>
      <c r="I40" s="13">
        <f t="shared" si="2"/>
        <v>39</v>
      </c>
      <c r="J40" s="16" t="str">
        <f t="shared" si="3"/>
        <v>TUNTAS</v>
      </c>
      <c r="K40" s="13"/>
      <c r="M40" s="46">
        <f t="shared" si="4"/>
        <v>7.15</v>
      </c>
    </row>
    <row r="41" spans="1:13" x14ac:dyDescent="0.25">
      <c r="A41" s="8">
        <v>34</v>
      </c>
      <c r="B41" s="9" t="s">
        <v>2664</v>
      </c>
      <c r="C41" s="10" t="s">
        <v>2665</v>
      </c>
      <c r="D41" s="11" t="s">
        <v>53</v>
      </c>
      <c r="E41" s="12">
        <v>11</v>
      </c>
      <c r="F41" s="13">
        <v>2</v>
      </c>
      <c r="G41" s="14">
        <f t="shared" si="0"/>
        <v>161</v>
      </c>
      <c r="H41" s="15">
        <f t="shared" si="1"/>
        <v>80.5</v>
      </c>
      <c r="I41" s="13">
        <f t="shared" si="2"/>
        <v>30</v>
      </c>
      <c r="J41" s="16" t="str">
        <f t="shared" si="3"/>
        <v>TUNTAS</v>
      </c>
      <c r="K41" s="13"/>
      <c r="M41" s="46">
        <f t="shared" si="4"/>
        <v>8.0500000000000007</v>
      </c>
    </row>
    <row r="42" spans="1:13" x14ac:dyDescent="0.25">
      <c r="A42" s="8">
        <v>35</v>
      </c>
      <c r="B42" s="9" t="s">
        <v>2666</v>
      </c>
      <c r="C42" s="10" t="s">
        <v>2667</v>
      </c>
      <c r="D42" s="11" t="s">
        <v>55</v>
      </c>
      <c r="E42" s="12">
        <v>20</v>
      </c>
      <c r="F42" s="13">
        <v>2</v>
      </c>
      <c r="G42" s="14">
        <f t="shared" si="0"/>
        <v>134</v>
      </c>
      <c r="H42" s="15">
        <f t="shared" si="1"/>
        <v>67</v>
      </c>
      <c r="I42" s="13">
        <f t="shared" si="2"/>
        <v>42</v>
      </c>
      <c r="J42" s="16" t="str">
        <f t="shared" si="3"/>
        <v>TUNTAS</v>
      </c>
      <c r="K42" s="13"/>
      <c r="M42" s="46">
        <f t="shared" si="4"/>
        <v>6.7</v>
      </c>
    </row>
    <row r="43" spans="1:13" x14ac:dyDescent="0.25">
      <c r="A43" s="8">
        <v>36</v>
      </c>
      <c r="B43" s="9" t="s">
        <v>2668</v>
      </c>
      <c r="C43" s="10" t="s">
        <v>2669</v>
      </c>
      <c r="D43" s="11" t="s">
        <v>55</v>
      </c>
      <c r="E43" s="12">
        <v>6</v>
      </c>
      <c r="F43" s="13">
        <v>4</v>
      </c>
      <c r="G43" s="14">
        <f t="shared" si="0"/>
        <v>170</v>
      </c>
      <c r="H43" s="15">
        <f t="shared" si="1"/>
        <v>85</v>
      </c>
      <c r="I43" s="13">
        <f t="shared" si="2"/>
        <v>24</v>
      </c>
      <c r="J43" s="16" t="str">
        <f t="shared" si="3"/>
        <v>TUNTAS</v>
      </c>
      <c r="K43" s="13"/>
      <c r="M43" s="46">
        <f t="shared" si="4"/>
        <v>8.5</v>
      </c>
    </row>
    <row r="44" spans="1:13" x14ac:dyDescent="0.25">
      <c r="A44" s="8">
        <v>37</v>
      </c>
      <c r="B44" s="9" t="s">
        <v>2670</v>
      </c>
      <c r="C44" s="10" t="s">
        <v>2671</v>
      </c>
      <c r="D44" s="11" t="s">
        <v>110</v>
      </c>
      <c r="E44" s="12">
        <v>5</v>
      </c>
      <c r="F44" s="13">
        <v>4</v>
      </c>
      <c r="G44" s="14">
        <f t="shared" si="0"/>
        <v>173</v>
      </c>
      <c r="H44" s="15">
        <f t="shared" si="1"/>
        <v>86.5</v>
      </c>
      <c r="I44" s="13">
        <f t="shared" si="2"/>
        <v>19</v>
      </c>
      <c r="J44" s="16" t="str">
        <f t="shared" si="3"/>
        <v>TUNTAS</v>
      </c>
      <c r="K44" s="13"/>
      <c r="M44" s="46">
        <f t="shared" si="4"/>
        <v>8.65</v>
      </c>
    </row>
    <row r="45" spans="1:13" x14ac:dyDescent="0.25">
      <c r="A45" s="8">
        <v>38</v>
      </c>
      <c r="B45" s="9" t="s">
        <v>2672</v>
      </c>
      <c r="C45" s="10" t="s">
        <v>2673</v>
      </c>
      <c r="D45" s="11" t="s">
        <v>129</v>
      </c>
      <c r="E45" s="12">
        <v>10</v>
      </c>
      <c r="F45" s="13">
        <v>4</v>
      </c>
      <c r="G45" s="14">
        <f t="shared" si="0"/>
        <v>158</v>
      </c>
      <c r="H45" s="15">
        <f t="shared" si="1"/>
        <v>79</v>
      </c>
      <c r="I45" s="13">
        <f t="shared" si="2"/>
        <v>32</v>
      </c>
      <c r="J45" s="16" t="str">
        <f t="shared" si="3"/>
        <v>TUNTAS</v>
      </c>
      <c r="K45" s="13"/>
      <c r="M45" s="46">
        <f t="shared" si="4"/>
        <v>7.9</v>
      </c>
    </row>
    <row r="46" spans="1:13" x14ac:dyDescent="0.25">
      <c r="A46" s="8">
        <v>39</v>
      </c>
      <c r="B46" s="9" t="s">
        <v>2674</v>
      </c>
      <c r="C46" s="10" t="s">
        <v>2675</v>
      </c>
      <c r="D46" s="11" t="s">
        <v>139</v>
      </c>
      <c r="E46" s="12">
        <v>3</v>
      </c>
      <c r="F46" s="13">
        <v>0</v>
      </c>
      <c r="G46" s="14">
        <f t="shared" si="0"/>
        <v>191</v>
      </c>
      <c r="H46" s="15">
        <f t="shared" si="1"/>
        <v>95.5</v>
      </c>
      <c r="I46" s="13">
        <f t="shared" si="2"/>
        <v>3</v>
      </c>
      <c r="J46" s="16" t="str">
        <f t="shared" si="3"/>
        <v>TUNTAS</v>
      </c>
      <c r="K46" s="13"/>
      <c r="M46" s="46">
        <f t="shared" si="4"/>
        <v>9.5500000000000007</v>
      </c>
    </row>
    <row r="47" spans="1:13" x14ac:dyDescent="0.25">
      <c r="A47" s="8">
        <v>40</v>
      </c>
      <c r="B47" s="9" t="s">
        <v>2676</v>
      </c>
      <c r="C47" s="10" t="s">
        <v>2677</v>
      </c>
      <c r="D47" s="11" t="s">
        <v>58</v>
      </c>
      <c r="E47" s="12">
        <v>27</v>
      </c>
      <c r="F47" s="13">
        <v>29</v>
      </c>
      <c r="G47" s="14">
        <f t="shared" ref="G47:G59" si="5">100-E47*3+100-F47*3</f>
        <v>32</v>
      </c>
      <c r="H47" s="15">
        <f t="shared" ref="H47:H59" si="6">G47/2</f>
        <v>16</v>
      </c>
      <c r="I47" s="13">
        <f t="shared" si="2"/>
        <v>47</v>
      </c>
      <c r="J47" s="16" t="str">
        <f t="shared" si="3"/>
        <v>TIDAK TUNTAS</v>
      </c>
      <c r="K47" s="13"/>
      <c r="M47" s="46">
        <f t="shared" si="4"/>
        <v>1.6</v>
      </c>
    </row>
    <row r="48" spans="1:13" x14ac:dyDescent="0.25">
      <c r="A48" s="8">
        <v>41</v>
      </c>
      <c r="B48" s="9" t="s">
        <v>2678</v>
      </c>
      <c r="C48" s="10" t="s">
        <v>2679</v>
      </c>
      <c r="D48" s="11" t="s">
        <v>60</v>
      </c>
      <c r="E48" s="12">
        <v>10</v>
      </c>
      <c r="F48" s="13">
        <v>1</v>
      </c>
      <c r="G48" s="14">
        <f t="shared" si="5"/>
        <v>167</v>
      </c>
      <c r="H48" s="15">
        <f t="shared" si="6"/>
        <v>83.5</v>
      </c>
      <c r="I48" s="13">
        <f t="shared" si="2"/>
        <v>26</v>
      </c>
      <c r="J48" s="16" t="str">
        <f t="shared" si="3"/>
        <v>TUNTAS</v>
      </c>
      <c r="K48" s="13"/>
      <c r="M48" s="46">
        <f t="shared" si="4"/>
        <v>8.35</v>
      </c>
    </row>
    <row r="49" spans="1:13" x14ac:dyDescent="0.25">
      <c r="A49" s="8">
        <v>42</v>
      </c>
      <c r="B49" s="9" t="s">
        <v>2680</v>
      </c>
      <c r="C49" s="10" t="s">
        <v>2681</v>
      </c>
      <c r="D49" s="11" t="s">
        <v>119</v>
      </c>
      <c r="E49" s="12">
        <v>11</v>
      </c>
      <c r="F49" s="13">
        <v>1</v>
      </c>
      <c r="G49" s="14">
        <f t="shared" si="5"/>
        <v>164</v>
      </c>
      <c r="H49" s="15">
        <f t="shared" si="6"/>
        <v>82</v>
      </c>
      <c r="I49" s="13">
        <f t="shared" si="2"/>
        <v>29</v>
      </c>
      <c r="J49" s="16" t="str">
        <f t="shared" si="3"/>
        <v>TUNTAS</v>
      </c>
      <c r="K49" s="13"/>
      <c r="M49" s="46">
        <f t="shared" si="4"/>
        <v>8.1999999999999993</v>
      </c>
    </row>
    <row r="50" spans="1:13" x14ac:dyDescent="0.25">
      <c r="A50" s="8">
        <v>43</v>
      </c>
      <c r="B50" s="9" t="s">
        <v>2682</v>
      </c>
      <c r="C50" s="10" t="s">
        <v>2683</v>
      </c>
      <c r="D50" s="11" t="s">
        <v>62</v>
      </c>
      <c r="E50" s="12">
        <v>4</v>
      </c>
      <c r="F50" s="13">
        <v>2</v>
      </c>
      <c r="G50" s="14">
        <f t="shared" si="5"/>
        <v>182</v>
      </c>
      <c r="H50" s="15">
        <f t="shared" si="6"/>
        <v>91</v>
      </c>
      <c r="I50" s="13">
        <f t="shared" si="2"/>
        <v>13</v>
      </c>
      <c r="J50" s="16" t="str">
        <f t="shared" si="3"/>
        <v>TUNTAS</v>
      </c>
      <c r="K50" s="13"/>
      <c r="M50" s="46">
        <f t="shared" si="4"/>
        <v>9.1</v>
      </c>
    </row>
    <row r="51" spans="1:13" x14ac:dyDescent="0.25">
      <c r="A51" s="8">
        <v>44</v>
      </c>
      <c r="B51" s="9" t="s">
        <v>2684</v>
      </c>
      <c r="C51" s="10" t="s">
        <v>2685</v>
      </c>
      <c r="D51" s="11" t="s">
        <v>63</v>
      </c>
      <c r="E51" s="12">
        <v>13</v>
      </c>
      <c r="F51" s="13">
        <v>1</v>
      </c>
      <c r="G51" s="14">
        <f t="shared" si="5"/>
        <v>158</v>
      </c>
      <c r="H51" s="15">
        <f t="shared" si="6"/>
        <v>79</v>
      </c>
      <c r="I51" s="13">
        <f t="shared" si="2"/>
        <v>32</v>
      </c>
      <c r="J51" s="16" t="str">
        <f t="shared" si="3"/>
        <v>TUNTAS</v>
      </c>
      <c r="K51" s="13"/>
      <c r="M51" s="46">
        <f t="shared" si="4"/>
        <v>7.9</v>
      </c>
    </row>
    <row r="52" spans="1:13" x14ac:dyDescent="0.25">
      <c r="A52" s="8">
        <v>45</v>
      </c>
      <c r="B52" s="9" t="s">
        <v>2686</v>
      </c>
      <c r="C52" s="10" t="s">
        <v>2687</v>
      </c>
      <c r="D52" s="11" t="s">
        <v>65</v>
      </c>
      <c r="E52" s="12">
        <v>0</v>
      </c>
      <c r="F52" s="13">
        <v>0</v>
      </c>
      <c r="G52" s="14">
        <f t="shared" si="5"/>
        <v>200</v>
      </c>
      <c r="H52" s="15">
        <f t="shared" si="6"/>
        <v>100</v>
      </c>
      <c r="I52" s="13">
        <f t="shared" si="2"/>
        <v>1</v>
      </c>
      <c r="J52" s="16" t="str">
        <f t="shared" si="3"/>
        <v>TUNTAS</v>
      </c>
      <c r="K52" s="13"/>
      <c r="M52" s="46">
        <f t="shared" si="4"/>
        <v>10</v>
      </c>
    </row>
    <row r="53" spans="1:13" x14ac:dyDescent="0.25">
      <c r="A53" s="8">
        <v>46</v>
      </c>
      <c r="B53" s="9" t="s">
        <v>2688</v>
      </c>
      <c r="C53" s="10" t="s">
        <v>2689</v>
      </c>
      <c r="D53" s="11" t="s">
        <v>66</v>
      </c>
      <c r="E53" s="12">
        <v>17</v>
      </c>
      <c r="F53" s="13">
        <v>16</v>
      </c>
      <c r="G53" s="14">
        <f t="shared" si="5"/>
        <v>101</v>
      </c>
      <c r="H53" s="15">
        <f t="shared" si="6"/>
        <v>50.5</v>
      </c>
      <c r="I53" s="13">
        <f t="shared" si="2"/>
        <v>45</v>
      </c>
      <c r="J53" s="16" t="str">
        <f t="shared" si="3"/>
        <v>TIDAK TUNTAS</v>
      </c>
      <c r="K53" s="13"/>
      <c r="M53" s="46">
        <f t="shared" si="4"/>
        <v>5.05</v>
      </c>
    </row>
    <row r="54" spans="1:13" x14ac:dyDescent="0.25">
      <c r="A54" s="8">
        <v>47</v>
      </c>
      <c r="B54" s="9" t="s">
        <v>2690</v>
      </c>
      <c r="C54" s="10" t="s">
        <v>2691</v>
      </c>
      <c r="D54" s="11" t="s">
        <v>67</v>
      </c>
      <c r="E54" s="12">
        <v>10</v>
      </c>
      <c r="F54" s="13">
        <v>7</v>
      </c>
      <c r="G54" s="14">
        <f t="shared" si="5"/>
        <v>149</v>
      </c>
      <c r="H54" s="15">
        <f t="shared" si="6"/>
        <v>74.5</v>
      </c>
      <c r="I54" s="13">
        <f t="shared" si="2"/>
        <v>36</v>
      </c>
      <c r="J54" s="16" t="str">
        <f t="shared" si="3"/>
        <v>TUNTAS</v>
      </c>
      <c r="K54" s="13"/>
      <c r="M54" s="46">
        <f t="shared" si="4"/>
        <v>7.45</v>
      </c>
    </row>
    <row r="55" spans="1:13" x14ac:dyDescent="0.25">
      <c r="A55" s="8">
        <v>48</v>
      </c>
      <c r="B55" s="9" t="s">
        <v>2692</v>
      </c>
      <c r="C55" s="10" t="s">
        <v>2693</v>
      </c>
      <c r="D55" s="11" t="s">
        <v>130</v>
      </c>
      <c r="E55" s="12">
        <v>10</v>
      </c>
      <c r="F55" s="13">
        <v>4</v>
      </c>
      <c r="G55" s="14">
        <f t="shared" si="5"/>
        <v>158</v>
      </c>
      <c r="H55" s="15">
        <f t="shared" si="6"/>
        <v>79</v>
      </c>
      <c r="I55" s="13">
        <f t="shared" si="2"/>
        <v>32</v>
      </c>
      <c r="J55" s="16" t="str">
        <f t="shared" si="3"/>
        <v>TUNTAS</v>
      </c>
      <c r="K55" s="13"/>
      <c r="M55" s="46">
        <f t="shared" si="4"/>
        <v>7.9</v>
      </c>
    </row>
    <row r="56" spans="1:13" x14ac:dyDescent="0.25">
      <c r="A56" s="8">
        <v>49</v>
      </c>
      <c r="B56" s="9" t="s">
        <v>2694</v>
      </c>
      <c r="C56" s="10" t="s">
        <v>2695</v>
      </c>
      <c r="D56" s="11" t="s">
        <v>121</v>
      </c>
      <c r="E56" s="12">
        <v>32</v>
      </c>
      <c r="F56" s="13">
        <v>32</v>
      </c>
      <c r="G56" s="14">
        <f t="shared" si="5"/>
        <v>8</v>
      </c>
      <c r="H56" s="15">
        <f t="shared" si="6"/>
        <v>4</v>
      </c>
      <c r="I56" s="13">
        <f t="shared" si="2"/>
        <v>48</v>
      </c>
      <c r="J56" s="16" t="str">
        <f t="shared" si="3"/>
        <v>TIDAK HADIR</v>
      </c>
      <c r="K56" s="13" t="s">
        <v>3264</v>
      </c>
      <c r="M56" s="46">
        <f t="shared" si="4"/>
        <v>0.4</v>
      </c>
    </row>
    <row r="57" spans="1:13" x14ac:dyDescent="0.25">
      <c r="A57" s="8">
        <v>50</v>
      </c>
      <c r="B57" s="9" t="s">
        <v>2696</v>
      </c>
      <c r="C57" s="10" t="s">
        <v>2697</v>
      </c>
      <c r="D57" s="11" t="s">
        <v>77</v>
      </c>
      <c r="E57" s="12">
        <v>32</v>
      </c>
      <c r="F57" s="13">
        <v>32</v>
      </c>
      <c r="G57" s="14">
        <f t="shared" si="5"/>
        <v>8</v>
      </c>
      <c r="H57" s="15">
        <f t="shared" si="6"/>
        <v>4</v>
      </c>
      <c r="I57" s="13">
        <f t="shared" si="2"/>
        <v>48</v>
      </c>
      <c r="J57" s="16" t="str">
        <f t="shared" si="3"/>
        <v>TIDAK HADIR</v>
      </c>
      <c r="K57" s="13" t="s">
        <v>3264</v>
      </c>
      <c r="M57" s="46">
        <f t="shared" si="4"/>
        <v>0.4</v>
      </c>
    </row>
    <row r="58" spans="1:13" x14ac:dyDescent="0.25">
      <c r="A58" s="8">
        <v>51</v>
      </c>
      <c r="B58" s="9" t="s">
        <v>2698</v>
      </c>
      <c r="C58" s="10" t="s">
        <v>2699</v>
      </c>
      <c r="D58" s="11" t="s">
        <v>131</v>
      </c>
      <c r="E58" s="12">
        <v>6</v>
      </c>
      <c r="F58" s="13">
        <v>2</v>
      </c>
      <c r="G58" s="14">
        <f t="shared" si="5"/>
        <v>176</v>
      </c>
      <c r="H58" s="15">
        <f t="shared" si="6"/>
        <v>88</v>
      </c>
      <c r="I58" s="13">
        <f t="shared" si="2"/>
        <v>18</v>
      </c>
      <c r="J58" s="16" t="str">
        <f t="shared" si="3"/>
        <v>TUNTAS</v>
      </c>
      <c r="K58" s="13"/>
      <c r="M58" s="46">
        <f t="shared" si="4"/>
        <v>8.8000000000000007</v>
      </c>
    </row>
    <row r="59" spans="1:13" x14ac:dyDescent="0.25">
      <c r="A59" s="8">
        <v>52</v>
      </c>
      <c r="B59" s="9" t="s">
        <v>2700</v>
      </c>
      <c r="C59" s="10" t="s">
        <v>2701</v>
      </c>
      <c r="D59" s="11" t="s">
        <v>73</v>
      </c>
      <c r="E59" s="12">
        <v>7</v>
      </c>
      <c r="F59" s="13">
        <v>4</v>
      </c>
      <c r="G59" s="14">
        <f t="shared" si="5"/>
        <v>167</v>
      </c>
      <c r="H59" s="15">
        <f t="shared" si="6"/>
        <v>83.5</v>
      </c>
      <c r="I59" s="13">
        <f t="shared" si="2"/>
        <v>26</v>
      </c>
      <c r="J59" s="16" t="str">
        <f t="shared" si="3"/>
        <v>TUNTAS</v>
      </c>
      <c r="K59" s="13"/>
      <c r="M59" s="46">
        <f t="shared" si="4"/>
        <v>8.35</v>
      </c>
    </row>
  </sheetData>
  <mergeCells count="11">
    <mergeCell ref="A4:I4"/>
    <mergeCell ref="J5:J6"/>
    <mergeCell ref="K5:K7"/>
    <mergeCell ref="A5:A7"/>
    <mergeCell ref="B5:B7"/>
    <mergeCell ref="C5:C7"/>
    <mergeCell ref="D5:D7"/>
    <mergeCell ref="E5:F5"/>
    <mergeCell ref="G5:G7"/>
    <mergeCell ref="H5:H7"/>
    <mergeCell ref="I5:I7"/>
  </mergeCells>
  <conditionalFormatting sqref="D8:D10">
    <cfRule type="cellIs" dxfId="196" priority="9" operator="equal">
      <formula>0</formula>
    </cfRule>
  </conditionalFormatting>
  <conditionalFormatting sqref="H8:H59">
    <cfRule type="cellIs" dxfId="195" priority="10" operator="lessThan">
      <formula>60</formula>
    </cfRule>
    <cfRule type="cellIs" dxfId="194" priority="11" operator="lessThan">
      <formula>60</formula>
    </cfRule>
    <cfRule type="cellIs" dxfId="193" priority="14" operator="lessThan">
      <formula>50</formula>
    </cfRule>
  </conditionalFormatting>
  <conditionalFormatting sqref="J8:J59">
    <cfRule type="cellIs" dxfId="192" priority="1" operator="equal">
      <formula>"TIDAK BACA"</formula>
    </cfRule>
    <cfRule type="cellIs" dxfId="191" priority="2" operator="equal">
      <formula>"TIDAK HADIR"</formula>
    </cfRule>
    <cfRule type="cellIs" dxfId="190" priority="3" operator="equal">
      <formula>"TUNTAS"</formula>
    </cfRule>
    <cfRule type="cellIs" dxfId="189" priority="4" operator="equal">
      <formula>"TIDAK TUNTAS"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FDB3BD06-730B-477C-8F8B-AC7A55E66BBD}"/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6" tint="0.39997558519241921"/>
  </sheetPr>
  <dimension ref="A1:P57"/>
  <sheetViews>
    <sheetView zoomScaleNormal="100" workbookViewId="0">
      <pane xSplit="1" ySplit="7" topLeftCell="B44" activePane="bottomRight" state="frozen"/>
      <selection activeCell="G30" sqref="G30"/>
      <selection pane="topRight" activeCell="G30" sqref="G30"/>
      <selection pane="bottomLeft" activeCell="G30" sqref="G30"/>
      <selection pane="bottomRight" activeCell="N8" sqref="N8:N54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3275</v>
      </c>
      <c r="B4" s="51"/>
      <c r="C4" s="51"/>
      <c r="D4" s="51"/>
      <c r="E4" s="51"/>
      <c r="F4" s="51"/>
      <c r="G4" s="51"/>
      <c r="H4" s="51"/>
      <c r="I4" s="51"/>
      <c r="K4" s="33" t="s">
        <v>3276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2702</v>
      </c>
      <c r="C8" s="10" t="s">
        <v>2703</v>
      </c>
      <c r="D8" s="11" t="s">
        <v>14</v>
      </c>
      <c r="E8" s="27">
        <v>4</v>
      </c>
      <c r="F8" s="27">
        <v>0</v>
      </c>
      <c r="G8" s="27">
        <v>1</v>
      </c>
      <c r="H8" s="28">
        <f>100-E8*3+100-F8*3+100-G8*15</f>
        <v>273</v>
      </c>
      <c r="I8" s="29">
        <f t="shared" ref="I8:I54" si="0">H8/3</f>
        <v>91</v>
      </c>
      <c r="J8" s="27">
        <f t="shared" ref="J8:J54" si="1">RANK(H8,$H$8:$H$93)</f>
        <v>8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9.1</v>
      </c>
    </row>
    <row r="9" spans="1:14" ht="15.95" customHeight="1" x14ac:dyDescent="0.25">
      <c r="A9" s="13">
        <v>2</v>
      </c>
      <c r="B9" s="9" t="s">
        <v>2704</v>
      </c>
      <c r="C9" s="10" t="s">
        <v>2705</v>
      </c>
      <c r="D9" s="11" t="s">
        <v>14</v>
      </c>
      <c r="E9" s="27">
        <v>12</v>
      </c>
      <c r="F9" s="27">
        <v>4</v>
      </c>
      <c r="G9" s="27">
        <v>4</v>
      </c>
      <c r="H9" s="28">
        <f t="shared" ref="H9:H54" si="3">100-E9*3+100-F9*3+100-G9*15</f>
        <v>192</v>
      </c>
      <c r="I9" s="29">
        <f t="shared" si="0"/>
        <v>64</v>
      </c>
      <c r="J9" s="27">
        <f t="shared" si="1"/>
        <v>28</v>
      </c>
      <c r="K9" s="27" t="str">
        <f t="shared" ref="K9:K54" si="4">IF(I9&lt;11.1,"TIDAK HADIR",IF(I9&lt;13.1,"TIDAK BACA",IF(I9&lt;$K$7,"TIDAK TUNTAS","TUNTAS")))</f>
        <v>TUNTAS</v>
      </c>
      <c r="L9" s="13" t="str">
        <f t="shared" ref="L9:L18" si="5">IF(G9&gt;5,"TM", " ")</f>
        <v xml:space="preserve"> </v>
      </c>
      <c r="M9" s="1"/>
      <c r="N9" s="2">
        <f t="shared" si="2"/>
        <v>6.4</v>
      </c>
    </row>
    <row r="10" spans="1:14" ht="15.95" customHeight="1" x14ac:dyDescent="0.25">
      <c r="A10" s="13">
        <v>3</v>
      </c>
      <c r="B10" s="9" t="s">
        <v>2706</v>
      </c>
      <c r="C10" s="10" t="s">
        <v>2707</v>
      </c>
      <c r="D10" s="11" t="s">
        <v>100</v>
      </c>
      <c r="E10" s="27">
        <v>15</v>
      </c>
      <c r="F10" s="27">
        <v>12</v>
      </c>
      <c r="G10" s="27">
        <v>4</v>
      </c>
      <c r="H10" s="28">
        <f t="shared" si="3"/>
        <v>159</v>
      </c>
      <c r="I10" s="29">
        <f>H10/3</f>
        <v>53</v>
      </c>
      <c r="J10" s="27">
        <f t="shared" si="1"/>
        <v>35</v>
      </c>
      <c r="K10" s="27" t="str">
        <f t="shared" si="4"/>
        <v>TIDAK TUNTAS</v>
      </c>
      <c r="L10" s="13" t="str">
        <f t="shared" si="5"/>
        <v xml:space="preserve"> </v>
      </c>
      <c r="M10" s="1"/>
      <c r="N10" s="2">
        <f t="shared" si="2"/>
        <v>5.3</v>
      </c>
    </row>
    <row r="11" spans="1:14" ht="15.95" customHeight="1" x14ac:dyDescent="0.25">
      <c r="A11" s="13">
        <v>4</v>
      </c>
      <c r="B11" s="9" t="s">
        <v>2708</v>
      </c>
      <c r="C11" s="10" t="s">
        <v>2709</v>
      </c>
      <c r="D11" s="11" t="s">
        <v>17</v>
      </c>
      <c r="E11" s="27">
        <v>6</v>
      </c>
      <c r="F11" s="27">
        <v>2</v>
      </c>
      <c r="G11" s="27">
        <v>2</v>
      </c>
      <c r="H11" s="28">
        <f t="shared" si="3"/>
        <v>246</v>
      </c>
      <c r="I11" s="29">
        <f t="shared" si="0"/>
        <v>82</v>
      </c>
      <c r="J11" s="27">
        <f t="shared" si="1"/>
        <v>16</v>
      </c>
      <c r="K11" s="27" t="str">
        <f t="shared" si="4"/>
        <v>TUNTAS</v>
      </c>
      <c r="L11" s="13" t="str">
        <f t="shared" si="5"/>
        <v xml:space="preserve"> </v>
      </c>
      <c r="M11" s="1"/>
      <c r="N11" s="2">
        <f t="shared" si="2"/>
        <v>8.1999999999999993</v>
      </c>
    </row>
    <row r="12" spans="1:14" ht="15.95" customHeight="1" x14ac:dyDescent="0.25">
      <c r="A12" s="13">
        <v>5</v>
      </c>
      <c r="B12" s="9" t="s">
        <v>2710</v>
      </c>
      <c r="C12" s="10" t="s">
        <v>2711</v>
      </c>
      <c r="D12" s="11" t="s">
        <v>122</v>
      </c>
      <c r="E12" s="27">
        <v>6</v>
      </c>
      <c r="F12" s="27">
        <v>2</v>
      </c>
      <c r="G12" s="27">
        <v>0</v>
      </c>
      <c r="H12" s="28">
        <f t="shared" si="3"/>
        <v>276</v>
      </c>
      <c r="I12" s="29">
        <f t="shared" si="0"/>
        <v>92</v>
      </c>
      <c r="J12" s="27">
        <f t="shared" si="1"/>
        <v>7</v>
      </c>
      <c r="K12" s="27" t="str">
        <f t="shared" si="4"/>
        <v>TUNTAS</v>
      </c>
      <c r="L12" s="13" t="str">
        <f t="shared" si="5"/>
        <v xml:space="preserve"> </v>
      </c>
      <c r="M12" s="1"/>
      <c r="N12" s="2">
        <f t="shared" si="2"/>
        <v>9.1999999999999993</v>
      </c>
    </row>
    <row r="13" spans="1:14" ht="15.95" customHeight="1" x14ac:dyDescent="0.25">
      <c r="A13" s="13">
        <v>6</v>
      </c>
      <c r="B13" s="9" t="s">
        <v>2712</v>
      </c>
      <c r="C13" s="10" t="s">
        <v>2713</v>
      </c>
      <c r="D13" s="11" t="s">
        <v>124</v>
      </c>
      <c r="E13" s="27">
        <v>28</v>
      </c>
      <c r="F13" s="27">
        <v>25</v>
      </c>
      <c r="G13" s="27">
        <v>5</v>
      </c>
      <c r="H13" s="28">
        <f t="shared" si="3"/>
        <v>66</v>
      </c>
      <c r="I13" s="29">
        <f t="shared" si="0"/>
        <v>22</v>
      </c>
      <c r="J13" s="27">
        <f t="shared" si="1"/>
        <v>44</v>
      </c>
      <c r="K13" s="27" t="str">
        <f t="shared" si="4"/>
        <v>TIDAK TUNTAS</v>
      </c>
      <c r="L13" s="13" t="str">
        <f t="shared" si="5"/>
        <v xml:space="preserve"> </v>
      </c>
      <c r="M13" s="1"/>
      <c r="N13" s="2">
        <f t="shared" si="2"/>
        <v>2.2000000000000002</v>
      </c>
    </row>
    <row r="14" spans="1:14" ht="15.95" customHeight="1" x14ac:dyDescent="0.25">
      <c r="A14" s="13">
        <v>7</v>
      </c>
      <c r="B14" s="9" t="s">
        <v>2714</v>
      </c>
      <c r="C14" s="10" t="s">
        <v>2715</v>
      </c>
      <c r="D14" s="11" t="s">
        <v>124</v>
      </c>
      <c r="E14" s="27">
        <v>10</v>
      </c>
      <c r="F14" s="27">
        <v>0</v>
      </c>
      <c r="G14" s="27">
        <v>1</v>
      </c>
      <c r="H14" s="28">
        <f t="shared" si="3"/>
        <v>255</v>
      </c>
      <c r="I14" s="29">
        <f t="shared" si="0"/>
        <v>85</v>
      </c>
      <c r="J14" s="27">
        <f t="shared" si="1"/>
        <v>11</v>
      </c>
      <c r="K14" s="27" t="str">
        <f t="shared" si="4"/>
        <v>TUNTAS</v>
      </c>
      <c r="L14" s="13" t="str">
        <f t="shared" si="5"/>
        <v xml:space="preserve"> </v>
      </c>
      <c r="M14" s="1"/>
      <c r="N14" s="2">
        <f t="shared" si="2"/>
        <v>8.5</v>
      </c>
    </row>
    <row r="15" spans="1:14" ht="15.95" customHeight="1" x14ac:dyDescent="0.25">
      <c r="A15" s="13">
        <v>8</v>
      </c>
      <c r="B15" s="9" t="s">
        <v>2716</v>
      </c>
      <c r="C15" s="17" t="s">
        <v>2717</v>
      </c>
      <c r="D15" s="18" t="s">
        <v>26</v>
      </c>
      <c r="E15" s="27">
        <v>8</v>
      </c>
      <c r="F15" s="27">
        <v>13</v>
      </c>
      <c r="G15" s="27">
        <v>6</v>
      </c>
      <c r="H15" s="28">
        <f t="shared" si="3"/>
        <v>147</v>
      </c>
      <c r="I15" s="29">
        <f t="shared" si="0"/>
        <v>49</v>
      </c>
      <c r="J15" s="27">
        <f t="shared" si="1"/>
        <v>37</v>
      </c>
      <c r="K15" s="27" t="str">
        <f t="shared" si="4"/>
        <v>TIDAK TUNTAS</v>
      </c>
      <c r="L15" s="13" t="str">
        <f t="shared" si="5"/>
        <v>TM</v>
      </c>
      <c r="M15" s="1"/>
      <c r="N15" s="2">
        <f t="shared" si="2"/>
        <v>4.9000000000000004</v>
      </c>
    </row>
    <row r="16" spans="1:14" ht="15.95" customHeight="1" x14ac:dyDescent="0.25">
      <c r="A16" s="13">
        <v>9</v>
      </c>
      <c r="B16" s="9" t="s">
        <v>2718</v>
      </c>
      <c r="C16" s="10" t="s">
        <v>2719</v>
      </c>
      <c r="D16" s="11" t="s">
        <v>75</v>
      </c>
      <c r="E16" s="27">
        <v>32</v>
      </c>
      <c r="F16" s="27">
        <v>32</v>
      </c>
      <c r="G16" s="27">
        <v>5</v>
      </c>
      <c r="H16" s="28">
        <f t="shared" si="3"/>
        <v>33</v>
      </c>
      <c r="I16" s="29">
        <f t="shared" si="0"/>
        <v>11</v>
      </c>
      <c r="J16" s="27">
        <f t="shared" si="1"/>
        <v>45</v>
      </c>
      <c r="K16" s="27" t="str">
        <f t="shared" si="4"/>
        <v>TIDAK HADIR</v>
      </c>
      <c r="L16" s="13" t="str">
        <f t="shared" si="5"/>
        <v xml:space="preserve"> </v>
      </c>
      <c r="M16" s="1"/>
      <c r="N16" s="2">
        <f t="shared" si="2"/>
        <v>1.1000000000000001</v>
      </c>
    </row>
    <row r="17" spans="1:14" ht="15.95" customHeight="1" x14ac:dyDescent="0.25">
      <c r="A17" s="13">
        <v>10</v>
      </c>
      <c r="B17" s="9" t="s">
        <v>2720</v>
      </c>
      <c r="C17" s="10" t="s">
        <v>2721</v>
      </c>
      <c r="D17" s="11" t="s">
        <v>29</v>
      </c>
      <c r="E17" s="27">
        <v>12</v>
      </c>
      <c r="F17" s="27">
        <v>9</v>
      </c>
      <c r="G17" s="27">
        <v>2</v>
      </c>
      <c r="H17" s="28">
        <f t="shared" si="3"/>
        <v>207</v>
      </c>
      <c r="I17" s="29">
        <f t="shared" si="0"/>
        <v>69</v>
      </c>
      <c r="J17" s="27">
        <f t="shared" si="1"/>
        <v>25</v>
      </c>
      <c r="K17" s="27" t="str">
        <f t="shared" si="4"/>
        <v>TUNTAS</v>
      </c>
      <c r="L17" s="13" t="str">
        <f t="shared" si="5"/>
        <v xml:space="preserve"> </v>
      </c>
      <c r="M17" s="1"/>
      <c r="N17" s="2">
        <f t="shared" si="2"/>
        <v>6.9</v>
      </c>
    </row>
    <row r="18" spans="1:14" ht="15.95" customHeight="1" x14ac:dyDescent="0.25">
      <c r="A18" s="13">
        <v>11</v>
      </c>
      <c r="B18" s="9" t="s">
        <v>2722</v>
      </c>
      <c r="C18" s="17" t="s">
        <v>2723</v>
      </c>
      <c r="D18" s="18" t="s">
        <v>30</v>
      </c>
      <c r="E18" s="27">
        <v>3</v>
      </c>
      <c r="F18" s="27">
        <v>3</v>
      </c>
      <c r="G18" s="27">
        <v>0</v>
      </c>
      <c r="H18" s="28">
        <f t="shared" si="3"/>
        <v>282</v>
      </c>
      <c r="I18" s="29">
        <f t="shared" si="0"/>
        <v>94</v>
      </c>
      <c r="J18" s="27">
        <f t="shared" si="1"/>
        <v>4</v>
      </c>
      <c r="K18" s="27" t="str">
        <f t="shared" si="4"/>
        <v>TUNTAS</v>
      </c>
      <c r="L18" s="13" t="str">
        <f t="shared" si="5"/>
        <v xml:space="preserve"> </v>
      </c>
      <c r="M18" s="1"/>
      <c r="N18" s="2">
        <f t="shared" si="2"/>
        <v>9.4</v>
      </c>
    </row>
    <row r="19" spans="1:14" ht="15.95" customHeight="1" x14ac:dyDescent="0.25">
      <c r="A19" s="13">
        <v>12</v>
      </c>
      <c r="B19" s="9" t="s">
        <v>2724</v>
      </c>
      <c r="C19" s="17" t="s">
        <v>2725</v>
      </c>
      <c r="D19" s="18" t="s">
        <v>102</v>
      </c>
      <c r="E19" s="27">
        <v>23</v>
      </c>
      <c r="F19" s="27">
        <v>12</v>
      </c>
      <c r="G19" s="27">
        <v>6</v>
      </c>
      <c r="H19" s="28">
        <f t="shared" si="3"/>
        <v>105</v>
      </c>
      <c r="I19" s="29">
        <f t="shared" si="0"/>
        <v>35</v>
      </c>
      <c r="J19" s="27">
        <f t="shared" si="1"/>
        <v>43</v>
      </c>
      <c r="K19" s="27" t="str">
        <f t="shared" si="4"/>
        <v>TIDAK TUNTAS</v>
      </c>
      <c r="L19" s="13" t="str">
        <f>IF(G19&gt;5,"TM", " ")</f>
        <v>TM</v>
      </c>
      <c r="M19" s="1"/>
      <c r="N19" s="2">
        <f t="shared" si="2"/>
        <v>3.5</v>
      </c>
    </row>
    <row r="20" spans="1:14" ht="15.95" customHeight="1" x14ac:dyDescent="0.25">
      <c r="A20" s="13">
        <v>13</v>
      </c>
      <c r="B20" s="9" t="s">
        <v>2726</v>
      </c>
      <c r="C20" s="10" t="s">
        <v>2727</v>
      </c>
      <c r="D20" s="11" t="s">
        <v>34</v>
      </c>
      <c r="E20" s="27">
        <v>19</v>
      </c>
      <c r="F20" s="27">
        <v>8</v>
      </c>
      <c r="G20" s="27">
        <v>5</v>
      </c>
      <c r="H20" s="28">
        <f t="shared" si="3"/>
        <v>144</v>
      </c>
      <c r="I20" s="29">
        <f t="shared" si="0"/>
        <v>48</v>
      </c>
      <c r="J20" s="27">
        <f t="shared" si="1"/>
        <v>38</v>
      </c>
      <c r="K20" s="27" t="str">
        <f t="shared" si="4"/>
        <v>TIDAK TUNTAS</v>
      </c>
      <c r="L20" s="13" t="str">
        <f t="shared" ref="L20:L54" si="6">IF(G20&gt;5,"TM", " ")</f>
        <v xml:space="preserve"> </v>
      </c>
      <c r="M20" s="1"/>
      <c r="N20" s="2">
        <f t="shared" si="2"/>
        <v>4.8</v>
      </c>
    </row>
    <row r="21" spans="1:14" ht="15.95" customHeight="1" x14ac:dyDescent="0.25">
      <c r="A21" s="13">
        <v>14</v>
      </c>
      <c r="B21" s="9" t="s">
        <v>2728</v>
      </c>
      <c r="C21" s="10" t="s">
        <v>2729</v>
      </c>
      <c r="D21" s="11" t="s">
        <v>93</v>
      </c>
      <c r="E21" s="27">
        <v>13</v>
      </c>
      <c r="F21" s="27">
        <v>7</v>
      </c>
      <c r="G21" s="27">
        <v>4</v>
      </c>
      <c r="H21" s="28">
        <f t="shared" si="3"/>
        <v>180</v>
      </c>
      <c r="I21" s="29">
        <f t="shared" si="0"/>
        <v>60</v>
      </c>
      <c r="J21" s="27">
        <f t="shared" si="1"/>
        <v>30</v>
      </c>
      <c r="K21" s="27" t="str">
        <f t="shared" si="4"/>
        <v>TUNTAS</v>
      </c>
      <c r="L21" s="13" t="str">
        <f t="shared" si="6"/>
        <v xml:space="preserve"> </v>
      </c>
      <c r="M21" s="1"/>
      <c r="N21" s="2">
        <f t="shared" si="2"/>
        <v>6</v>
      </c>
    </row>
    <row r="22" spans="1:14" ht="15.95" customHeight="1" x14ac:dyDescent="0.25">
      <c r="A22" s="13">
        <v>15</v>
      </c>
      <c r="B22" s="9" t="s">
        <v>2730</v>
      </c>
      <c r="C22" s="10" t="s">
        <v>2731</v>
      </c>
      <c r="D22" s="11" t="s">
        <v>36</v>
      </c>
      <c r="E22" s="27">
        <v>8</v>
      </c>
      <c r="F22" s="27">
        <v>2</v>
      </c>
      <c r="G22" s="27">
        <v>2</v>
      </c>
      <c r="H22" s="28">
        <f t="shared" si="3"/>
        <v>240</v>
      </c>
      <c r="I22" s="29">
        <f t="shared" si="0"/>
        <v>80</v>
      </c>
      <c r="J22" s="27">
        <f t="shared" si="1"/>
        <v>17</v>
      </c>
      <c r="K22" s="27" t="str">
        <f t="shared" si="4"/>
        <v>TUNTAS</v>
      </c>
      <c r="L22" s="13" t="str">
        <f t="shared" si="6"/>
        <v xml:space="preserve"> </v>
      </c>
      <c r="M22" s="1"/>
      <c r="N22" s="2">
        <f t="shared" si="2"/>
        <v>8</v>
      </c>
    </row>
    <row r="23" spans="1:14" ht="15.95" customHeight="1" x14ac:dyDescent="0.25">
      <c r="A23" s="13">
        <v>16</v>
      </c>
      <c r="B23" s="9" t="s">
        <v>2732</v>
      </c>
      <c r="C23" s="10" t="s">
        <v>2733</v>
      </c>
      <c r="D23" s="11" t="s">
        <v>126</v>
      </c>
      <c r="E23" s="27">
        <v>5</v>
      </c>
      <c r="F23" s="27">
        <v>8</v>
      </c>
      <c r="G23" s="27">
        <v>3</v>
      </c>
      <c r="H23" s="28">
        <f t="shared" si="3"/>
        <v>216</v>
      </c>
      <c r="I23" s="29">
        <f t="shared" si="0"/>
        <v>72</v>
      </c>
      <c r="J23" s="27">
        <f t="shared" si="1"/>
        <v>24</v>
      </c>
      <c r="K23" s="27" t="str">
        <f t="shared" si="4"/>
        <v>TUNTAS</v>
      </c>
      <c r="L23" s="13" t="str">
        <f t="shared" si="6"/>
        <v xml:space="preserve"> </v>
      </c>
      <c r="M23" s="1"/>
      <c r="N23" s="2">
        <f t="shared" si="2"/>
        <v>7.2</v>
      </c>
    </row>
    <row r="24" spans="1:14" ht="15.95" customHeight="1" x14ac:dyDescent="0.25">
      <c r="A24" s="13">
        <v>17</v>
      </c>
      <c r="B24" s="9" t="s">
        <v>2734</v>
      </c>
      <c r="C24" s="10" t="s">
        <v>2735</v>
      </c>
      <c r="D24" s="11" t="s">
        <v>37</v>
      </c>
      <c r="E24" s="27">
        <v>2</v>
      </c>
      <c r="F24" s="27">
        <v>4</v>
      </c>
      <c r="G24" s="27">
        <v>2</v>
      </c>
      <c r="H24" s="28">
        <f t="shared" si="3"/>
        <v>252</v>
      </c>
      <c r="I24" s="29">
        <f t="shared" si="0"/>
        <v>84</v>
      </c>
      <c r="J24" s="27">
        <f t="shared" si="1"/>
        <v>13</v>
      </c>
      <c r="K24" s="27" t="str">
        <f t="shared" si="4"/>
        <v>TUNTAS</v>
      </c>
      <c r="L24" s="13" t="str">
        <f t="shared" si="6"/>
        <v xml:space="preserve"> </v>
      </c>
      <c r="M24" s="1"/>
      <c r="N24" s="2">
        <f>I24/10</f>
        <v>8.4</v>
      </c>
    </row>
    <row r="25" spans="1:14" ht="15.95" customHeight="1" x14ac:dyDescent="0.25">
      <c r="A25" s="30">
        <v>18</v>
      </c>
      <c r="B25" s="9" t="s">
        <v>2736</v>
      </c>
      <c r="C25" s="10" t="s">
        <v>2737</v>
      </c>
      <c r="D25" s="11" t="s">
        <v>80</v>
      </c>
      <c r="E25" s="27">
        <v>5</v>
      </c>
      <c r="F25" s="27">
        <v>7</v>
      </c>
      <c r="G25" s="27">
        <v>2</v>
      </c>
      <c r="H25" s="28">
        <f t="shared" si="3"/>
        <v>234</v>
      </c>
      <c r="I25" s="29">
        <f t="shared" si="0"/>
        <v>78</v>
      </c>
      <c r="J25" s="27">
        <f t="shared" si="1"/>
        <v>19</v>
      </c>
      <c r="K25" s="27" t="str">
        <f t="shared" si="4"/>
        <v>TUNTAS</v>
      </c>
      <c r="L25" s="13" t="str">
        <f t="shared" si="6"/>
        <v xml:space="preserve"> </v>
      </c>
      <c r="M25" s="1"/>
      <c r="N25" s="2">
        <f t="shared" ref="N25:N54" si="7">I25/10</f>
        <v>7.8</v>
      </c>
    </row>
    <row r="26" spans="1:14" ht="15.95" customHeight="1" x14ac:dyDescent="0.25">
      <c r="A26" s="13">
        <v>19</v>
      </c>
      <c r="B26" s="9" t="s">
        <v>2738</v>
      </c>
      <c r="C26" s="10" t="s">
        <v>2739</v>
      </c>
      <c r="D26" s="11" t="s">
        <v>127</v>
      </c>
      <c r="E26" s="27">
        <v>3</v>
      </c>
      <c r="F26" s="27">
        <v>4</v>
      </c>
      <c r="G26" s="27">
        <v>2</v>
      </c>
      <c r="H26" s="28">
        <f t="shared" si="3"/>
        <v>249</v>
      </c>
      <c r="I26" s="29">
        <f t="shared" si="0"/>
        <v>83</v>
      </c>
      <c r="J26" s="27">
        <f t="shared" si="1"/>
        <v>14</v>
      </c>
      <c r="K26" s="27" t="str">
        <f t="shared" si="4"/>
        <v>TUNTAS</v>
      </c>
      <c r="L26" s="13" t="str">
        <f t="shared" si="6"/>
        <v xml:space="preserve"> </v>
      </c>
      <c r="M26" s="1"/>
      <c r="N26" s="2">
        <f t="shared" si="7"/>
        <v>8.3000000000000007</v>
      </c>
    </row>
    <row r="27" spans="1:14" ht="15.95" customHeight="1" x14ac:dyDescent="0.25">
      <c r="A27" s="13">
        <v>20</v>
      </c>
      <c r="B27" s="9" t="s">
        <v>2740</v>
      </c>
      <c r="C27" s="10" t="s">
        <v>2741</v>
      </c>
      <c r="D27" s="11" t="s">
        <v>106</v>
      </c>
      <c r="E27" s="27">
        <v>4</v>
      </c>
      <c r="F27" s="27">
        <v>4</v>
      </c>
      <c r="G27" s="27">
        <v>1</v>
      </c>
      <c r="H27" s="28">
        <f t="shared" si="3"/>
        <v>261</v>
      </c>
      <c r="I27" s="29">
        <f t="shared" si="0"/>
        <v>87</v>
      </c>
      <c r="J27" s="27">
        <f t="shared" si="1"/>
        <v>10</v>
      </c>
      <c r="K27" s="27" t="str">
        <f t="shared" si="4"/>
        <v>TUNTAS</v>
      </c>
      <c r="L27" s="13" t="str">
        <f t="shared" si="6"/>
        <v xml:space="preserve"> </v>
      </c>
      <c r="M27" s="1"/>
      <c r="N27" s="2">
        <f t="shared" si="7"/>
        <v>8.6999999999999993</v>
      </c>
    </row>
    <row r="28" spans="1:14" ht="15.95" customHeight="1" x14ac:dyDescent="0.25">
      <c r="A28" s="13">
        <v>21</v>
      </c>
      <c r="B28" s="9" t="s">
        <v>2742</v>
      </c>
      <c r="C28" s="10" t="s">
        <v>2743</v>
      </c>
      <c r="D28" s="11" t="s">
        <v>43</v>
      </c>
      <c r="E28" s="27">
        <v>14</v>
      </c>
      <c r="F28" s="27">
        <v>15</v>
      </c>
      <c r="G28" s="27">
        <v>5</v>
      </c>
      <c r="H28" s="28">
        <f t="shared" si="3"/>
        <v>138</v>
      </c>
      <c r="I28" s="29">
        <f t="shared" si="0"/>
        <v>46</v>
      </c>
      <c r="J28" s="27">
        <f t="shared" si="1"/>
        <v>40</v>
      </c>
      <c r="K28" s="27" t="str">
        <f t="shared" si="4"/>
        <v>TIDAK TUNTAS</v>
      </c>
      <c r="L28" s="13" t="str">
        <f t="shared" si="6"/>
        <v xml:space="preserve"> </v>
      </c>
      <c r="M28" s="1"/>
      <c r="N28" s="2">
        <f t="shared" si="7"/>
        <v>4.5999999999999996</v>
      </c>
    </row>
    <row r="29" spans="1:14" ht="15.95" customHeight="1" x14ac:dyDescent="0.25">
      <c r="A29" s="13">
        <v>22</v>
      </c>
      <c r="B29" s="9" t="s">
        <v>2744</v>
      </c>
      <c r="C29" s="10" t="s">
        <v>2745</v>
      </c>
      <c r="D29" s="11" t="s">
        <v>43</v>
      </c>
      <c r="E29" s="27">
        <v>18</v>
      </c>
      <c r="F29" s="27">
        <v>10</v>
      </c>
      <c r="G29" s="27">
        <v>4</v>
      </c>
      <c r="H29" s="28">
        <f t="shared" si="3"/>
        <v>156</v>
      </c>
      <c r="I29" s="29">
        <f t="shared" si="0"/>
        <v>52</v>
      </c>
      <c r="J29" s="27">
        <f t="shared" si="1"/>
        <v>36</v>
      </c>
      <c r="K29" s="27" t="str">
        <f t="shared" si="4"/>
        <v>TIDAK TUNTAS</v>
      </c>
      <c r="L29" s="13" t="str">
        <f t="shared" si="6"/>
        <v xml:space="preserve"> </v>
      </c>
      <c r="M29" s="1"/>
      <c r="N29" s="2">
        <f t="shared" si="7"/>
        <v>5.2</v>
      </c>
    </row>
    <row r="30" spans="1:14" ht="15.95" customHeight="1" x14ac:dyDescent="0.25">
      <c r="A30" s="13">
        <v>23</v>
      </c>
      <c r="B30" s="9" t="s">
        <v>2746</v>
      </c>
      <c r="C30" s="10" t="s">
        <v>2747</v>
      </c>
      <c r="D30" s="11" t="s">
        <v>83</v>
      </c>
      <c r="E30" s="27">
        <v>15</v>
      </c>
      <c r="F30" s="27">
        <v>1</v>
      </c>
      <c r="G30" s="27">
        <v>4</v>
      </c>
      <c r="H30" s="28">
        <f t="shared" si="3"/>
        <v>192</v>
      </c>
      <c r="I30" s="29">
        <f t="shared" si="0"/>
        <v>64</v>
      </c>
      <c r="J30" s="27">
        <f t="shared" si="1"/>
        <v>28</v>
      </c>
      <c r="K30" s="27" t="str">
        <f t="shared" si="4"/>
        <v>TUNTAS</v>
      </c>
      <c r="L30" s="13" t="str">
        <f t="shared" si="6"/>
        <v xml:space="preserve"> </v>
      </c>
      <c r="M30" s="1"/>
      <c r="N30" s="2">
        <f t="shared" si="7"/>
        <v>6.4</v>
      </c>
    </row>
    <row r="31" spans="1:14" ht="15.95" customHeight="1" x14ac:dyDescent="0.25">
      <c r="A31" s="13">
        <v>24</v>
      </c>
      <c r="B31" s="9" t="s">
        <v>2748</v>
      </c>
      <c r="C31" s="10" t="s">
        <v>2749</v>
      </c>
      <c r="D31" s="11" t="s">
        <v>84</v>
      </c>
      <c r="E31" s="27">
        <v>0</v>
      </c>
      <c r="F31" s="27">
        <v>2</v>
      </c>
      <c r="G31" s="27">
        <v>3</v>
      </c>
      <c r="H31" s="28">
        <f t="shared" si="3"/>
        <v>249</v>
      </c>
      <c r="I31" s="29">
        <f t="shared" si="0"/>
        <v>83</v>
      </c>
      <c r="J31" s="27">
        <f t="shared" si="1"/>
        <v>14</v>
      </c>
      <c r="K31" s="27" t="str">
        <f t="shared" si="4"/>
        <v>TUNTAS</v>
      </c>
      <c r="L31" s="13" t="str">
        <f t="shared" si="6"/>
        <v xml:space="preserve"> </v>
      </c>
      <c r="M31" s="1"/>
      <c r="N31" s="2">
        <f t="shared" si="7"/>
        <v>8.3000000000000007</v>
      </c>
    </row>
    <row r="32" spans="1:14" ht="15.95" customHeight="1" x14ac:dyDescent="0.25">
      <c r="A32" s="13">
        <v>25</v>
      </c>
      <c r="B32" s="9" t="s">
        <v>2750</v>
      </c>
      <c r="C32" s="10" t="s">
        <v>2751</v>
      </c>
      <c r="D32" s="11" t="s">
        <v>45</v>
      </c>
      <c r="E32" s="27">
        <v>0</v>
      </c>
      <c r="F32" s="27">
        <v>1</v>
      </c>
      <c r="G32" s="27">
        <v>2</v>
      </c>
      <c r="H32" s="28">
        <f t="shared" si="3"/>
        <v>267</v>
      </c>
      <c r="I32" s="29">
        <f t="shared" si="0"/>
        <v>89</v>
      </c>
      <c r="J32" s="27">
        <f t="shared" si="1"/>
        <v>9</v>
      </c>
      <c r="K32" s="27" t="str">
        <f t="shared" si="4"/>
        <v>TUNTAS</v>
      </c>
      <c r="L32" s="13" t="str">
        <f t="shared" si="6"/>
        <v xml:space="preserve"> </v>
      </c>
      <c r="M32" s="1"/>
      <c r="N32" s="2">
        <f t="shared" si="7"/>
        <v>8.9</v>
      </c>
    </row>
    <row r="33" spans="1:14" ht="15.95" customHeight="1" x14ac:dyDescent="0.25">
      <c r="A33" s="13">
        <v>26</v>
      </c>
      <c r="B33" s="9" t="s">
        <v>2752</v>
      </c>
      <c r="C33" s="10" t="s">
        <v>2753</v>
      </c>
      <c r="D33" s="11" t="s">
        <v>116</v>
      </c>
      <c r="E33" s="27">
        <v>15</v>
      </c>
      <c r="F33" s="27">
        <v>11</v>
      </c>
      <c r="G33" s="27">
        <v>3</v>
      </c>
      <c r="H33" s="28">
        <f t="shared" si="3"/>
        <v>177</v>
      </c>
      <c r="I33" s="29">
        <f t="shared" si="0"/>
        <v>59</v>
      </c>
      <c r="J33" s="27">
        <f t="shared" si="1"/>
        <v>32</v>
      </c>
      <c r="K33" s="27" t="str">
        <f t="shared" si="4"/>
        <v>TIDAK TUNTAS</v>
      </c>
      <c r="L33" s="13" t="str">
        <f t="shared" si="6"/>
        <v xml:space="preserve"> </v>
      </c>
      <c r="M33" s="1"/>
      <c r="N33" s="2">
        <f t="shared" si="7"/>
        <v>5.9</v>
      </c>
    </row>
    <row r="34" spans="1:14" ht="15.95" customHeight="1" x14ac:dyDescent="0.25">
      <c r="A34" s="13">
        <v>27</v>
      </c>
      <c r="B34" s="9" t="s">
        <v>2754</v>
      </c>
      <c r="C34" s="10" t="s">
        <v>2755</v>
      </c>
      <c r="D34" s="11" t="s">
        <v>47</v>
      </c>
      <c r="E34" s="27">
        <v>6</v>
      </c>
      <c r="F34" s="27">
        <v>7</v>
      </c>
      <c r="G34" s="27">
        <v>2</v>
      </c>
      <c r="H34" s="28">
        <f t="shared" si="3"/>
        <v>231</v>
      </c>
      <c r="I34" s="29">
        <f t="shared" si="0"/>
        <v>77</v>
      </c>
      <c r="J34" s="27">
        <f t="shared" si="1"/>
        <v>21</v>
      </c>
      <c r="K34" s="27" t="str">
        <f t="shared" si="4"/>
        <v>TUNTAS</v>
      </c>
      <c r="L34" s="13" t="str">
        <f t="shared" si="6"/>
        <v xml:space="preserve"> </v>
      </c>
      <c r="M34" s="1"/>
      <c r="N34" s="2">
        <f t="shared" si="7"/>
        <v>7.7</v>
      </c>
    </row>
    <row r="35" spans="1:14" ht="15.95" customHeight="1" x14ac:dyDescent="0.25">
      <c r="A35" s="13">
        <v>28</v>
      </c>
      <c r="B35" s="9" t="s">
        <v>2756</v>
      </c>
      <c r="C35" s="10" t="s">
        <v>2757</v>
      </c>
      <c r="D35" s="11" t="s">
        <v>85</v>
      </c>
      <c r="E35" s="27">
        <v>8</v>
      </c>
      <c r="F35" s="27">
        <v>4</v>
      </c>
      <c r="G35" s="27">
        <v>2</v>
      </c>
      <c r="H35" s="28">
        <f t="shared" si="3"/>
        <v>234</v>
      </c>
      <c r="I35" s="29">
        <f t="shared" si="0"/>
        <v>78</v>
      </c>
      <c r="J35" s="27">
        <f t="shared" si="1"/>
        <v>19</v>
      </c>
      <c r="K35" s="27" t="str">
        <f t="shared" si="4"/>
        <v>TUNTAS</v>
      </c>
      <c r="L35" s="13" t="str">
        <f t="shared" si="6"/>
        <v xml:space="preserve"> </v>
      </c>
      <c r="M35" s="1"/>
      <c r="N35" s="2">
        <f t="shared" si="7"/>
        <v>7.8</v>
      </c>
    </row>
    <row r="36" spans="1:14" ht="15.95" customHeight="1" x14ac:dyDescent="0.25">
      <c r="A36" s="13">
        <v>29</v>
      </c>
      <c r="B36" s="9" t="s">
        <v>2758</v>
      </c>
      <c r="C36" s="10" t="s">
        <v>2759</v>
      </c>
      <c r="D36" s="11" t="s">
        <v>50</v>
      </c>
      <c r="E36" s="27">
        <v>7</v>
      </c>
      <c r="F36" s="27">
        <v>4</v>
      </c>
      <c r="G36" s="27">
        <v>3</v>
      </c>
      <c r="H36" s="28">
        <f t="shared" si="3"/>
        <v>222</v>
      </c>
      <c r="I36" s="29">
        <f t="shared" si="0"/>
        <v>74</v>
      </c>
      <c r="J36" s="27">
        <f t="shared" si="1"/>
        <v>23</v>
      </c>
      <c r="K36" s="27" t="str">
        <f t="shared" si="4"/>
        <v>TUNTAS</v>
      </c>
      <c r="L36" s="13" t="str">
        <f t="shared" si="6"/>
        <v xml:space="preserve"> </v>
      </c>
      <c r="M36" s="1"/>
      <c r="N36" s="2">
        <f t="shared" si="7"/>
        <v>7.4</v>
      </c>
    </row>
    <row r="37" spans="1:14" ht="15.95" customHeight="1" x14ac:dyDescent="0.25">
      <c r="A37" s="13">
        <v>30</v>
      </c>
      <c r="B37" s="9" t="s">
        <v>2760</v>
      </c>
      <c r="C37" s="10" t="s">
        <v>2761</v>
      </c>
      <c r="D37" s="11" t="s">
        <v>52</v>
      </c>
      <c r="E37" s="27">
        <v>5</v>
      </c>
      <c r="F37" s="27">
        <v>1</v>
      </c>
      <c r="G37" s="27">
        <v>0</v>
      </c>
      <c r="H37" s="28">
        <f t="shared" si="3"/>
        <v>282</v>
      </c>
      <c r="I37" s="29">
        <f t="shared" si="0"/>
        <v>94</v>
      </c>
      <c r="J37" s="27">
        <f t="shared" si="1"/>
        <v>4</v>
      </c>
      <c r="K37" s="27" t="str">
        <f t="shared" si="4"/>
        <v>TUNTAS</v>
      </c>
      <c r="L37" s="13" t="str">
        <f t="shared" si="6"/>
        <v xml:space="preserve"> </v>
      </c>
      <c r="M37" s="1"/>
      <c r="N37" s="2">
        <f t="shared" si="7"/>
        <v>9.4</v>
      </c>
    </row>
    <row r="38" spans="1:14" ht="15.95" customHeight="1" x14ac:dyDescent="0.25">
      <c r="A38" s="13">
        <v>31</v>
      </c>
      <c r="B38" s="9" t="s">
        <v>2762</v>
      </c>
      <c r="C38" s="10" t="s">
        <v>2763</v>
      </c>
      <c r="D38" s="11" t="s">
        <v>52</v>
      </c>
      <c r="E38" s="27">
        <v>21</v>
      </c>
      <c r="F38" s="27">
        <v>4</v>
      </c>
      <c r="G38" s="27">
        <v>3</v>
      </c>
      <c r="H38" s="28">
        <f t="shared" si="3"/>
        <v>180</v>
      </c>
      <c r="I38" s="29">
        <f t="shared" si="0"/>
        <v>60</v>
      </c>
      <c r="J38" s="27">
        <f t="shared" si="1"/>
        <v>30</v>
      </c>
      <c r="K38" s="27" t="str">
        <f t="shared" si="4"/>
        <v>TUNTAS</v>
      </c>
      <c r="L38" s="13" t="str">
        <f t="shared" si="6"/>
        <v xml:space="preserve"> </v>
      </c>
      <c r="M38" s="1"/>
      <c r="N38" s="2">
        <f t="shared" si="7"/>
        <v>6</v>
      </c>
    </row>
    <row r="39" spans="1:14" ht="15.95" customHeight="1" x14ac:dyDescent="0.25">
      <c r="A39" s="13">
        <v>32</v>
      </c>
      <c r="B39" s="9" t="s">
        <v>2764</v>
      </c>
      <c r="C39" s="10" t="s">
        <v>2765</v>
      </c>
      <c r="D39" s="11" t="s">
        <v>52</v>
      </c>
      <c r="E39" s="27">
        <v>1</v>
      </c>
      <c r="F39" s="27">
        <v>2</v>
      </c>
      <c r="G39" s="27">
        <v>0</v>
      </c>
      <c r="H39" s="28">
        <f t="shared" si="3"/>
        <v>291</v>
      </c>
      <c r="I39" s="29">
        <f t="shared" si="0"/>
        <v>97</v>
      </c>
      <c r="J39" s="27">
        <f t="shared" si="1"/>
        <v>2</v>
      </c>
      <c r="K39" s="27" t="str">
        <f t="shared" si="4"/>
        <v>TUNTAS</v>
      </c>
      <c r="L39" s="13" t="str">
        <f t="shared" si="6"/>
        <v xml:space="preserve"> </v>
      </c>
      <c r="M39" s="1"/>
      <c r="N39" s="2">
        <f t="shared" si="7"/>
        <v>9.6999999999999993</v>
      </c>
    </row>
    <row r="40" spans="1:14" ht="15.95" customHeight="1" x14ac:dyDescent="0.25">
      <c r="A40" s="13">
        <v>33</v>
      </c>
      <c r="B40" s="9" t="s">
        <v>2766</v>
      </c>
      <c r="C40" s="10" t="s">
        <v>117</v>
      </c>
      <c r="D40" s="11" t="s">
        <v>118</v>
      </c>
      <c r="E40" s="27">
        <v>3</v>
      </c>
      <c r="F40" s="27">
        <v>1</v>
      </c>
      <c r="G40" s="27">
        <v>0</v>
      </c>
      <c r="H40" s="28">
        <f t="shared" si="3"/>
        <v>288</v>
      </c>
      <c r="I40" s="29">
        <f t="shared" si="0"/>
        <v>96</v>
      </c>
      <c r="J40" s="27">
        <f t="shared" si="1"/>
        <v>3</v>
      </c>
      <c r="K40" s="27" t="str">
        <f t="shared" si="4"/>
        <v>TUNTAS</v>
      </c>
      <c r="L40" s="13" t="str">
        <f t="shared" si="6"/>
        <v xml:space="preserve"> </v>
      </c>
      <c r="M40" s="1"/>
      <c r="N40" s="2">
        <f t="shared" si="7"/>
        <v>9.6</v>
      </c>
    </row>
    <row r="41" spans="1:14" ht="15.95" customHeight="1" x14ac:dyDescent="0.25">
      <c r="A41" s="13">
        <v>34</v>
      </c>
      <c r="B41" s="9" t="s">
        <v>2767</v>
      </c>
      <c r="C41" s="10" t="s">
        <v>2768</v>
      </c>
      <c r="D41" s="11" t="s">
        <v>55</v>
      </c>
      <c r="E41" s="27">
        <v>32</v>
      </c>
      <c r="F41" s="27">
        <v>32</v>
      </c>
      <c r="G41" s="27">
        <v>5</v>
      </c>
      <c r="H41" s="28">
        <f t="shared" si="3"/>
        <v>33</v>
      </c>
      <c r="I41" s="29">
        <f t="shared" si="0"/>
        <v>11</v>
      </c>
      <c r="J41" s="27">
        <f t="shared" si="1"/>
        <v>45</v>
      </c>
      <c r="K41" s="27" t="str">
        <f t="shared" si="4"/>
        <v>TIDAK HADIR</v>
      </c>
      <c r="L41" s="13" t="str">
        <f t="shared" si="6"/>
        <v xml:space="preserve"> </v>
      </c>
      <c r="M41" s="1"/>
      <c r="N41" s="2">
        <f t="shared" si="7"/>
        <v>1.1000000000000001</v>
      </c>
    </row>
    <row r="42" spans="1:14" ht="15.95" customHeight="1" x14ac:dyDescent="0.25">
      <c r="A42" s="13">
        <v>35</v>
      </c>
      <c r="B42" s="9" t="s">
        <v>2769</v>
      </c>
      <c r="C42" s="10" t="s">
        <v>2770</v>
      </c>
      <c r="D42" s="11" t="s">
        <v>56</v>
      </c>
      <c r="E42" s="27">
        <v>7</v>
      </c>
      <c r="F42" s="27">
        <v>0</v>
      </c>
      <c r="G42" s="27">
        <v>0</v>
      </c>
      <c r="H42" s="28">
        <f t="shared" si="3"/>
        <v>279</v>
      </c>
      <c r="I42" s="29">
        <f t="shared" si="0"/>
        <v>93</v>
      </c>
      <c r="J42" s="27">
        <f t="shared" si="1"/>
        <v>6</v>
      </c>
      <c r="K42" s="27" t="str">
        <f t="shared" si="4"/>
        <v>TUNTAS</v>
      </c>
      <c r="L42" s="13" t="str">
        <f t="shared" si="6"/>
        <v xml:space="preserve"> </v>
      </c>
      <c r="M42" s="1"/>
      <c r="N42" s="2">
        <f t="shared" si="7"/>
        <v>9.3000000000000007</v>
      </c>
    </row>
    <row r="43" spans="1:14" ht="15.95" customHeight="1" x14ac:dyDescent="0.25">
      <c r="A43" s="13">
        <v>36</v>
      </c>
      <c r="B43" s="9" t="s">
        <v>2771</v>
      </c>
      <c r="C43" s="10" t="s">
        <v>2772</v>
      </c>
      <c r="D43" s="11" t="s">
        <v>95</v>
      </c>
      <c r="E43" s="27">
        <v>5</v>
      </c>
      <c r="F43" s="27">
        <v>5</v>
      </c>
      <c r="G43" s="27">
        <v>2</v>
      </c>
      <c r="H43" s="28">
        <f t="shared" si="3"/>
        <v>240</v>
      </c>
      <c r="I43" s="29">
        <f t="shared" si="0"/>
        <v>80</v>
      </c>
      <c r="J43" s="27">
        <f t="shared" si="1"/>
        <v>17</v>
      </c>
      <c r="K43" s="27" t="str">
        <f t="shared" si="4"/>
        <v>TUNTAS</v>
      </c>
      <c r="L43" s="13" t="str">
        <f t="shared" si="6"/>
        <v xml:space="preserve"> </v>
      </c>
      <c r="M43" s="1"/>
      <c r="N43" s="2">
        <f t="shared" si="7"/>
        <v>8</v>
      </c>
    </row>
    <row r="44" spans="1:14" ht="15.95" customHeight="1" x14ac:dyDescent="0.25">
      <c r="A44" s="13">
        <v>37</v>
      </c>
      <c r="B44" s="9" t="s">
        <v>2773</v>
      </c>
      <c r="C44" s="10" t="s">
        <v>59</v>
      </c>
      <c r="D44" s="11" t="s">
        <v>60</v>
      </c>
      <c r="E44" s="27">
        <v>7</v>
      </c>
      <c r="F44" s="27">
        <v>3</v>
      </c>
      <c r="G44" s="27">
        <v>1</v>
      </c>
      <c r="H44" s="28">
        <f t="shared" si="3"/>
        <v>255</v>
      </c>
      <c r="I44" s="29">
        <f t="shared" si="0"/>
        <v>85</v>
      </c>
      <c r="J44" s="27">
        <f t="shared" si="1"/>
        <v>11</v>
      </c>
      <c r="K44" s="27" t="str">
        <f t="shared" si="4"/>
        <v>TUNTAS</v>
      </c>
      <c r="L44" s="13" t="str">
        <f t="shared" si="6"/>
        <v xml:space="preserve"> </v>
      </c>
      <c r="M44" s="1"/>
      <c r="N44" s="2">
        <f t="shared" si="7"/>
        <v>8.5</v>
      </c>
    </row>
    <row r="45" spans="1:14" ht="15.95" customHeight="1" x14ac:dyDescent="0.25">
      <c r="A45" s="13">
        <v>38</v>
      </c>
      <c r="B45" s="9" t="s">
        <v>2774</v>
      </c>
      <c r="C45" s="10" t="s">
        <v>2775</v>
      </c>
      <c r="D45" s="11" t="s">
        <v>61</v>
      </c>
      <c r="E45" s="27">
        <v>19</v>
      </c>
      <c r="F45" s="27">
        <v>12</v>
      </c>
      <c r="G45" s="27">
        <v>6</v>
      </c>
      <c r="H45" s="28">
        <f t="shared" si="3"/>
        <v>117</v>
      </c>
      <c r="I45" s="29">
        <f t="shared" si="0"/>
        <v>39</v>
      </c>
      <c r="J45" s="27">
        <f t="shared" si="1"/>
        <v>41</v>
      </c>
      <c r="K45" s="27" t="str">
        <f t="shared" si="4"/>
        <v>TIDAK TUNTAS</v>
      </c>
      <c r="L45" s="13" t="str">
        <f t="shared" si="6"/>
        <v>TM</v>
      </c>
      <c r="M45" s="1"/>
      <c r="N45" s="2">
        <f t="shared" si="7"/>
        <v>3.9</v>
      </c>
    </row>
    <row r="46" spans="1:14" ht="15.95" customHeight="1" x14ac:dyDescent="0.25">
      <c r="A46" s="13">
        <v>39</v>
      </c>
      <c r="B46" s="9" t="s">
        <v>2776</v>
      </c>
      <c r="C46" s="10" t="s">
        <v>2777</v>
      </c>
      <c r="D46" s="11" t="s">
        <v>86</v>
      </c>
      <c r="E46" s="27">
        <v>11</v>
      </c>
      <c r="F46" s="27">
        <v>5</v>
      </c>
      <c r="G46" s="27">
        <v>3</v>
      </c>
      <c r="H46" s="28">
        <f t="shared" si="3"/>
        <v>207</v>
      </c>
      <c r="I46" s="29">
        <f t="shared" si="0"/>
        <v>69</v>
      </c>
      <c r="J46" s="27">
        <f t="shared" si="1"/>
        <v>25</v>
      </c>
      <c r="K46" s="27" t="str">
        <f t="shared" si="4"/>
        <v>TUNTAS</v>
      </c>
      <c r="L46" s="13" t="str">
        <f t="shared" si="6"/>
        <v xml:space="preserve"> </v>
      </c>
      <c r="M46" s="1"/>
      <c r="N46" s="2">
        <f t="shared" si="7"/>
        <v>6.9</v>
      </c>
    </row>
    <row r="47" spans="1:14" ht="15.95" customHeight="1" x14ac:dyDescent="0.25">
      <c r="A47" s="13">
        <v>40</v>
      </c>
      <c r="B47" s="9" t="s">
        <v>2778</v>
      </c>
      <c r="C47" s="10" t="s">
        <v>2779</v>
      </c>
      <c r="D47" s="11" t="s">
        <v>63</v>
      </c>
      <c r="E47" s="27">
        <v>10</v>
      </c>
      <c r="F47" s="27">
        <v>8</v>
      </c>
      <c r="G47" s="27">
        <v>5</v>
      </c>
      <c r="H47" s="28">
        <f t="shared" si="3"/>
        <v>171</v>
      </c>
      <c r="I47" s="29">
        <f t="shared" si="0"/>
        <v>57</v>
      </c>
      <c r="J47" s="27">
        <f t="shared" si="1"/>
        <v>33</v>
      </c>
      <c r="K47" s="27" t="str">
        <f t="shared" si="4"/>
        <v>TIDAK TUNTAS</v>
      </c>
      <c r="L47" s="13" t="str">
        <f t="shared" si="6"/>
        <v xml:space="preserve"> </v>
      </c>
      <c r="M47" s="1"/>
      <c r="N47" s="2">
        <f t="shared" si="7"/>
        <v>5.7</v>
      </c>
    </row>
    <row r="48" spans="1:14" ht="15.95" customHeight="1" x14ac:dyDescent="0.25">
      <c r="A48" s="13">
        <v>41</v>
      </c>
      <c r="B48" s="9" t="s">
        <v>2780</v>
      </c>
      <c r="C48" s="10" t="s">
        <v>2781</v>
      </c>
      <c r="D48" s="11" t="s">
        <v>63</v>
      </c>
      <c r="E48" s="27">
        <v>12</v>
      </c>
      <c r="F48" s="27">
        <v>6</v>
      </c>
      <c r="G48" s="27">
        <v>5</v>
      </c>
      <c r="H48" s="28">
        <f t="shared" si="3"/>
        <v>171</v>
      </c>
      <c r="I48" s="29">
        <f t="shared" si="0"/>
        <v>57</v>
      </c>
      <c r="J48" s="27">
        <f t="shared" si="1"/>
        <v>33</v>
      </c>
      <c r="K48" s="27" t="str">
        <f t="shared" si="4"/>
        <v>TIDAK TUNTAS</v>
      </c>
      <c r="L48" s="13" t="str">
        <f t="shared" si="6"/>
        <v xml:space="preserve"> </v>
      </c>
      <c r="M48" s="1"/>
      <c r="N48" s="2">
        <f t="shared" si="7"/>
        <v>5.7</v>
      </c>
    </row>
    <row r="49" spans="1:16" ht="15.95" customHeight="1" x14ac:dyDescent="0.25">
      <c r="A49" s="13">
        <v>42</v>
      </c>
      <c r="B49" s="9" t="s">
        <v>2782</v>
      </c>
      <c r="C49" s="10" t="s">
        <v>2783</v>
      </c>
      <c r="D49" s="11" t="s">
        <v>64</v>
      </c>
      <c r="E49" s="27">
        <v>19</v>
      </c>
      <c r="F49" s="27">
        <v>12</v>
      </c>
      <c r="G49" s="27">
        <v>6</v>
      </c>
      <c r="H49" s="28">
        <f t="shared" si="3"/>
        <v>117</v>
      </c>
      <c r="I49" s="29">
        <f t="shared" si="0"/>
        <v>39</v>
      </c>
      <c r="J49" s="27">
        <f t="shared" si="1"/>
        <v>41</v>
      </c>
      <c r="K49" s="27" t="str">
        <f t="shared" si="4"/>
        <v>TIDAK TUNTAS</v>
      </c>
      <c r="L49" s="13" t="str">
        <f t="shared" si="6"/>
        <v>TM</v>
      </c>
      <c r="M49" s="1"/>
      <c r="N49" s="2">
        <f t="shared" si="7"/>
        <v>3.9</v>
      </c>
    </row>
    <row r="50" spans="1:16" ht="15.95" customHeight="1" x14ac:dyDescent="0.25">
      <c r="A50" s="13">
        <v>43</v>
      </c>
      <c r="B50" s="9" t="s">
        <v>2784</v>
      </c>
      <c r="C50" s="10" t="s">
        <v>142</v>
      </c>
      <c r="D50" s="11" t="s">
        <v>66</v>
      </c>
      <c r="E50" s="27">
        <v>6</v>
      </c>
      <c r="F50" s="27">
        <v>5</v>
      </c>
      <c r="G50" s="27">
        <v>4</v>
      </c>
      <c r="H50" s="28">
        <f t="shared" si="3"/>
        <v>207</v>
      </c>
      <c r="I50" s="29">
        <f t="shared" si="0"/>
        <v>69</v>
      </c>
      <c r="J50" s="27">
        <f t="shared" si="1"/>
        <v>25</v>
      </c>
      <c r="K50" s="27" t="str">
        <f t="shared" si="4"/>
        <v>TUNTAS</v>
      </c>
      <c r="L50" s="13" t="str">
        <f t="shared" si="6"/>
        <v xml:space="preserve"> </v>
      </c>
      <c r="M50" s="1"/>
      <c r="N50" s="2">
        <f t="shared" si="7"/>
        <v>6.9</v>
      </c>
    </row>
    <row r="51" spans="1:16" ht="15.95" customHeight="1" x14ac:dyDescent="0.25">
      <c r="A51" s="13">
        <v>44</v>
      </c>
      <c r="B51" s="9" t="s">
        <v>2785</v>
      </c>
      <c r="C51" s="10" t="s">
        <v>532</v>
      </c>
      <c r="D51" s="11" t="s">
        <v>68</v>
      </c>
      <c r="E51" s="27">
        <v>32</v>
      </c>
      <c r="F51" s="27">
        <v>32</v>
      </c>
      <c r="G51" s="27">
        <v>5</v>
      </c>
      <c r="H51" s="28">
        <f t="shared" si="3"/>
        <v>33</v>
      </c>
      <c r="I51" s="29">
        <f t="shared" si="0"/>
        <v>11</v>
      </c>
      <c r="J51" s="27">
        <f t="shared" si="1"/>
        <v>45</v>
      </c>
      <c r="K51" s="27" t="str">
        <f t="shared" si="4"/>
        <v>TIDAK HADIR</v>
      </c>
      <c r="L51" s="13" t="str">
        <f t="shared" si="6"/>
        <v xml:space="preserve"> </v>
      </c>
      <c r="M51" s="1"/>
      <c r="N51" s="2">
        <f t="shared" si="7"/>
        <v>1.1000000000000001</v>
      </c>
    </row>
    <row r="52" spans="1:16" ht="15.95" customHeight="1" x14ac:dyDescent="0.25">
      <c r="A52" s="13">
        <v>45</v>
      </c>
      <c r="B52" s="9" t="s">
        <v>2786</v>
      </c>
      <c r="C52" s="10" t="s">
        <v>2787</v>
      </c>
      <c r="D52" s="11" t="s">
        <v>69</v>
      </c>
      <c r="E52" s="27">
        <v>2</v>
      </c>
      <c r="F52" s="27">
        <v>0</v>
      </c>
      <c r="G52" s="27">
        <v>0</v>
      </c>
      <c r="H52" s="28">
        <f t="shared" si="3"/>
        <v>294</v>
      </c>
      <c r="I52" s="29">
        <f t="shared" si="0"/>
        <v>98</v>
      </c>
      <c r="J52" s="27">
        <f t="shared" si="1"/>
        <v>1</v>
      </c>
      <c r="K52" s="27" t="str">
        <f t="shared" si="4"/>
        <v>TUNTAS</v>
      </c>
      <c r="L52" s="13" t="str">
        <f t="shared" si="6"/>
        <v xml:space="preserve"> </v>
      </c>
      <c r="M52" s="1"/>
      <c r="N52" s="2">
        <f t="shared" si="7"/>
        <v>9.8000000000000007</v>
      </c>
    </row>
    <row r="53" spans="1:16" ht="15.95" customHeight="1" x14ac:dyDescent="0.25">
      <c r="A53" s="13">
        <v>46</v>
      </c>
      <c r="B53" s="9" t="s">
        <v>2788</v>
      </c>
      <c r="C53" s="10" t="s">
        <v>2789</v>
      </c>
      <c r="D53" s="11" t="s">
        <v>72</v>
      </c>
      <c r="E53" s="27">
        <v>17</v>
      </c>
      <c r="F53" s="27">
        <v>15</v>
      </c>
      <c r="G53" s="27">
        <v>4</v>
      </c>
      <c r="H53" s="28">
        <f t="shared" si="3"/>
        <v>144</v>
      </c>
      <c r="I53" s="29">
        <f t="shared" si="0"/>
        <v>48</v>
      </c>
      <c r="J53" s="27">
        <f t="shared" si="1"/>
        <v>38</v>
      </c>
      <c r="K53" s="27" t="str">
        <f t="shared" si="4"/>
        <v>TIDAK TUNTAS</v>
      </c>
      <c r="L53" s="13" t="str">
        <f t="shared" si="6"/>
        <v xml:space="preserve"> </v>
      </c>
      <c r="M53" s="1"/>
      <c r="N53" s="2">
        <f t="shared" si="7"/>
        <v>4.8</v>
      </c>
    </row>
    <row r="54" spans="1:16" x14ac:dyDescent="0.25">
      <c r="A54" s="13">
        <v>47</v>
      </c>
      <c r="B54" s="9" t="s">
        <v>2790</v>
      </c>
      <c r="C54" s="10" t="s">
        <v>2791</v>
      </c>
      <c r="D54" s="11" t="s">
        <v>72</v>
      </c>
      <c r="E54" s="27">
        <v>8</v>
      </c>
      <c r="F54" s="27">
        <v>5</v>
      </c>
      <c r="G54" s="27">
        <v>2</v>
      </c>
      <c r="H54" s="28">
        <f t="shared" si="3"/>
        <v>231</v>
      </c>
      <c r="I54" s="29">
        <f t="shared" si="0"/>
        <v>77</v>
      </c>
      <c r="J54" s="27">
        <f t="shared" si="1"/>
        <v>21</v>
      </c>
      <c r="K54" s="27" t="str">
        <f t="shared" si="4"/>
        <v>TUNTAS</v>
      </c>
      <c r="L54" s="13" t="str">
        <f t="shared" si="6"/>
        <v xml:space="preserve"> </v>
      </c>
      <c r="M54" s="1"/>
      <c r="N54" s="2">
        <f t="shared" si="7"/>
        <v>7.7</v>
      </c>
    </row>
    <row r="57" spans="1:16" x14ac:dyDescent="0.25">
      <c r="P57" s="2" t="s">
        <v>3287</v>
      </c>
    </row>
  </sheetData>
  <mergeCells count="11">
    <mergeCell ref="A4:I4"/>
    <mergeCell ref="L5:L7"/>
    <mergeCell ref="K5:K6"/>
    <mergeCell ref="I5:I7"/>
    <mergeCell ref="E5:G5"/>
    <mergeCell ref="H5:H7"/>
    <mergeCell ref="J5:J7"/>
    <mergeCell ref="A5:A7"/>
    <mergeCell ref="B5:B7"/>
    <mergeCell ref="C5:C7"/>
    <mergeCell ref="D5:D7"/>
  </mergeCells>
  <conditionalFormatting sqref="D8:D10">
    <cfRule type="cellIs" dxfId="188" priority="9" operator="equal">
      <formula>0</formula>
    </cfRule>
  </conditionalFormatting>
  <conditionalFormatting sqref="I8:I54">
    <cfRule type="cellIs" dxfId="187" priority="3" operator="lessThan">
      <formula>60</formula>
    </cfRule>
    <cfRule type="cellIs" dxfId="186" priority="4" operator="lessThan">
      <formula>60</formula>
    </cfRule>
    <cfRule type="cellIs" dxfId="185" priority="5" operator="lessThan">
      <formula>50</formula>
    </cfRule>
  </conditionalFormatting>
  <conditionalFormatting sqref="K8:K54">
    <cfRule type="cellIs" dxfId="184" priority="1" operator="equal">
      <formula>"TIDAK BACA"</formula>
    </cfRule>
    <cfRule type="cellIs" dxfId="183" priority="2" operator="equal">
      <formula>"TIDAK TUNTAS"</formula>
    </cfRule>
    <cfRule type="cellIs" dxfId="182" priority="6" operator="equal">
      <formula>"TUNTAS"</formula>
    </cfRule>
    <cfRule type="cellIs" dxfId="181" priority="7" operator="equal">
      <formula>"TIDAK HADIR"</formula>
    </cfRule>
    <cfRule type="cellIs" dxfId="180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00000000-0002-0000-0A00-000000000000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72A8-4D0F-41E8-8E24-A35E1CDD243D}">
  <sheetPr>
    <tabColor theme="6" tint="0.39997558519241921"/>
  </sheetPr>
  <dimension ref="A1:N60"/>
  <sheetViews>
    <sheetView zoomScaleNormal="100" workbookViewId="0">
      <pane xSplit="1" ySplit="7" topLeftCell="B47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N8" sqref="N8:N58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3284</v>
      </c>
      <c r="B4" s="51"/>
      <c r="C4" s="51"/>
      <c r="D4" s="51"/>
      <c r="E4" s="51"/>
      <c r="F4" s="51"/>
      <c r="G4" s="51"/>
      <c r="H4" s="51"/>
      <c r="I4" s="51"/>
      <c r="K4" s="33" t="s">
        <v>3277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2792</v>
      </c>
      <c r="C8" s="10" t="s">
        <v>2793</v>
      </c>
      <c r="D8" s="11" t="s">
        <v>14</v>
      </c>
      <c r="E8" s="27">
        <v>11</v>
      </c>
      <c r="F8" s="27">
        <v>4</v>
      </c>
      <c r="G8" s="27">
        <v>3</v>
      </c>
      <c r="H8" s="28">
        <f>100-E8*3+100-F8*3+100-G8*15</f>
        <v>210</v>
      </c>
      <c r="I8" s="29">
        <f t="shared" ref="I8:I58" si="0">H8/3</f>
        <v>70</v>
      </c>
      <c r="J8" s="27">
        <f t="shared" ref="J8:J58" si="1">RANK(H8,$H$8:$H$97)</f>
        <v>18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7</v>
      </c>
    </row>
    <row r="9" spans="1:14" ht="15.95" customHeight="1" x14ac:dyDescent="0.25">
      <c r="A9" s="13">
        <v>2</v>
      </c>
      <c r="B9" s="9" t="s">
        <v>2794</v>
      </c>
      <c r="C9" s="10" t="s">
        <v>2795</v>
      </c>
      <c r="D9" s="11" t="s">
        <v>15</v>
      </c>
      <c r="E9" s="27">
        <v>16</v>
      </c>
      <c r="F9" s="27">
        <v>9</v>
      </c>
      <c r="G9" s="27">
        <v>3</v>
      </c>
      <c r="H9" s="28">
        <f t="shared" ref="H9:H58" si="3">100-E9*3+100-F9*3+100-G9*15</f>
        <v>180</v>
      </c>
      <c r="I9" s="29">
        <f t="shared" si="0"/>
        <v>60</v>
      </c>
      <c r="J9" s="27">
        <f t="shared" si="1"/>
        <v>27</v>
      </c>
      <c r="K9" s="27" t="str">
        <f t="shared" ref="K9:K58" si="4">IF(I9&lt;11.1,"TIDAK HADIR",IF(I9&lt;13.1,"TIDAK BACA",IF(I9&lt;$K$7,"TIDAK TUNTAS","TUNTAS")))</f>
        <v>TUNTAS</v>
      </c>
      <c r="L9" s="13" t="str">
        <f t="shared" ref="L9:L58" si="5">IF(G9&gt;5,"TM", " ")</f>
        <v xml:space="preserve"> </v>
      </c>
      <c r="M9" s="1"/>
      <c r="N9" s="2">
        <f t="shared" si="2"/>
        <v>6</v>
      </c>
    </row>
    <row r="10" spans="1:14" ht="15.95" customHeight="1" x14ac:dyDescent="0.25">
      <c r="A10" s="13">
        <v>3</v>
      </c>
      <c r="B10" s="9" t="s">
        <v>2796</v>
      </c>
      <c r="C10" s="10" t="s">
        <v>2797</v>
      </c>
      <c r="D10" s="11" t="s">
        <v>17</v>
      </c>
      <c r="E10" s="27">
        <v>0</v>
      </c>
      <c r="F10" s="27">
        <v>1</v>
      </c>
      <c r="G10" s="27">
        <v>0</v>
      </c>
      <c r="H10" s="28">
        <f t="shared" si="3"/>
        <v>297</v>
      </c>
      <c r="I10" s="29">
        <f>H10/3</f>
        <v>99</v>
      </c>
      <c r="J10" s="27">
        <f t="shared" si="1"/>
        <v>2</v>
      </c>
      <c r="K10" s="27" t="str">
        <f t="shared" si="4"/>
        <v>TUNTAS</v>
      </c>
      <c r="L10" s="13" t="str">
        <f t="shared" si="5"/>
        <v xml:space="preserve"> </v>
      </c>
      <c r="M10" s="1"/>
      <c r="N10" s="2">
        <f t="shared" si="2"/>
        <v>9.9</v>
      </c>
    </row>
    <row r="11" spans="1:14" ht="15.95" customHeight="1" x14ac:dyDescent="0.25">
      <c r="A11" s="13">
        <v>4</v>
      </c>
      <c r="B11" s="9" t="s">
        <v>2798</v>
      </c>
      <c r="C11" s="10" t="s">
        <v>152</v>
      </c>
      <c r="D11" s="11" t="s">
        <v>18</v>
      </c>
      <c r="E11" s="27">
        <v>12</v>
      </c>
      <c r="F11" s="27">
        <v>8</v>
      </c>
      <c r="G11" s="27">
        <v>6</v>
      </c>
      <c r="H11" s="28">
        <f t="shared" si="3"/>
        <v>150</v>
      </c>
      <c r="I11" s="29">
        <f t="shared" si="0"/>
        <v>50</v>
      </c>
      <c r="J11" s="27">
        <f t="shared" si="1"/>
        <v>34</v>
      </c>
      <c r="K11" s="27" t="str">
        <f t="shared" si="4"/>
        <v>TIDAK TUNTAS</v>
      </c>
      <c r="L11" s="13" t="str">
        <f t="shared" si="5"/>
        <v>TM</v>
      </c>
      <c r="M11" s="1"/>
      <c r="N11" s="2">
        <f t="shared" si="2"/>
        <v>5</v>
      </c>
    </row>
    <row r="12" spans="1:14" ht="15.95" customHeight="1" x14ac:dyDescent="0.25">
      <c r="A12" s="13">
        <v>5</v>
      </c>
      <c r="B12" s="9" t="s">
        <v>149</v>
      </c>
      <c r="C12" s="10" t="s">
        <v>2799</v>
      </c>
      <c r="D12" s="11" t="s">
        <v>18</v>
      </c>
      <c r="E12" s="27">
        <v>2</v>
      </c>
      <c r="F12" s="27">
        <v>0</v>
      </c>
      <c r="G12" s="27">
        <v>0</v>
      </c>
      <c r="H12" s="28">
        <f t="shared" si="3"/>
        <v>294</v>
      </c>
      <c r="I12" s="29">
        <f t="shared" si="0"/>
        <v>98</v>
      </c>
      <c r="J12" s="27">
        <f t="shared" si="1"/>
        <v>4</v>
      </c>
      <c r="K12" s="27" t="str">
        <f t="shared" si="4"/>
        <v>TUNTAS</v>
      </c>
      <c r="L12" s="13" t="str">
        <f t="shared" si="5"/>
        <v xml:space="preserve"> </v>
      </c>
      <c r="M12" s="1"/>
      <c r="N12" s="2">
        <f t="shared" si="2"/>
        <v>9.8000000000000007</v>
      </c>
    </row>
    <row r="13" spans="1:14" ht="15.95" customHeight="1" x14ac:dyDescent="0.25">
      <c r="A13" s="13">
        <v>6</v>
      </c>
      <c r="B13" s="9" t="s">
        <v>150</v>
      </c>
      <c r="C13" s="10" t="s">
        <v>2800</v>
      </c>
      <c r="D13" s="11" t="s">
        <v>18</v>
      </c>
      <c r="E13" s="27">
        <v>0</v>
      </c>
      <c r="F13" s="27">
        <v>0</v>
      </c>
      <c r="G13" s="27">
        <v>0</v>
      </c>
      <c r="H13" s="28">
        <f t="shared" si="3"/>
        <v>300</v>
      </c>
      <c r="I13" s="29">
        <f t="shared" si="0"/>
        <v>100</v>
      </c>
      <c r="J13" s="27">
        <f t="shared" si="1"/>
        <v>1</v>
      </c>
      <c r="K13" s="27" t="str">
        <f t="shared" si="4"/>
        <v>TUNTAS</v>
      </c>
      <c r="L13" s="13" t="str">
        <f t="shared" si="5"/>
        <v xml:space="preserve"> </v>
      </c>
      <c r="M13" s="1"/>
      <c r="N13" s="2">
        <f t="shared" si="2"/>
        <v>10</v>
      </c>
    </row>
    <row r="14" spans="1:14" ht="15.95" customHeight="1" x14ac:dyDescent="0.25">
      <c r="A14" s="13">
        <v>7</v>
      </c>
      <c r="B14" s="9" t="s">
        <v>151</v>
      </c>
      <c r="C14" s="10" t="s">
        <v>2801</v>
      </c>
      <c r="D14" s="11" t="s">
        <v>20</v>
      </c>
      <c r="E14" s="27">
        <v>13</v>
      </c>
      <c r="F14" s="27">
        <v>14</v>
      </c>
      <c r="G14" s="27">
        <v>4</v>
      </c>
      <c r="H14" s="28">
        <f t="shared" si="3"/>
        <v>159</v>
      </c>
      <c r="I14" s="29">
        <f t="shared" si="0"/>
        <v>53</v>
      </c>
      <c r="J14" s="27">
        <f t="shared" si="1"/>
        <v>32</v>
      </c>
      <c r="K14" s="27" t="str">
        <f t="shared" si="4"/>
        <v>TIDAK TUNTAS</v>
      </c>
      <c r="L14" s="13" t="str">
        <f t="shared" si="5"/>
        <v xml:space="preserve"> </v>
      </c>
      <c r="M14" s="1"/>
      <c r="N14" s="2">
        <f t="shared" si="2"/>
        <v>5.3</v>
      </c>
    </row>
    <row r="15" spans="1:14" ht="15.95" customHeight="1" x14ac:dyDescent="0.25">
      <c r="A15" s="13">
        <v>8</v>
      </c>
      <c r="B15" s="9" t="s">
        <v>153</v>
      </c>
      <c r="C15" s="17" t="s">
        <v>2802</v>
      </c>
      <c r="D15" s="18" t="s">
        <v>22</v>
      </c>
      <c r="E15" s="27">
        <v>4</v>
      </c>
      <c r="F15" s="27">
        <v>2</v>
      </c>
      <c r="G15" s="27">
        <v>1</v>
      </c>
      <c r="H15" s="28">
        <f t="shared" si="3"/>
        <v>267</v>
      </c>
      <c r="I15" s="29">
        <f t="shared" si="0"/>
        <v>89</v>
      </c>
      <c r="J15" s="27">
        <f t="shared" si="1"/>
        <v>7</v>
      </c>
      <c r="K15" s="27" t="str">
        <f t="shared" si="4"/>
        <v>TUNTAS</v>
      </c>
      <c r="L15" s="13" t="str">
        <f t="shared" si="5"/>
        <v xml:space="preserve"> </v>
      </c>
      <c r="M15" s="1"/>
      <c r="N15" s="2">
        <f t="shared" si="2"/>
        <v>8.9</v>
      </c>
    </row>
    <row r="16" spans="1:14" ht="15.95" customHeight="1" x14ac:dyDescent="0.25">
      <c r="A16" s="13">
        <v>9</v>
      </c>
      <c r="B16" s="9" t="s">
        <v>154</v>
      </c>
      <c r="C16" s="10" t="s">
        <v>2803</v>
      </c>
      <c r="D16" s="11" t="s">
        <v>23</v>
      </c>
      <c r="E16" s="27">
        <v>15</v>
      </c>
      <c r="F16" s="27">
        <v>13</v>
      </c>
      <c r="G16" s="27">
        <v>4</v>
      </c>
      <c r="H16" s="28">
        <f t="shared" si="3"/>
        <v>156</v>
      </c>
      <c r="I16" s="29">
        <f t="shared" si="0"/>
        <v>52</v>
      </c>
      <c r="J16" s="27">
        <f t="shared" si="1"/>
        <v>33</v>
      </c>
      <c r="K16" s="27" t="str">
        <f t="shared" si="4"/>
        <v>TIDAK TUNTAS</v>
      </c>
      <c r="L16" s="13" t="str">
        <f t="shared" si="5"/>
        <v xml:space="preserve"> </v>
      </c>
      <c r="M16" s="1"/>
      <c r="N16" s="2">
        <f t="shared" si="2"/>
        <v>5.2</v>
      </c>
    </row>
    <row r="17" spans="1:14" ht="15.95" customHeight="1" x14ac:dyDescent="0.25">
      <c r="A17" s="13">
        <v>10</v>
      </c>
      <c r="B17" s="9" t="s">
        <v>156</v>
      </c>
      <c r="C17" s="10" t="s">
        <v>2804</v>
      </c>
      <c r="D17" s="11" t="s">
        <v>25</v>
      </c>
      <c r="E17" s="27">
        <v>18</v>
      </c>
      <c r="F17" s="27">
        <v>13</v>
      </c>
      <c r="G17" s="27">
        <v>3</v>
      </c>
      <c r="H17" s="28">
        <f t="shared" si="3"/>
        <v>162</v>
      </c>
      <c r="I17" s="29">
        <f t="shared" si="0"/>
        <v>54</v>
      </c>
      <c r="J17" s="27">
        <f t="shared" si="1"/>
        <v>31</v>
      </c>
      <c r="K17" s="27" t="str">
        <f t="shared" si="4"/>
        <v>TIDAK TUNTAS</v>
      </c>
      <c r="L17" s="13" t="str">
        <f t="shared" si="5"/>
        <v xml:space="preserve"> </v>
      </c>
      <c r="M17" s="1"/>
      <c r="N17" s="2">
        <f t="shared" si="2"/>
        <v>5.4</v>
      </c>
    </row>
    <row r="18" spans="1:14" ht="15.95" customHeight="1" x14ac:dyDescent="0.25">
      <c r="A18" s="13">
        <v>11</v>
      </c>
      <c r="B18" s="9" t="s">
        <v>158</v>
      </c>
      <c r="C18" s="17" t="s">
        <v>2805</v>
      </c>
      <c r="D18" s="18" t="s">
        <v>75</v>
      </c>
      <c r="E18" s="27">
        <v>20</v>
      </c>
      <c r="F18" s="27">
        <v>21</v>
      </c>
      <c r="G18" s="27">
        <v>3</v>
      </c>
      <c r="H18" s="28">
        <f t="shared" si="3"/>
        <v>132</v>
      </c>
      <c r="I18" s="29">
        <f t="shared" si="0"/>
        <v>44</v>
      </c>
      <c r="J18" s="27">
        <f t="shared" si="1"/>
        <v>40</v>
      </c>
      <c r="K18" s="27" t="str">
        <f t="shared" si="4"/>
        <v>TIDAK TUNTAS</v>
      </c>
      <c r="L18" s="13" t="str">
        <f t="shared" si="5"/>
        <v xml:space="preserve"> </v>
      </c>
      <c r="M18" s="1"/>
      <c r="N18" s="2">
        <f t="shared" si="2"/>
        <v>4.4000000000000004</v>
      </c>
    </row>
    <row r="19" spans="1:14" ht="15.95" customHeight="1" x14ac:dyDescent="0.25">
      <c r="A19" s="13">
        <v>12</v>
      </c>
      <c r="B19" s="9" t="s">
        <v>159</v>
      </c>
      <c r="C19" s="17" t="s">
        <v>2806</v>
      </c>
      <c r="D19" s="18" t="s">
        <v>28</v>
      </c>
      <c r="E19" s="27">
        <v>5</v>
      </c>
      <c r="F19" s="27">
        <v>9</v>
      </c>
      <c r="G19" s="27">
        <v>2</v>
      </c>
      <c r="H19" s="28">
        <f t="shared" si="3"/>
        <v>228</v>
      </c>
      <c r="I19" s="29">
        <f t="shared" si="0"/>
        <v>76</v>
      </c>
      <c r="J19" s="27">
        <f t="shared" si="1"/>
        <v>15</v>
      </c>
      <c r="K19" s="27" t="str">
        <f t="shared" si="4"/>
        <v>TUNTAS</v>
      </c>
      <c r="L19" s="13" t="str">
        <f t="shared" si="5"/>
        <v xml:space="preserve"> </v>
      </c>
      <c r="M19" s="1"/>
      <c r="N19" s="2">
        <f t="shared" si="2"/>
        <v>7.6</v>
      </c>
    </row>
    <row r="20" spans="1:14" ht="15.95" customHeight="1" x14ac:dyDescent="0.25">
      <c r="A20" s="13">
        <v>13</v>
      </c>
      <c r="B20" s="9" t="s">
        <v>161</v>
      </c>
      <c r="C20" s="10" t="s">
        <v>2807</v>
      </c>
      <c r="D20" s="11" t="s">
        <v>29</v>
      </c>
      <c r="E20" s="27">
        <v>13</v>
      </c>
      <c r="F20" s="27">
        <v>7</v>
      </c>
      <c r="G20" s="27">
        <v>3</v>
      </c>
      <c r="H20" s="28">
        <f t="shared" si="3"/>
        <v>195</v>
      </c>
      <c r="I20" s="29">
        <f t="shared" si="0"/>
        <v>65</v>
      </c>
      <c r="J20" s="27">
        <f t="shared" si="1"/>
        <v>23</v>
      </c>
      <c r="K20" s="27" t="str">
        <f t="shared" si="4"/>
        <v>TUNTAS</v>
      </c>
      <c r="L20" s="13" t="str">
        <f t="shared" si="5"/>
        <v xml:space="preserve"> </v>
      </c>
      <c r="M20" s="1"/>
      <c r="N20" s="2">
        <f t="shared" si="2"/>
        <v>6.5</v>
      </c>
    </row>
    <row r="21" spans="1:14" ht="15.95" customHeight="1" x14ac:dyDescent="0.25">
      <c r="A21" s="13">
        <v>14</v>
      </c>
      <c r="B21" s="9" t="s">
        <v>163</v>
      </c>
      <c r="C21" s="10" t="s">
        <v>2808</v>
      </c>
      <c r="D21" s="11" t="s">
        <v>102</v>
      </c>
      <c r="E21" s="27">
        <v>7</v>
      </c>
      <c r="F21" s="27">
        <v>3</v>
      </c>
      <c r="G21" s="27">
        <v>4</v>
      </c>
      <c r="H21" s="28">
        <f t="shared" si="3"/>
        <v>210</v>
      </c>
      <c r="I21" s="29">
        <f t="shared" si="0"/>
        <v>70</v>
      </c>
      <c r="J21" s="27">
        <f t="shared" si="1"/>
        <v>18</v>
      </c>
      <c r="K21" s="27" t="str">
        <f t="shared" si="4"/>
        <v>TUNTAS</v>
      </c>
      <c r="L21" s="13" t="str">
        <f t="shared" si="5"/>
        <v xml:space="preserve"> </v>
      </c>
      <c r="M21" s="1"/>
      <c r="N21" s="2">
        <f t="shared" si="2"/>
        <v>7</v>
      </c>
    </row>
    <row r="22" spans="1:14" ht="15.95" customHeight="1" x14ac:dyDescent="0.25">
      <c r="A22" s="13">
        <v>15</v>
      </c>
      <c r="B22" s="9" t="s">
        <v>165</v>
      </c>
      <c r="C22" s="10" t="s">
        <v>2809</v>
      </c>
      <c r="D22" s="11" t="s">
        <v>91</v>
      </c>
      <c r="E22" s="27">
        <v>12</v>
      </c>
      <c r="F22" s="27">
        <v>16</v>
      </c>
      <c r="G22" s="27">
        <v>6</v>
      </c>
      <c r="H22" s="28">
        <f t="shared" si="3"/>
        <v>126</v>
      </c>
      <c r="I22" s="29">
        <f t="shared" si="0"/>
        <v>42</v>
      </c>
      <c r="J22" s="27">
        <f t="shared" si="1"/>
        <v>43</v>
      </c>
      <c r="K22" s="27" t="str">
        <f t="shared" si="4"/>
        <v>TIDAK TUNTAS</v>
      </c>
      <c r="L22" s="13" t="str">
        <f t="shared" si="5"/>
        <v>TM</v>
      </c>
      <c r="M22" s="1"/>
      <c r="N22" s="2">
        <f t="shared" si="2"/>
        <v>4.2</v>
      </c>
    </row>
    <row r="23" spans="1:14" ht="15.95" customHeight="1" x14ac:dyDescent="0.25">
      <c r="A23" s="13">
        <v>16</v>
      </c>
      <c r="B23" s="9" t="s">
        <v>167</v>
      </c>
      <c r="C23" s="10" t="s">
        <v>2810</v>
      </c>
      <c r="D23" s="11" t="s">
        <v>125</v>
      </c>
      <c r="E23" s="27">
        <v>4</v>
      </c>
      <c r="F23" s="27">
        <v>11</v>
      </c>
      <c r="G23" s="27">
        <v>6</v>
      </c>
      <c r="H23" s="28">
        <f t="shared" si="3"/>
        <v>165</v>
      </c>
      <c r="I23" s="29">
        <f t="shared" si="0"/>
        <v>55</v>
      </c>
      <c r="J23" s="27">
        <f t="shared" si="1"/>
        <v>30</v>
      </c>
      <c r="K23" s="27" t="str">
        <f t="shared" si="4"/>
        <v>TIDAK TUNTAS</v>
      </c>
      <c r="L23" s="13" t="str">
        <f t="shared" si="5"/>
        <v>TM</v>
      </c>
      <c r="M23" s="1"/>
      <c r="N23" s="2">
        <f t="shared" si="2"/>
        <v>5.5</v>
      </c>
    </row>
    <row r="24" spans="1:14" ht="15.95" customHeight="1" x14ac:dyDescent="0.25">
      <c r="A24" s="13">
        <v>17</v>
      </c>
      <c r="B24" s="9" t="s">
        <v>168</v>
      </c>
      <c r="C24" s="10" t="s">
        <v>568</v>
      </c>
      <c r="D24" s="11" t="s">
        <v>569</v>
      </c>
      <c r="E24" s="27">
        <v>10</v>
      </c>
      <c r="F24" s="27">
        <v>14</v>
      </c>
      <c r="G24" s="27">
        <v>6</v>
      </c>
      <c r="H24" s="28">
        <f t="shared" si="3"/>
        <v>138</v>
      </c>
      <c r="I24" s="29">
        <f t="shared" si="0"/>
        <v>46</v>
      </c>
      <c r="J24" s="27">
        <f t="shared" si="1"/>
        <v>37</v>
      </c>
      <c r="K24" s="27" t="str">
        <f t="shared" si="4"/>
        <v>TIDAK TUNTAS</v>
      </c>
      <c r="L24" s="13" t="str">
        <f t="shared" si="5"/>
        <v>TM</v>
      </c>
      <c r="M24" s="1"/>
      <c r="N24" s="2">
        <f>I24/10</f>
        <v>4.5999999999999996</v>
      </c>
    </row>
    <row r="25" spans="1:14" ht="15.95" customHeight="1" x14ac:dyDescent="0.25">
      <c r="A25" s="30">
        <v>18</v>
      </c>
      <c r="B25" s="9" t="s">
        <v>170</v>
      </c>
      <c r="C25" s="10" t="s">
        <v>2811</v>
      </c>
      <c r="D25" s="11" t="s">
        <v>36</v>
      </c>
      <c r="E25" s="27">
        <v>8</v>
      </c>
      <c r="F25" s="27">
        <v>7</v>
      </c>
      <c r="G25" s="27">
        <v>3</v>
      </c>
      <c r="H25" s="28">
        <f t="shared" si="3"/>
        <v>210</v>
      </c>
      <c r="I25" s="29">
        <f t="shared" si="0"/>
        <v>70</v>
      </c>
      <c r="J25" s="27">
        <f t="shared" si="1"/>
        <v>18</v>
      </c>
      <c r="K25" s="27" t="str">
        <f t="shared" si="4"/>
        <v>TUNTAS</v>
      </c>
      <c r="L25" s="13" t="str">
        <f t="shared" si="5"/>
        <v xml:space="preserve"> </v>
      </c>
      <c r="M25" s="1"/>
      <c r="N25" s="2">
        <f t="shared" ref="N25:N58" si="6">I25/10</f>
        <v>7</v>
      </c>
    </row>
    <row r="26" spans="1:14" ht="15.95" customHeight="1" x14ac:dyDescent="0.25">
      <c r="A26" s="13">
        <v>19</v>
      </c>
      <c r="B26" s="9" t="s">
        <v>172</v>
      </c>
      <c r="C26" s="10" t="s">
        <v>2812</v>
      </c>
      <c r="D26" s="11" t="s">
        <v>126</v>
      </c>
      <c r="E26" s="27">
        <v>9</v>
      </c>
      <c r="F26" s="27">
        <v>4</v>
      </c>
      <c r="G26" s="27">
        <v>6</v>
      </c>
      <c r="H26" s="28">
        <f t="shared" si="3"/>
        <v>171</v>
      </c>
      <c r="I26" s="29">
        <f t="shared" si="0"/>
        <v>57</v>
      </c>
      <c r="J26" s="27">
        <f t="shared" si="1"/>
        <v>29</v>
      </c>
      <c r="K26" s="27" t="str">
        <f t="shared" si="4"/>
        <v>TIDAK TUNTAS</v>
      </c>
      <c r="L26" s="13" t="str">
        <f t="shared" si="5"/>
        <v>TM</v>
      </c>
      <c r="M26" s="1"/>
      <c r="N26" s="2">
        <f t="shared" si="6"/>
        <v>5.7</v>
      </c>
    </row>
    <row r="27" spans="1:14" ht="15.95" customHeight="1" x14ac:dyDescent="0.25">
      <c r="A27" s="13">
        <v>20</v>
      </c>
      <c r="B27" s="9" t="s">
        <v>174</v>
      </c>
      <c r="C27" s="10" t="s">
        <v>851</v>
      </c>
      <c r="D27" s="11" t="s">
        <v>37</v>
      </c>
      <c r="E27" s="27">
        <v>1</v>
      </c>
      <c r="F27" s="27">
        <v>5</v>
      </c>
      <c r="G27" s="27">
        <v>1</v>
      </c>
      <c r="H27" s="28">
        <f t="shared" si="3"/>
        <v>267</v>
      </c>
      <c r="I27" s="29">
        <f t="shared" si="0"/>
        <v>89</v>
      </c>
      <c r="J27" s="27">
        <f t="shared" si="1"/>
        <v>7</v>
      </c>
      <c r="K27" s="27" t="str">
        <f t="shared" si="4"/>
        <v>TUNTAS</v>
      </c>
      <c r="L27" s="13" t="str">
        <f t="shared" si="5"/>
        <v xml:space="preserve"> </v>
      </c>
      <c r="M27" s="1"/>
      <c r="N27" s="2">
        <f t="shared" si="6"/>
        <v>8.9</v>
      </c>
    </row>
    <row r="28" spans="1:14" ht="15.95" customHeight="1" x14ac:dyDescent="0.25">
      <c r="A28" s="13">
        <v>21</v>
      </c>
      <c r="B28" s="9" t="s">
        <v>175</v>
      </c>
      <c r="C28" s="10" t="s">
        <v>2813</v>
      </c>
      <c r="D28" s="11" t="s">
        <v>105</v>
      </c>
      <c r="E28" s="27">
        <v>9</v>
      </c>
      <c r="F28" s="27">
        <v>6</v>
      </c>
      <c r="G28" s="27">
        <v>3</v>
      </c>
      <c r="H28" s="28">
        <f t="shared" si="3"/>
        <v>210</v>
      </c>
      <c r="I28" s="29">
        <f t="shared" si="0"/>
        <v>70</v>
      </c>
      <c r="J28" s="27">
        <f t="shared" si="1"/>
        <v>18</v>
      </c>
      <c r="K28" s="27" t="str">
        <f t="shared" si="4"/>
        <v>TUNTAS</v>
      </c>
      <c r="L28" s="13" t="str">
        <f t="shared" si="5"/>
        <v xml:space="preserve"> </v>
      </c>
      <c r="M28" s="1"/>
      <c r="N28" s="2">
        <f t="shared" si="6"/>
        <v>7</v>
      </c>
    </row>
    <row r="29" spans="1:14" ht="15.95" customHeight="1" x14ac:dyDescent="0.25">
      <c r="A29" s="13">
        <v>22</v>
      </c>
      <c r="B29" s="9" t="s">
        <v>176</v>
      </c>
      <c r="C29" s="10" t="s">
        <v>2814</v>
      </c>
      <c r="D29" s="11" t="s">
        <v>141</v>
      </c>
      <c r="E29" s="27">
        <v>19</v>
      </c>
      <c r="F29" s="27">
        <v>1</v>
      </c>
      <c r="G29" s="27">
        <v>6</v>
      </c>
      <c r="H29" s="28">
        <f t="shared" si="3"/>
        <v>150</v>
      </c>
      <c r="I29" s="29">
        <f t="shared" si="0"/>
        <v>50</v>
      </c>
      <c r="J29" s="27">
        <f t="shared" si="1"/>
        <v>34</v>
      </c>
      <c r="K29" s="27" t="str">
        <f t="shared" si="4"/>
        <v>TIDAK TUNTAS</v>
      </c>
      <c r="L29" s="13" t="str">
        <f t="shared" si="5"/>
        <v>TM</v>
      </c>
      <c r="M29" s="1"/>
      <c r="N29" s="2">
        <f t="shared" si="6"/>
        <v>5</v>
      </c>
    </row>
    <row r="30" spans="1:14" ht="15.95" customHeight="1" x14ac:dyDescent="0.25">
      <c r="A30" s="13">
        <v>23</v>
      </c>
      <c r="B30" s="9" t="s">
        <v>178</v>
      </c>
      <c r="C30" s="10" t="s">
        <v>2815</v>
      </c>
      <c r="D30" s="11" t="s">
        <v>106</v>
      </c>
      <c r="E30" s="27">
        <v>5</v>
      </c>
      <c r="F30" s="27">
        <v>0</v>
      </c>
      <c r="G30" s="27">
        <v>2</v>
      </c>
      <c r="H30" s="28">
        <f t="shared" si="3"/>
        <v>255</v>
      </c>
      <c r="I30" s="29">
        <f t="shared" si="0"/>
        <v>85</v>
      </c>
      <c r="J30" s="27">
        <f t="shared" si="1"/>
        <v>9</v>
      </c>
      <c r="K30" s="27" t="str">
        <f t="shared" si="4"/>
        <v>TUNTAS</v>
      </c>
      <c r="L30" s="13" t="str">
        <f t="shared" si="5"/>
        <v xml:space="preserve"> </v>
      </c>
      <c r="M30" s="1"/>
      <c r="N30" s="2">
        <f t="shared" si="6"/>
        <v>8.5</v>
      </c>
    </row>
    <row r="31" spans="1:14" ht="15.95" customHeight="1" x14ac:dyDescent="0.25">
      <c r="A31" s="13">
        <v>24</v>
      </c>
      <c r="B31" s="9" t="s">
        <v>180</v>
      </c>
      <c r="C31" s="10" t="s">
        <v>2816</v>
      </c>
      <c r="D31" s="11" t="s">
        <v>43</v>
      </c>
      <c r="E31" s="27">
        <v>17</v>
      </c>
      <c r="F31" s="27">
        <v>9</v>
      </c>
      <c r="G31" s="27">
        <v>6</v>
      </c>
      <c r="H31" s="28">
        <f t="shared" si="3"/>
        <v>132</v>
      </c>
      <c r="I31" s="29">
        <f t="shared" si="0"/>
        <v>44</v>
      </c>
      <c r="J31" s="27">
        <f t="shared" si="1"/>
        <v>40</v>
      </c>
      <c r="K31" s="27" t="str">
        <f t="shared" si="4"/>
        <v>TIDAK TUNTAS</v>
      </c>
      <c r="L31" s="13" t="str">
        <f t="shared" si="5"/>
        <v>TM</v>
      </c>
      <c r="M31" s="1"/>
      <c r="N31" s="2">
        <f t="shared" si="6"/>
        <v>4.4000000000000004</v>
      </c>
    </row>
    <row r="32" spans="1:14" ht="15.95" customHeight="1" x14ac:dyDescent="0.25">
      <c r="A32" s="13">
        <v>25</v>
      </c>
      <c r="B32" s="9" t="s">
        <v>182</v>
      </c>
      <c r="C32" s="10" t="s">
        <v>2817</v>
      </c>
      <c r="D32" s="11" t="s">
        <v>83</v>
      </c>
      <c r="E32" s="27">
        <v>32</v>
      </c>
      <c r="F32" s="27">
        <v>32</v>
      </c>
      <c r="G32" s="27">
        <v>5</v>
      </c>
      <c r="H32" s="28">
        <f t="shared" si="3"/>
        <v>33</v>
      </c>
      <c r="I32" s="29">
        <f t="shared" si="0"/>
        <v>11</v>
      </c>
      <c r="J32" s="27">
        <f t="shared" si="1"/>
        <v>48</v>
      </c>
      <c r="K32" s="27" t="str">
        <f t="shared" si="4"/>
        <v>TIDAK HADIR</v>
      </c>
      <c r="L32" s="13" t="s">
        <v>3265</v>
      </c>
      <c r="M32" s="1"/>
      <c r="N32" s="2">
        <f t="shared" si="6"/>
        <v>1.1000000000000001</v>
      </c>
    </row>
    <row r="33" spans="1:14" ht="15.95" customHeight="1" x14ac:dyDescent="0.25">
      <c r="A33" s="13">
        <v>26</v>
      </c>
      <c r="B33" s="9" t="s">
        <v>184</v>
      </c>
      <c r="C33" s="10" t="s">
        <v>2818</v>
      </c>
      <c r="D33" s="11" t="s">
        <v>135</v>
      </c>
      <c r="E33" s="27">
        <v>3</v>
      </c>
      <c r="F33" s="27">
        <v>5</v>
      </c>
      <c r="G33" s="27">
        <v>2</v>
      </c>
      <c r="H33" s="28">
        <f t="shared" si="3"/>
        <v>246</v>
      </c>
      <c r="I33" s="29">
        <f t="shared" si="0"/>
        <v>82</v>
      </c>
      <c r="J33" s="27">
        <f t="shared" si="1"/>
        <v>10</v>
      </c>
      <c r="K33" s="27" t="str">
        <f t="shared" si="4"/>
        <v>TUNTAS</v>
      </c>
      <c r="L33" s="13" t="str">
        <f t="shared" si="5"/>
        <v xml:space="preserve"> </v>
      </c>
      <c r="M33" s="1"/>
      <c r="N33" s="2">
        <f t="shared" si="6"/>
        <v>8.1999999999999993</v>
      </c>
    </row>
    <row r="34" spans="1:14" ht="15.95" customHeight="1" x14ac:dyDescent="0.25">
      <c r="A34" s="13">
        <v>27</v>
      </c>
      <c r="B34" s="9" t="s">
        <v>186</v>
      </c>
      <c r="C34" s="10" t="s">
        <v>2819</v>
      </c>
      <c r="D34" s="11" t="s">
        <v>84</v>
      </c>
      <c r="E34" s="27">
        <v>9</v>
      </c>
      <c r="F34" s="27">
        <v>10</v>
      </c>
      <c r="G34" s="27">
        <v>3</v>
      </c>
      <c r="H34" s="28">
        <f t="shared" si="3"/>
        <v>198</v>
      </c>
      <c r="I34" s="29">
        <f t="shared" si="0"/>
        <v>66</v>
      </c>
      <c r="J34" s="27">
        <f t="shared" si="1"/>
        <v>22</v>
      </c>
      <c r="K34" s="27" t="str">
        <f t="shared" si="4"/>
        <v>TUNTAS</v>
      </c>
      <c r="L34" s="13" t="str">
        <f t="shared" si="5"/>
        <v xml:space="preserve"> </v>
      </c>
      <c r="M34" s="1"/>
      <c r="N34" s="2">
        <f t="shared" si="6"/>
        <v>6.6</v>
      </c>
    </row>
    <row r="35" spans="1:14" ht="15.95" customHeight="1" x14ac:dyDescent="0.25">
      <c r="A35" s="13">
        <v>28</v>
      </c>
      <c r="B35" s="9" t="s">
        <v>188</v>
      </c>
      <c r="C35" s="10" t="s">
        <v>2820</v>
      </c>
      <c r="D35" s="11" t="s">
        <v>45</v>
      </c>
      <c r="E35" s="27">
        <v>11</v>
      </c>
      <c r="F35" s="27">
        <v>3</v>
      </c>
      <c r="G35" s="27">
        <v>5</v>
      </c>
      <c r="H35" s="28">
        <f t="shared" si="3"/>
        <v>183</v>
      </c>
      <c r="I35" s="29">
        <f t="shared" si="0"/>
        <v>61</v>
      </c>
      <c r="J35" s="27">
        <f t="shared" si="1"/>
        <v>25</v>
      </c>
      <c r="K35" s="27" t="str">
        <f t="shared" si="4"/>
        <v>TUNTAS</v>
      </c>
      <c r="L35" s="13" t="str">
        <f t="shared" si="5"/>
        <v xml:space="preserve"> </v>
      </c>
      <c r="M35" s="1"/>
      <c r="N35" s="2">
        <f t="shared" si="6"/>
        <v>6.1</v>
      </c>
    </row>
    <row r="36" spans="1:14" ht="15.95" customHeight="1" x14ac:dyDescent="0.25">
      <c r="A36" s="13">
        <v>29</v>
      </c>
      <c r="B36" s="9" t="s">
        <v>190</v>
      </c>
      <c r="C36" s="10" t="s">
        <v>2821</v>
      </c>
      <c r="D36" s="11" t="s">
        <v>85</v>
      </c>
      <c r="E36" s="27">
        <v>8</v>
      </c>
      <c r="F36" s="27">
        <v>0</v>
      </c>
      <c r="G36" s="27">
        <v>2</v>
      </c>
      <c r="H36" s="28">
        <f t="shared" si="3"/>
        <v>246</v>
      </c>
      <c r="I36" s="29">
        <f t="shared" si="0"/>
        <v>82</v>
      </c>
      <c r="J36" s="27">
        <f t="shared" si="1"/>
        <v>10</v>
      </c>
      <c r="K36" s="27" t="str">
        <f t="shared" si="4"/>
        <v>TUNTAS</v>
      </c>
      <c r="L36" s="13" t="str">
        <f t="shared" si="5"/>
        <v xml:space="preserve"> </v>
      </c>
      <c r="M36" s="1"/>
      <c r="N36" s="2">
        <f t="shared" si="6"/>
        <v>8.1999999999999993</v>
      </c>
    </row>
    <row r="37" spans="1:14" ht="15.95" customHeight="1" x14ac:dyDescent="0.25">
      <c r="A37" s="13">
        <v>30</v>
      </c>
      <c r="B37" s="9" t="s">
        <v>191</v>
      </c>
      <c r="C37" s="10" t="s">
        <v>2822</v>
      </c>
      <c r="D37" s="11" t="s">
        <v>108</v>
      </c>
      <c r="E37" s="27">
        <v>25</v>
      </c>
      <c r="F37" s="27">
        <v>25</v>
      </c>
      <c r="G37" s="27">
        <v>5</v>
      </c>
      <c r="H37" s="28">
        <f t="shared" si="3"/>
        <v>75</v>
      </c>
      <c r="I37" s="29">
        <f t="shared" si="0"/>
        <v>25</v>
      </c>
      <c r="J37" s="27">
        <f t="shared" si="1"/>
        <v>46</v>
      </c>
      <c r="K37" s="27" t="str">
        <f t="shared" si="4"/>
        <v>TIDAK TUNTAS</v>
      </c>
      <c r="L37" s="13" t="str">
        <f t="shared" si="5"/>
        <v xml:space="preserve"> </v>
      </c>
      <c r="M37" s="1"/>
      <c r="N37" s="2">
        <f t="shared" si="6"/>
        <v>2.5</v>
      </c>
    </row>
    <row r="38" spans="1:14" ht="15.95" customHeight="1" x14ac:dyDescent="0.25">
      <c r="A38" s="13">
        <v>31</v>
      </c>
      <c r="B38" s="9" t="s">
        <v>193</v>
      </c>
      <c r="C38" s="10" t="s">
        <v>2823</v>
      </c>
      <c r="D38" s="11" t="s">
        <v>53</v>
      </c>
      <c r="E38" s="27">
        <v>4</v>
      </c>
      <c r="F38" s="27">
        <v>1</v>
      </c>
      <c r="G38" s="27">
        <v>1</v>
      </c>
      <c r="H38" s="28">
        <f t="shared" si="3"/>
        <v>270</v>
      </c>
      <c r="I38" s="29">
        <f t="shared" si="0"/>
        <v>90</v>
      </c>
      <c r="J38" s="27">
        <f t="shared" si="1"/>
        <v>6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9</v>
      </c>
    </row>
    <row r="39" spans="1:14" ht="15.95" customHeight="1" x14ac:dyDescent="0.25">
      <c r="A39" s="13">
        <v>32</v>
      </c>
      <c r="B39" s="9" t="s">
        <v>195</v>
      </c>
      <c r="C39" s="10" t="s">
        <v>2824</v>
      </c>
      <c r="D39" s="11" t="s">
        <v>53</v>
      </c>
      <c r="E39" s="27">
        <v>10</v>
      </c>
      <c r="F39" s="27">
        <v>12</v>
      </c>
      <c r="G39" s="27">
        <v>6</v>
      </c>
      <c r="H39" s="28">
        <f t="shared" si="3"/>
        <v>144</v>
      </c>
      <c r="I39" s="29">
        <f t="shared" si="0"/>
        <v>48</v>
      </c>
      <c r="J39" s="27">
        <f t="shared" si="1"/>
        <v>36</v>
      </c>
      <c r="K39" s="27" t="str">
        <f t="shared" si="4"/>
        <v>TIDAK TUNTAS</v>
      </c>
      <c r="L39" s="13" t="str">
        <f t="shared" si="5"/>
        <v>TM</v>
      </c>
      <c r="M39" s="1"/>
      <c r="N39" s="2">
        <f t="shared" si="6"/>
        <v>4.8</v>
      </c>
    </row>
    <row r="40" spans="1:14" ht="15.95" customHeight="1" x14ac:dyDescent="0.25">
      <c r="A40" s="13">
        <v>33</v>
      </c>
      <c r="B40" s="9" t="s">
        <v>197</v>
      </c>
      <c r="C40" s="10" t="s">
        <v>2825</v>
      </c>
      <c r="D40" s="11" t="s">
        <v>54</v>
      </c>
      <c r="E40" s="27">
        <v>10</v>
      </c>
      <c r="F40" s="27">
        <v>1</v>
      </c>
      <c r="G40" s="27">
        <v>2</v>
      </c>
      <c r="H40" s="28">
        <f t="shared" si="3"/>
        <v>237</v>
      </c>
      <c r="I40" s="29">
        <f t="shared" si="0"/>
        <v>79</v>
      </c>
      <c r="J40" s="27">
        <f t="shared" si="1"/>
        <v>14</v>
      </c>
      <c r="K40" s="27" t="str">
        <f t="shared" si="4"/>
        <v>TUNTAS</v>
      </c>
      <c r="L40" s="13" t="str">
        <f t="shared" si="5"/>
        <v xml:space="preserve"> </v>
      </c>
      <c r="M40" s="1"/>
      <c r="N40" s="2">
        <f t="shared" si="6"/>
        <v>7.9</v>
      </c>
    </row>
    <row r="41" spans="1:14" ht="15.95" customHeight="1" x14ac:dyDescent="0.25">
      <c r="A41" s="13">
        <v>34</v>
      </c>
      <c r="B41" s="9" t="s">
        <v>199</v>
      </c>
      <c r="C41" s="10" t="s">
        <v>2826</v>
      </c>
      <c r="D41" s="11" t="s">
        <v>55</v>
      </c>
      <c r="E41" s="27">
        <v>15</v>
      </c>
      <c r="F41" s="27">
        <v>3</v>
      </c>
      <c r="G41" s="27">
        <v>4</v>
      </c>
      <c r="H41" s="28">
        <f t="shared" si="3"/>
        <v>186</v>
      </c>
      <c r="I41" s="29">
        <f t="shared" si="0"/>
        <v>62</v>
      </c>
      <c r="J41" s="27">
        <f t="shared" si="1"/>
        <v>24</v>
      </c>
      <c r="K41" s="27" t="str">
        <f t="shared" si="4"/>
        <v>TUNTAS</v>
      </c>
      <c r="L41" s="13" t="str">
        <f t="shared" si="5"/>
        <v xml:space="preserve"> </v>
      </c>
      <c r="M41" s="1"/>
      <c r="N41" s="2">
        <f t="shared" si="6"/>
        <v>6.2</v>
      </c>
    </row>
    <row r="42" spans="1:14" ht="15.95" customHeight="1" x14ac:dyDescent="0.25">
      <c r="A42" s="13">
        <v>35</v>
      </c>
      <c r="B42" s="9" t="s">
        <v>202</v>
      </c>
      <c r="C42" s="10" t="s">
        <v>2827</v>
      </c>
      <c r="D42" s="11" t="s">
        <v>56</v>
      </c>
      <c r="E42" s="27">
        <v>15</v>
      </c>
      <c r="F42" s="27">
        <v>3</v>
      </c>
      <c r="G42" s="27">
        <v>2</v>
      </c>
      <c r="H42" s="28">
        <f t="shared" si="3"/>
        <v>216</v>
      </c>
      <c r="I42" s="29">
        <f t="shared" si="0"/>
        <v>72</v>
      </c>
      <c r="J42" s="27">
        <f t="shared" si="1"/>
        <v>16</v>
      </c>
      <c r="K42" s="27" t="str">
        <f t="shared" si="4"/>
        <v>TUNTAS</v>
      </c>
      <c r="L42" s="13" t="str">
        <f t="shared" si="5"/>
        <v xml:space="preserve"> </v>
      </c>
      <c r="M42" s="1"/>
      <c r="N42" s="2">
        <f t="shared" si="6"/>
        <v>7.2</v>
      </c>
    </row>
    <row r="43" spans="1:14" ht="15.95" customHeight="1" x14ac:dyDescent="0.25">
      <c r="A43" s="13">
        <v>36</v>
      </c>
      <c r="B43" s="9" t="s">
        <v>204</v>
      </c>
      <c r="C43" s="10" t="s">
        <v>2828</v>
      </c>
      <c r="D43" s="11" t="s">
        <v>139</v>
      </c>
      <c r="E43" s="27">
        <v>10</v>
      </c>
      <c r="F43" s="27">
        <v>8</v>
      </c>
      <c r="G43" s="27">
        <v>2</v>
      </c>
      <c r="H43" s="28">
        <f t="shared" si="3"/>
        <v>216</v>
      </c>
      <c r="I43" s="29">
        <f t="shared" si="0"/>
        <v>72</v>
      </c>
      <c r="J43" s="27">
        <f t="shared" si="1"/>
        <v>16</v>
      </c>
      <c r="K43" s="27" t="str">
        <f t="shared" si="4"/>
        <v>TUNTAS</v>
      </c>
      <c r="L43" s="13" t="str">
        <f t="shared" si="5"/>
        <v xml:space="preserve"> </v>
      </c>
      <c r="M43" s="1"/>
      <c r="N43" s="2">
        <f t="shared" si="6"/>
        <v>7.2</v>
      </c>
    </row>
    <row r="44" spans="1:14" ht="15.95" customHeight="1" x14ac:dyDescent="0.25">
      <c r="A44" s="13">
        <v>37</v>
      </c>
      <c r="B44" s="9" t="s">
        <v>205</v>
      </c>
      <c r="C44" s="10" t="s">
        <v>2829</v>
      </c>
      <c r="D44" s="11" t="s">
        <v>60</v>
      </c>
      <c r="E44" s="27">
        <v>15</v>
      </c>
      <c r="F44" s="27">
        <v>10</v>
      </c>
      <c r="G44" s="27">
        <v>6</v>
      </c>
      <c r="H44" s="28">
        <f t="shared" si="3"/>
        <v>135</v>
      </c>
      <c r="I44" s="29">
        <f t="shared" si="0"/>
        <v>45</v>
      </c>
      <c r="J44" s="27">
        <f t="shared" si="1"/>
        <v>39</v>
      </c>
      <c r="K44" s="27" t="str">
        <f t="shared" si="4"/>
        <v>TIDAK TUNTAS</v>
      </c>
      <c r="L44" s="13" t="str">
        <f t="shared" si="5"/>
        <v>TM</v>
      </c>
      <c r="M44" s="1"/>
      <c r="N44" s="2">
        <f t="shared" si="6"/>
        <v>4.5</v>
      </c>
    </row>
    <row r="45" spans="1:14" ht="15.95" customHeight="1" x14ac:dyDescent="0.25">
      <c r="A45" s="13">
        <v>38</v>
      </c>
      <c r="B45" s="9" t="s">
        <v>206</v>
      </c>
      <c r="C45" s="10" t="s">
        <v>515</v>
      </c>
      <c r="D45" s="11" t="s">
        <v>97</v>
      </c>
      <c r="E45" s="27">
        <v>25</v>
      </c>
      <c r="F45" s="27">
        <v>25</v>
      </c>
      <c r="G45" s="27">
        <v>6</v>
      </c>
      <c r="H45" s="28">
        <f t="shared" si="3"/>
        <v>60</v>
      </c>
      <c r="I45" s="29">
        <f t="shared" si="0"/>
        <v>20</v>
      </c>
      <c r="J45" s="27">
        <f t="shared" si="1"/>
        <v>47</v>
      </c>
      <c r="K45" s="27" t="str">
        <f t="shared" si="4"/>
        <v>TIDAK TUNTAS</v>
      </c>
      <c r="L45" s="13" t="str">
        <f t="shared" si="5"/>
        <v>TM</v>
      </c>
      <c r="M45" s="1"/>
      <c r="N45" s="2">
        <f t="shared" si="6"/>
        <v>2</v>
      </c>
    </row>
    <row r="46" spans="1:14" ht="15.95" customHeight="1" x14ac:dyDescent="0.25">
      <c r="A46" s="13">
        <v>39</v>
      </c>
      <c r="B46" s="9" t="s">
        <v>208</v>
      </c>
      <c r="C46" s="10" t="s">
        <v>2830</v>
      </c>
      <c r="D46" s="11" t="s">
        <v>61</v>
      </c>
      <c r="E46" s="27">
        <v>32</v>
      </c>
      <c r="F46" s="27">
        <v>32</v>
      </c>
      <c r="G46" s="27">
        <v>5</v>
      </c>
      <c r="H46" s="28">
        <f t="shared" si="3"/>
        <v>33</v>
      </c>
      <c r="I46" s="29">
        <f t="shared" si="0"/>
        <v>11</v>
      </c>
      <c r="J46" s="27">
        <f t="shared" si="1"/>
        <v>48</v>
      </c>
      <c r="K46" s="27" t="str">
        <f t="shared" si="4"/>
        <v>TIDAK HADIR</v>
      </c>
      <c r="L46" s="13" t="str">
        <f t="shared" si="5"/>
        <v xml:space="preserve"> </v>
      </c>
      <c r="M46" s="1"/>
      <c r="N46" s="2">
        <f t="shared" si="6"/>
        <v>1.1000000000000001</v>
      </c>
    </row>
    <row r="47" spans="1:14" ht="15.95" customHeight="1" x14ac:dyDescent="0.25">
      <c r="A47" s="13">
        <v>40</v>
      </c>
      <c r="B47" s="9" t="s">
        <v>210</v>
      </c>
      <c r="C47" s="10" t="s">
        <v>2831</v>
      </c>
      <c r="D47" s="11" t="s">
        <v>86</v>
      </c>
      <c r="E47" s="27">
        <v>14</v>
      </c>
      <c r="F47" s="27">
        <v>6</v>
      </c>
      <c r="G47" s="27">
        <v>4</v>
      </c>
      <c r="H47" s="28">
        <f t="shared" si="3"/>
        <v>180</v>
      </c>
      <c r="I47" s="29">
        <f t="shared" si="0"/>
        <v>60</v>
      </c>
      <c r="J47" s="27">
        <f t="shared" si="1"/>
        <v>27</v>
      </c>
      <c r="K47" s="27" t="str">
        <f t="shared" si="4"/>
        <v>TUNTAS</v>
      </c>
      <c r="L47" s="13" t="str">
        <f t="shared" si="5"/>
        <v xml:space="preserve"> </v>
      </c>
      <c r="M47" s="1"/>
      <c r="N47" s="2">
        <f t="shared" si="6"/>
        <v>6</v>
      </c>
    </row>
    <row r="48" spans="1:14" ht="15.95" customHeight="1" x14ac:dyDescent="0.25">
      <c r="A48" s="13">
        <v>41</v>
      </c>
      <c r="B48" s="9" t="s">
        <v>212</v>
      </c>
      <c r="C48" s="10" t="s">
        <v>2832</v>
      </c>
      <c r="D48" s="11" t="s">
        <v>63</v>
      </c>
      <c r="E48" s="27">
        <v>25</v>
      </c>
      <c r="F48" s="27">
        <v>9</v>
      </c>
      <c r="G48" s="27">
        <v>5</v>
      </c>
      <c r="H48" s="28">
        <f t="shared" si="3"/>
        <v>123</v>
      </c>
      <c r="I48" s="29">
        <f t="shared" si="0"/>
        <v>41</v>
      </c>
      <c r="J48" s="27">
        <f t="shared" si="1"/>
        <v>45</v>
      </c>
      <c r="K48" s="27" t="str">
        <f t="shared" si="4"/>
        <v>TIDAK TUNTAS</v>
      </c>
      <c r="L48" s="13" t="str">
        <f t="shared" si="5"/>
        <v xml:space="preserve"> </v>
      </c>
      <c r="M48" s="1"/>
      <c r="N48" s="2">
        <f t="shared" si="6"/>
        <v>4.0999999999999996</v>
      </c>
    </row>
    <row r="49" spans="1:14" ht="15.95" customHeight="1" x14ac:dyDescent="0.25">
      <c r="A49" s="13">
        <v>42</v>
      </c>
      <c r="B49" s="9" t="s">
        <v>214</v>
      </c>
      <c r="C49" s="10" t="s">
        <v>2833</v>
      </c>
      <c r="D49" s="11" t="s">
        <v>64</v>
      </c>
      <c r="E49" s="27">
        <v>19</v>
      </c>
      <c r="F49" s="27">
        <v>9</v>
      </c>
      <c r="G49" s="27">
        <v>6</v>
      </c>
      <c r="H49" s="28">
        <f t="shared" si="3"/>
        <v>126</v>
      </c>
      <c r="I49" s="29">
        <f t="shared" si="0"/>
        <v>42</v>
      </c>
      <c r="J49" s="27">
        <f t="shared" si="1"/>
        <v>43</v>
      </c>
      <c r="K49" s="27" t="str">
        <f t="shared" si="4"/>
        <v>TIDAK TUNTAS</v>
      </c>
      <c r="L49" s="13" t="str">
        <f t="shared" si="5"/>
        <v>TM</v>
      </c>
      <c r="M49" s="1"/>
      <c r="N49" s="2">
        <f t="shared" si="6"/>
        <v>4.2</v>
      </c>
    </row>
    <row r="50" spans="1:14" ht="15.95" customHeight="1" x14ac:dyDescent="0.25">
      <c r="A50" s="13">
        <v>43</v>
      </c>
      <c r="B50" s="9" t="s">
        <v>216</v>
      </c>
      <c r="C50" s="10" t="s">
        <v>2834</v>
      </c>
      <c r="D50" s="11" t="s">
        <v>65</v>
      </c>
      <c r="E50" s="27">
        <v>5</v>
      </c>
      <c r="F50" s="27">
        <v>3</v>
      </c>
      <c r="G50" s="27">
        <v>2</v>
      </c>
      <c r="H50" s="28">
        <f t="shared" si="3"/>
        <v>246</v>
      </c>
      <c r="I50" s="29">
        <f t="shared" si="0"/>
        <v>82</v>
      </c>
      <c r="J50" s="27">
        <f t="shared" si="1"/>
        <v>10</v>
      </c>
      <c r="K50" s="27" t="str">
        <f t="shared" si="4"/>
        <v>TUNTAS</v>
      </c>
      <c r="L50" s="13" t="str">
        <f t="shared" si="5"/>
        <v xml:space="preserve"> </v>
      </c>
      <c r="M50" s="1"/>
      <c r="N50" s="2">
        <f t="shared" si="6"/>
        <v>8.1999999999999993</v>
      </c>
    </row>
    <row r="51" spans="1:14" ht="15.95" customHeight="1" x14ac:dyDescent="0.25">
      <c r="A51" s="13">
        <v>44</v>
      </c>
      <c r="B51" s="9" t="s">
        <v>218</v>
      </c>
      <c r="C51" s="10" t="s">
        <v>2835</v>
      </c>
      <c r="D51" s="11" t="s">
        <v>66</v>
      </c>
      <c r="E51" s="27">
        <v>32</v>
      </c>
      <c r="F51" s="27">
        <v>32</v>
      </c>
      <c r="G51" s="27">
        <v>5</v>
      </c>
      <c r="H51" s="28">
        <f t="shared" si="3"/>
        <v>33</v>
      </c>
      <c r="I51" s="29">
        <f t="shared" si="0"/>
        <v>11</v>
      </c>
      <c r="J51" s="27">
        <f t="shared" si="1"/>
        <v>48</v>
      </c>
      <c r="K51" s="27" t="str">
        <f t="shared" si="4"/>
        <v>TIDAK HADIR</v>
      </c>
      <c r="L51" s="13" t="str">
        <f t="shared" si="5"/>
        <v xml:space="preserve"> </v>
      </c>
      <c r="M51" s="1"/>
      <c r="N51" s="2">
        <f t="shared" si="6"/>
        <v>1.1000000000000001</v>
      </c>
    </row>
    <row r="52" spans="1:14" ht="15.95" customHeight="1" x14ac:dyDescent="0.25">
      <c r="A52" s="13">
        <v>45</v>
      </c>
      <c r="B52" s="9" t="s">
        <v>219</v>
      </c>
      <c r="C52" s="10" t="s">
        <v>2836</v>
      </c>
      <c r="D52" s="11" t="s">
        <v>67</v>
      </c>
      <c r="E52" s="27">
        <v>32</v>
      </c>
      <c r="F52" s="27">
        <v>32</v>
      </c>
      <c r="G52" s="27">
        <v>5</v>
      </c>
      <c r="H52" s="28">
        <f t="shared" si="3"/>
        <v>33</v>
      </c>
      <c r="I52" s="29">
        <f t="shared" si="0"/>
        <v>11</v>
      </c>
      <c r="J52" s="27">
        <f t="shared" si="1"/>
        <v>48</v>
      </c>
      <c r="K52" s="27" t="str">
        <f t="shared" si="4"/>
        <v>TIDAK HADIR</v>
      </c>
      <c r="L52" s="13" t="str">
        <f t="shared" si="5"/>
        <v xml:space="preserve"> </v>
      </c>
      <c r="M52" s="1"/>
      <c r="N52" s="2">
        <f t="shared" si="6"/>
        <v>1.1000000000000001</v>
      </c>
    </row>
    <row r="53" spans="1:14" ht="15.95" customHeight="1" x14ac:dyDescent="0.25">
      <c r="A53" s="13">
        <v>46</v>
      </c>
      <c r="B53" s="9" t="s">
        <v>221</v>
      </c>
      <c r="C53" s="10" t="s">
        <v>2837</v>
      </c>
      <c r="D53" s="11" t="s">
        <v>68</v>
      </c>
      <c r="E53" s="27">
        <v>17</v>
      </c>
      <c r="F53" s="27">
        <v>15</v>
      </c>
      <c r="G53" s="27">
        <v>5</v>
      </c>
      <c r="H53" s="28">
        <f t="shared" si="3"/>
        <v>129</v>
      </c>
      <c r="I53" s="29">
        <f t="shared" si="0"/>
        <v>43</v>
      </c>
      <c r="J53" s="27">
        <f t="shared" si="1"/>
        <v>42</v>
      </c>
      <c r="K53" s="27" t="str">
        <f t="shared" si="4"/>
        <v>TIDAK TUNTAS</v>
      </c>
      <c r="L53" s="13" t="str">
        <f t="shared" si="5"/>
        <v xml:space="preserve"> </v>
      </c>
      <c r="M53" s="1"/>
      <c r="N53" s="2">
        <f t="shared" si="6"/>
        <v>4.3</v>
      </c>
    </row>
    <row r="54" spans="1:14" x14ac:dyDescent="0.25">
      <c r="A54" s="13">
        <v>47</v>
      </c>
      <c r="B54" s="9" t="s">
        <v>223</v>
      </c>
      <c r="C54" s="10" t="s">
        <v>235</v>
      </c>
      <c r="D54" s="11" t="s">
        <v>121</v>
      </c>
      <c r="E54" s="27">
        <v>16</v>
      </c>
      <c r="F54" s="27">
        <v>13</v>
      </c>
      <c r="G54" s="27">
        <v>5</v>
      </c>
      <c r="H54" s="28">
        <f t="shared" si="3"/>
        <v>138</v>
      </c>
      <c r="I54" s="29">
        <f t="shared" si="0"/>
        <v>46</v>
      </c>
      <c r="J54" s="27">
        <f t="shared" si="1"/>
        <v>37</v>
      </c>
      <c r="K54" s="27" t="str">
        <f t="shared" si="4"/>
        <v>TIDAK TUNTAS</v>
      </c>
      <c r="L54" s="13" t="str">
        <f t="shared" si="5"/>
        <v xml:space="preserve"> </v>
      </c>
      <c r="M54" s="1"/>
      <c r="N54" s="2">
        <f t="shared" si="6"/>
        <v>4.5999999999999996</v>
      </c>
    </row>
    <row r="55" spans="1:14" x14ac:dyDescent="0.25">
      <c r="A55" s="13">
        <v>48</v>
      </c>
      <c r="B55" s="9" t="s">
        <v>224</v>
      </c>
      <c r="C55" s="10" t="s">
        <v>2838</v>
      </c>
      <c r="D55" s="11" t="s">
        <v>69</v>
      </c>
      <c r="E55" s="27">
        <v>5</v>
      </c>
      <c r="F55" s="27">
        <v>5</v>
      </c>
      <c r="G55" s="27">
        <v>2</v>
      </c>
      <c r="H55" s="28">
        <f t="shared" si="3"/>
        <v>240</v>
      </c>
      <c r="I55" s="29">
        <f t="shared" si="0"/>
        <v>80</v>
      </c>
      <c r="J55" s="27">
        <f t="shared" si="1"/>
        <v>13</v>
      </c>
      <c r="K55" s="27" t="str">
        <f t="shared" si="4"/>
        <v>TUNTAS</v>
      </c>
      <c r="L55" s="13" t="str">
        <f t="shared" si="5"/>
        <v xml:space="preserve"> </v>
      </c>
      <c r="M55" s="1"/>
      <c r="N55" s="2">
        <f>I55/10</f>
        <v>8</v>
      </c>
    </row>
    <row r="56" spans="1:14" x14ac:dyDescent="0.25">
      <c r="A56" s="13">
        <v>49</v>
      </c>
      <c r="B56" s="9" t="s">
        <v>226</v>
      </c>
      <c r="C56" s="10" t="s">
        <v>2839</v>
      </c>
      <c r="D56" s="11" t="s">
        <v>131</v>
      </c>
      <c r="E56" s="27">
        <v>1</v>
      </c>
      <c r="F56" s="27">
        <v>1</v>
      </c>
      <c r="G56" s="27">
        <v>1</v>
      </c>
      <c r="H56" s="28">
        <f t="shared" si="3"/>
        <v>279</v>
      </c>
      <c r="I56" s="29">
        <f t="shared" si="0"/>
        <v>93</v>
      </c>
      <c r="J56" s="27">
        <f t="shared" si="1"/>
        <v>5</v>
      </c>
      <c r="K56" s="27" t="str">
        <f t="shared" si="4"/>
        <v>TUNTAS</v>
      </c>
      <c r="L56" s="13" t="str">
        <f t="shared" si="5"/>
        <v xml:space="preserve"> </v>
      </c>
      <c r="M56" s="1"/>
      <c r="N56" s="2">
        <f t="shared" si="6"/>
        <v>9.3000000000000007</v>
      </c>
    </row>
    <row r="57" spans="1:14" x14ac:dyDescent="0.25">
      <c r="A57" s="13">
        <v>50</v>
      </c>
      <c r="B57" s="9" t="s">
        <v>228</v>
      </c>
      <c r="C57" s="10" t="s">
        <v>2840</v>
      </c>
      <c r="D57" s="11" t="s">
        <v>72</v>
      </c>
      <c r="E57" s="27">
        <v>12</v>
      </c>
      <c r="F57" s="27">
        <v>7</v>
      </c>
      <c r="G57" s="27">
        <v>4</v>
      </c>
      <c r="H57" s="28">
        <f t="shared" si="3"/>
        <v>183</v>
      </c>
      <c r="I57" s="29">
        <f t="shared" si="0"/>
        <v>61</v>
      </c>
      <c r="J57" s="27">
        <f t="shared" si="1"/>
        <v>25</v>
      </c>
      <c r="K57" s="27" t="str">
        <f t="shared" si="4"/>
        <v>TUNTAS</v>
      </c>
      <c r="L57" s="13" t="str">
        <f t="shared" si="5"/>
        <v xml:space="preserve"> </v>
      </c>
      <c r="M57" s="1"/>
      <c r="N57" s="2">
        <f t="shared" si="6"/>
        <v>6.1</v>
      </c>
    </row>
    <row r="58" spans="1:14" x14ac:dyDescent="0.25">
      <c r="A58" s="13">
        <v>51</v>
      </c>
      <c r="B58" s="9" t="s">
        <v>230</v>
      </c>
      <c r="C58" s="10" t="s">
        <v>2841</v>
      </c>
      <c r="D58" s="11" t="s">
        <v>89</v>
      </c>
      <c r="E58" s="27">
        <v>1</v>
      </c>
      <c r="F58" s="27">
        <v>0</v>
      </c>
      <c r="G58" s="27">
        <v>0</v>
      </c>
      <c r="H58" s="28">
        <f t="shared" si="3"/>
        <v>297</v>
      </c>
      <c r="I58" s="29">
        <f t="shared" si="0"/>
        <v>99</v>
      </c>
      <c r="J58" s="27">
        <f t="shared" si="1"/>
        <v>2</v>
      </c>
      <c r="K58" s="27" t="str">
        <f t="shared" si="4"/>
        <v>TUNTAS</v>
      </c>
      <c r="L58" s="13" t="str">
        <f t="shared" si="5"/>
        <v xml:space="preserve"> </v>
      </c>
      <c r="M58" s="1"/>
      <c r="N58" s="2">
        <f t="shared" si="6"/>
        <v>9.9</v>
      </c>
    </row>
    <row r="59" spans="1:14" x14ac:dyDescent="0.25">
      <c r="L59" s="2"/>
    </row>
    <row r="60" spans="1:14" x14ac:dyDescent="0.25">
      <c r="L60" s="2"/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conditionalFormatting sqref="D8:D10">
    <cfRule type="cellIs" dxfId="179" priority="9" operator="equal">
      <formula>0</formula>
    </cfRule>
  </conditionalFormatting>
  <conditionalFormatting sqref="I8:I58">
    <cfRule type="cellIs" dxfId="178" priority="3" operator="lessThan">
      <formula>60</formula>
    </cfRule>
    <cfRule type="cellIs" dxfId="177" priority="4" operator="lessThan">
      <formula>60</formula>
    </cfRule>
    <cfRule type="cellIs" dxfId="176" priority="5" operator="lessThan">
      <formula>50</formula>
    </cfRule>
  </conditionalFormatting>
  <conditionalFormatting sqref="K8:K58">
    <cfRule type="cellIs" dxfId="175" priority="1" operator="equal">
      <formula>"TIDAK BACA"</formula>
    </cfRule>
    <cfRule type="cellIs" dxfId="174" priority="2" operator="equal">
      <formula>"TIDAK TUNTAS"</formula>
    </cfRule>
    <cfRule type="cellIs" dxfId="173" priority="6" operator="equal">
      <formula>"TUNTAS"</formula>
    </cfRule>
    <cfRule type="cellIs" dxfId="172" priority="7" operator="equal">
      <formula>"TIDAK HADIR"</formula>
    </cfRule>
    <cfRule type="cellIs" dxfId="171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9E03F433-B07F-46F1-8E9E-F314E29C5D2A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D068A-5FE4-4572-ACB3-79B61C0ECC06}">
  <sheetPr>
    <tabColor theme="6" tint="0.39997558519241921"/>
  </sheetPr>
  <dimension ref="A1:N61"/>
  <sheetViews>
    <sheetView zoomScaleNormal="100" workbookViewId="0">
      <pane xSplit="1" ySplit="7" topLeftCell="B35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N8" sqref="N8:N61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3290</v>
      </c>
      <c r="B4" s="51"/>
      <c r="C4" s="51"/>
      <c r="D4" s="51"/>
      <c r="E4" s="51"/>
      <c r="F4" s="51"/>
      <c r="G4" s="51"/>
      <c r="H4" s="51"/>
      <c r="I4" s="51"/>
      <c r="K4" s="33" t="s">
        <v>3278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232</v>
      </c>
      <c r="C8" s="10" t="s">
        <v>2842</v>
      </c>
      <c r="D8" s="11" t="s">
        <v>100</v>
      </c>
      <c r="E8" s="27">
        <v>1</v>
      </c>
      <c r="F8" s="27">
        <v>11</v>
      </c>
      <c r="G8" s="27">
        <v>0</v>
      </c>
      <c r="H8" s="28">
        <f>100-E8*3+100-F8*3+100-G8*15</f>
        <v>264</v>
      </c>
      <c r="I8" s="29">
        <f t="shared" ref="I8:I61" si="0">H8/3</f>
        <v>88</v>
      </c>
      <c r="J8" s="27">
        <f t="shared" ref="J8:J61" si="1">RANK(H8,$H$8:$H$97)</f>
        <v>13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8.8000000000000007</v>
      </c>
    </row>
    <row r="9" spans="1:14" ht="15.95" customHeight="1" x14ac:dyDescent="0.25">
      <c r="A9" s="13">
        <v>2</v>
      </c>
      <c r="B9" s="9" t="s">
        <v>234</v>
      </c>
      <c r="C9" s="10" t="s">
        <v>2843</v>
      </c>
      <c r="D9" s="11" t="s">
        <v>15</v>
      </c>
      <c r="E9" s="27">
        <v>8</v>
      </c>
      <c r="F9" s="27">
        <v>7</v>
      </c>
      <c r="G9" s="27">
        <v>2</v>
      </c>
      <c r="H9" s="28">
        <f t="shared" ref="H9:H61" si="3">100-E9*3+100-F9*3+100-G9*15</f>
        <v>225</v>
      </c>
      <c r="I9" s="29">
        <f t="shared" si="0"/>
        <v>75</v>
      </c>
      <c r="J9" s="27">
        <f t="shared" si="1"/>
        <v>25</v>
      </c>
      <c r="K9" s="27" t="str">
        <f t="shared" ref="K9:K61" si="4">IF(I9&lt;11.1,"TIDAK HADIR",IF(I9&lt;13.1,"TIDAK BACA",IF(I9&lt;$K$7,"TIDAK TUNTAS","TUNTAS")))</f>
        <v>TUNTAS</v>
      </c>
      <c r="L9" s="13" t="str">
        <f t="shared" ref="L9:L61" si="5">IF(G9&gt;5,"TM", " ")</f>
        <v xml:space="preserve"> </v>
      </c>
      <c r="M9" s="1"/>
      <c r="N9" s="2">
        <f t="shared" si="2"/>
        <v>7.5</v>
      </c>
    </row>
    <row r="10" spans="1:14" ht="15.95" customHeight="1" x14ac:dyDescent="0.25">
      <c r="A10" s="13">
        <v>3</v>
      </c>
      <c r="B10" s="9" t="s">
        <v>236</v>
      </c>
      <c r="C10" s="10" t="s">
        <v>2763</v>
      </c>
      <c r="D10" s="11" t="s">
        <v>17</v>
      </c>
      <c r="E10" s="27">
        <v>4</v>
      </c>
      <c r="F10" s="27">
        <v>0</v>
      </c>
      <c r="G10" s="27">
        <v>0</v>
      </c>
      <c r="H10" s="28">
        <f t="shared" si="3"/>
        <v>288</v>
      </c>
      <c r="I10" s="29">
        <f>H10/3</f>
        <v>96</v>
      </c>
      <c r="J10" s="27">
        <f t="shared" si="1"/>
        <v>6</v>
      </c>
      <c r="K10" s="27" t="str">
        <f t="shared" si="4"/>
        <v>TUNTAS</v>
      </c>
      <c r="L10" s="13" t="str">
        <f t="shared" si="5"/>
        <v xml:space="preserve"> </v>
      </c>
      <c r="M10" s="1"/>
      <c r="N10" s="2">
        <f t="shared" si="2"/>
        <v>9.6</v>
      </c>
    </row>
    <row r="11" spans="1:14" ht="15.95" customHeight="1" x14ac:dyDescent="0.25">
      <c r="A11" s="13">
        <v>4</v>
      </c>
      <c r="B11" s="9" t="s">
        <v>238</v>
      </c>
      <c r="C11" s="10" t="s">
        <v>2844</v>
      </c>
      <c r="D11" s="11" t="s">
        <v>17</v>
      </c>
      <c r="E11" s="27">
        <v>6</v>
      </c>
      <c r="F11" s="27">
        <v>3</v>
      </c>
      <c r="G11" s="27">
        <v>3</v>
      </c>
      <c r="H11" s="28">
        <f t="shared" si="3"/>
        <v>228</v>
      </c>
      <c r="I11" s="29">
        <f t="shared" si="0"/>
        <v>76</v>
      </c>
      <c r="J11" s="27">
        <f t="shared" si="1"/>
        <v>22</v>
      </c>
      <c r="K11" s="27" t="str">
        <f t="shared" si="4"/>
        <v>TUNTAS</v>
      </c>
      <c r="L11" s="13" t="str">
        <f t="shared" si="5"/>
        <v xml:space="preserve"> </v>
      </c>
      <c r="M11" s="1"/>
      <c r="N11" s="2">
        <f t="shared" si="2"/>
        <v>7.6</v>
      </c>
    </row>
    <row r="12" spans="1:14" ht="15.95" customHeight="1" x14ac:dyDescent="0.25">
      <c r="A12" s="13">
        <v>5</v>
      </c>
      <c r="B12" s="9" t="s">
        <v>240</v>
      </c>
      <c r="C12" s="10" t="s">
        <v>2845</v>
      </c>
      <c r="D12" s="11" t="s">
        <v>18</v>
      </c>
      <c r="E12" s="27">
        <v>10</v>
      </c>
      <c r="F12" s="27">
        <v>5</v>
      </c>
      <c r="G12" s="27">
        <v>3</v>
      </c>
      <c r="H12" s="28">
        <f t="shared" si="3"/>
        <v>210</v>
      </c>
      <c r="I12" s="29">
        <f t="shared" si="0"/>
        <v>70</v>
      </c>
      <c r="J12" s="27">
        <f t="shared" si="1"/>
        <v>33</v>
      </c>
      <c r="K12" s="27" t="str">
        <f t="shared" si="4"/>
        <v>TUNTAS</v>
      </c>
      <c r="L12" s="13" t="str">
        <f t="shared" si="5"/>
        <v xml:space="preserve"> </v>
      </c>
      <c r="M12" s="1"/>
      <c r="N12" s="2">
        <f t="shared" si="2"/>
        <v>7</v>
      </c>
    </row>
    <row r="13" spans="1:14" ht="15.95" customHeight="1" x14ac:dyDescent="0.25">
      <c r="A13" s="13">
        <v>6</v>
      </c>
      <c r="B13" s="9" t="s">
        <v>242</v>
      </c>
      <c r="C13" s="10" t="s">
        <v>2846</v>
      </c>
      <c r="D13" s="11" t="s">
        <v>18</v>
      </c>
      <c r="E13" s="27">
        <v>9</v>
      </c>
      <c r="F13" s="27">
        <v>1</v>
      </c>
      <c r="G13" s="27">
        <v>3</v>
      </c>
      <c r="H13" s="28">
        <f t="shared" si="3"/>
        <v>225</v>
      </c>
      <c r="I13" s="29">
        <f t="shared" si="0"/>
        <v>75</v>
      </c>
      <c r="J13" s="27">
        <f t="shared" si="1"/>
        <v>25</v>
      </c>
      <c r="K13" s="27" t="str">
        <f t="shared" si="4"/>
        <v>TUNTAS</v>
      </c>
      <c r="L13" s="13" t="str">
        <f t="shared" si="5"/>
        <v xml:space="preserve"> </v>
      </c>
      <c r="M13" s="1"/>
      <c r="N13" s="2">
        <f t="shared" si="2"/>
        <v>7.5</v>
      </c>
    </row>
    <row r="14" spans="1:14" ht="15.95" customHeight="1" x14ac:dyDescent="0.25">
      <c r="A14" s="13">
        <v>7</v>
      </c>
      <c r="B14" s="9" t="s">
        <v>244</v>
      </c>
      <c r="C14" s="10" t="s">
        <v>2847</v>
      </c>
      <c r="D14" s="11" t="s">
        <v>22</v>
      </c>
      <c r="E14" s="27">
        <v>7</v>
      </c>
      <c r="F14" s="27">
        <v>2</v>
      </c>
      <c r="G14" s="27">
        <v>3</v>
      </c>
      <c r="H14" s="28">
        <f t="shared" si="3"/>
        <v>228</v>
      </c>
      <c r="I14" s="29">
        <f t="shared" si="0"/>
        <v>76</v>
      </c>
      <c r="J14" s="27">
        <f t="shared" si="1"/>
        <v>22</v>
      </c>
      <c r="K14" s="27" t="str">
        <f t="shared" si="4"/>
        <v>TUNTAS</v>
      </c>
      <c r="L14" s="13" t="str">
        <f t="shared" si="5"/>
        <v xml:space="preserve"> </v>
      </c>
      <c r="M14" s="1"/>
      <c r="N14" s="2">
        <f t="shared" si="2"/>
        <v>7.6</v>
      </c>
    </row>
    <row r="15" spans="1:14" ht="15.95" customHeight="1" x14ac:dyDescent="0.25">
      <c r="A15" s="13">
        <v>8</v>
      </c>
      <c r="B15" s="9" t="s">
        <v>245</v>
      </c>
      <c r="C15" s="17" t="s">
        <v>2848</v>
      </c>
      <c r="D15" s="18" t="s">
        <v>23</v>
      </c>
      <c r="E15" s="27">
        <v>7</v>
      </c>
      <c r="F15" s="27">
        <v>3</v>
      </c>
      <c r="G15" s="27">
        <v>4</v>
      </c>
      <c r="H15" s="28">
        <f t="shared" si="3"/>
        <v>210</v>
      </c>
      <c r="I15" s="29">
        <f t="shared" si="0"/>
        <v>70</v>
      </c>
      <c r="J15" s="27">
        <f t="shared" si="1"/>
        <v>33</v>
      </c>
      <c r="K15" s="27" t="str">
        <f t="shared" si="4"/>
        <v>TUNTAS</v>
      </c>
      <c r="L15" s="13" t="str">
        <f t="shared" si="5"/>
        <v xml:space="preserve"> </v>
      </c>
      <c r="M15" s="1"/>
      <c r="N15" s="2">
        <f t="shared" si="2"/>
        <v>7</v>
      </c>
    </row>
    <row r="16" spans="1:14" ht="15.95" customHeight="1" x14ac:dyDescent="0.25">
      <c r="A16" s="13">
        <v>9</v>
      </c>
      <c r="B16" s="9" t="s">
        <v>247</v>
      </c>
      <c r="C16" s="10" t="s">
        <v>2849</v>
      </c>
      <c r="D16" s="11" t="s">
        <v>25</v>
      </c>
      <c r="E16" s="27">
        <v>10</v>
      </c>
      <c r="F16" s="27">
        <v>8</v>
      </c>
      <c r="G16" s="27">
        <v>3</v>
      </c>
      <c r="H16" s="28">
        <f t="shared" si="3"/>
        <v>201</v>
      </c>
      <c r="I16" s="29">
        <f t="shared" si="0"/>
        <v>67</v>
      </c>
      <c r="J16" s="27">
        <f t="shared" si="1"/>
        <v>36</v>
      </c>
      <c r="K16" s="27" t="str">
        <f t="shared" si="4"/>
        <v>TUNTAS</v>
      </c>
      <c r="L16" s="13" t="str">
        <f t="shared" si="5"/>
        <v xml:space="preserve"> </v>
      </c>
      <c r="M16" s="1"/>
      <c r="N16" s="2">
        <f t="shared" si="2"/>
        <v>6.7</v>
      </c>
    </row>
    <row r="17" spans="1:14" ht="15.95" customHeight="1" x14ac:dyDescent="0.25">
      <c r="A17" s="13">
        <v>10</v>
      </c>
      <c r="B17" s="9" t="s">
        <v>249</v>
      </c>
      <c r="C17" s="10" t="s">
        <v>2850</v>
      </c>
      <c r="D17" s="11" t="s">
        <v>101</v>
      </c>
      <c r="E17" s="27">
        <v>7</v>
      </c>
      <c r="F17" s="27">
        <v>1</v>
      </c>
      <c r="G17" s="27">
        <v>0</v>
      </c>
      <c r="H17" s="28">
        <f t="shared" si="3"/>
        <v>276</v>
      </c>
      <c r="I17" s="29">
        <f t="shared" si="0"/>
        <v>92</v>
      </c>
      <c r="J17" s="27">
        <f t="shared" si="1"/>
        <v>9</v>
      </c>
      <c r="K17" s="27" t="str">
        <f t="shared" si="4"/>
        <v>TUNTAS</v>
      </c>
      <c r="L17" s="13" t="str">
        <f t="shared" si="5"/>
        <v xml:space="preserve"> </v>
      </c>
      <c r="M17" s="1"/>
      <c r="N17" s="2">
        <f t="shared" si="2"/>
        <v>9.1999999999999993</v>
      </c>
    </row>
    <row r="18" spans="1:14" ht="15.95" customHeight="1" x14ac:dyDescent="0.25">
      <c r="A18" s="13">
        <v>11</v>
      </c>
      <c r="B18" s="9" t="s">
        <v>250</v>
      </c>
      <c r="C18" s="17" t="s">
        <v>2851</v>
      </c>
      <c r="D18" s="18" t="s">
        <v>28</v>
      </c>
      <c r="E18" s="27">
        <v>32</v>
      </c>
      <c r="F18" s="27">
        <v>32</v>
      </c>
      <c r="G18" s="27">
        <v>5</v>
      </c>
      <c r="H18" s="28">
        <f t="shared" si="3"/>
        <v>33</v>
      </c>
      <c r="I18" s="29">
        <f t="shared" si="0"/>
        <v>11</v>
      </c>
      <c r="J18" s="27">
        <f t="shared" si="1"/>
        <v>50</v>
      </c>
      <c r="K18" s="27" t="str">
        <f t="shared" si="4"/>
        <v>TIDAK HADIR</v>
      </c>
      <c r="L18" s="13" t="s">
        <v>3264</v>
      </c>
      <c r="M18" s="1"/>
      <c r="N18" s="2">
        <f t="shared" si="2"/>
        <v>1.1000000000000001</v>
      </c>
    </row>
    <row r="19" spans="1:14" ht="15.95" customHeight="1" x14ac:dyDescent="0.25">
      <c r="A19" s="13">
        <v>12</v>
      </c>
      <c r="B19" s="9" t="s">
        <v>251</v>
      </c>
      <c r="C19" s="17" t="s">
        <v>2852</v>
      </c>
      <c r="D19" s="18" t="s">
        <v>29</v>
      </c>
      <c r="E19" s="27">
        <v>8</v>
      </c>
      <c r="F19" s="27">
        <v>15</v>
      </c>
      <c r="G19" s="27">
        <v>4</v>
      </c>
      <c r="H19" s="28">
        <f t="shared" si="3"/>
        <v>171</v>
      </c>
      <c r="I19" s="29">
        <f t="shared" si="0"/>
        <v>57</v>
      </c>
      <c r="J19" s="27">
        <f t="shared" si="1"/>
        <v>43</v>
      </c>
      <c r="K19" s="27" t="str">
        <f t="shared" si="4"/>
        <v>TIDAK TUNTAS</v>
      </c>
      <c r="L19" s="13" t="str">
        <f t="shared" si="5"/>
        <v xml:space="preserve"> </v>
      </c>
      <c r="M19" s="1"/>
      <c r="N19" s="2">
        <f t="shared" si="2"/>
        <v>5.7</v>
      </c>
    </row>
    <row r="20" spans="1:14" ht="15.95" customHeight="1" x14ac:dyDescent="0.25">
      <c r="A20" s="13">
        <v>13</v>
      </c>
      <c r="B20" s="9" t="s">
        <v>253</v>
      </c>
      <c r="C20" s="10" t="s">
        <v>2853</v>
      </c>
      <c r="D20" s="11" t="s">
        <v>77</v>
      </c>
      <c r="E20" s="27">
        <v>5</v>
      </c>
      <c r="F20" s="27">
        <v>7</v>
      </c>
      <c r="G20" s="27">
        <v>6</v>
      </c>
      <c r="H20" s="28">
        <f t="shared" si="3"/>
        <v>174</v>
      </c>
      <c r="I20" s="29">
        <f t="shared" si="0"/>
        <v>58</v>
      </c>
      <c r="J20" s="27">
        <f t="shared" si="1"/>
        <v>42</v>
      </c>
      <c r="K20" s="27" t="str">
        <f t="shared" si="4"/>
        <v>TIDAK TUNTAS</v>
      </c>
      <c r="L20" s="13" t="str">
        <f t="shared" si="5"/>
        <v>TM</v>
      </c>
      <c r="M20" s="1"/>
      <c r="N20" s="2">
        <f t="shared" si="2"/>
        <v>5.8</v>
      </c>
    </row>
    <row r="21" spans="1:14" ht="15.95" customHeight="1" x14ac:dyDescent="0.25">
      <c r="A21" s="13">
        <v>14</v>
      </c>
      <c r="B21" s="9" t="s">
        <v>254</v>
      </c>
      <c r="C21" s="10" t="s">
        <v>2854</v>
      </c>
      <c r="D21" s="11" t="s">
        <v>102</v>
      </c>
      <c r="E21" s="27">
        <v>32</v>
      </c>
      <c r="F21" s="27">
        <v>32</v>
      </c>
      <c r="G21" s="27">
        <v>5</v>
      </c>
      <c r="H21" s="28">
        <f t="shared" si="3"/>
        <v>33</v>
      </c>
      <c r="I21" s="29">
        <f t="shared" si="0"/>
        <v>11</v>
      </c>
      <c r="J21" s="27">
        <f t="shared" si="1"/>
        <v>50</v>
      </c>
      <c r="K21" s="27" t="str">
        <f t="shared" si="4"/>
        <v>TIDAK HADIR</v>
      </c>
      <c r="L21" s="13" t="s">
        <v>3264</v>
      </c>
      <c r="M21" s="1"/>
      <c r="N21" s="2">
        <f t="shared" si="2"/>
        <v>1.1000000000000001</v>
      </c>
    </row>
    <row r="22" spans="1:14" ht="15.95" customHeight="1" x14ac:dyDescent="0.25">
      <c r="A22" s="13">
        <v>15</v>
      </c>
      <c r="B22" s="9" t="s">
        <v>256</v>
      </c>
      <c r="C22" s="10" t="s">
        <v>2855</v>
      </c>
      <c r="D22" s="11" t="s">
        <v>91</v>
      </c>
      <c r="E22" s="27">
        <v>32</v>
      </c>
      <c r="F22" s="27">
        <v>32</v>
      </c>
      <c r="G22" s="27">
        <v>5</v>
      </c>
      <c r="H22" s="28">
        <f t="shared" si="3"/>
        <v>33</v>
      </c>
      <c r="I22" s="29">
        <f t="shared" si="0"/>
        <v>11</v>
      </c>
      <c r="J22" s="27">
        <f t="shared" si="1"/>
        <v>50</v>
      </c>
      <c r="K22" s="27" t="str">
        <f t="shared" si="4"/>
        <v>TIDAK HADIR</v>
      </c>
      <c r="L22" s="13" t="s">
        <v>3264</v>
      </c>
      <c r="M22" s="1"/>
      <c r="N22" s="2">
        <f t="shared" si="2"/>
        <v>1.1000000000000001</v>
      </c>
    </row>
    <row r="23" spans="1:14" ht="15.95" customHeight="1" x14ac:dyDescent="0.25">
      <c r="A23" s="13">
        <v>16</v>
      </c>
      <c r="B23" s="9" t="s">
        <v>258</v>
      </c>
      <c r="C23" s="10" t="s">
        <v>2856</v>
      </c>
      <c r="D23" s="11" t="s">
        <v>125</v>
      </c>
      <c r="E23" s="27">
        <v>0</v>
      </c>
      <c r="F23" s="27">
        <v>0</v>
      </c>
      <c r="G23" s="27">
        <v>1</v>
      </c>
      <c r="H23" s="28">
        <f t="shared" si="3"/>
        <v>285</v>
      </c>
      <c r="I23" s="29">
        <f t="shared" si="0"/>
        <v>95</v>
      </c>
      <c r="J23" s="27">
        <f t="shared" si="1"/>
        <v>8</v>
      </c>
      <c r="K23" s="27" t="str">
        <f t="shared" si="4"/>
        <v>TUNTAS</v>
      </c>
      <c r="L23" s="13" t="str">
        <f t="shared" si="5"/>
        <v xml:space="preserve"> </v>
      </c>
      <c r="M23" s="1"/>
      <c r="N23" s="2">
        <f t="shared" si="2"/>
        <v>9.5</v>
      </c>
    </row>
    <row r="24" spans="1:14" ht="15.95" customHeight="1" x14ac:dyDescent="0.25">
      <c r="A24" s="13">
        <v>17</v>
      </c>
      <c r="B24" s="9" t="s">
        <v>260</v>
      </c>
      <c r="C24" s="10" t="s">
        <v>2857</v>
      </c>
      <c r="D24" s="11" t="s">
        <v>34</v>
      </c>
      <c r="E24" s="27">
        <v>0</v>
      </c>
      <c r="F24" s="27">
        <v>0</v>
      </c>
      <c r="G24" s="27">
        <v>0</v>
      </c>
      <c r="H24" s="28">
        <f t="shared" si="3"/>
        <v>300</v>
      </c>
      <c r="I24" s="29">
        <f t="shared" si="0"/>
        <v>100</v>
      </c>
      <c r="J24" s="27">
        <f t="shared" si="1"/>
        <v>1</v>
      </c>
      <c r="K24" s="27" t="str">
        <f t="shared" si="4"/>
        <v>TUNTAS</v>
      </c>
      <c r="L24" s="13" t="str">
        <f t="shared" si="5"/>
        <v xml:space="preserve"> </v>
      </c>
      <c r="M24" s="1"/>
      <c r="N24" s="2">
        <f>I24/10</f>
        <v>10</v>
      </c>
    </row>
    <row r="25" spans="1:14" ht="15.95" customHeight="1" x14ac:dyDescent="0.25">
      <c r="A25" s="13">
        <v>18</v>
      </c>
      <c r="B25" s="9" t="s">
        <v>262</v>
      </c>
      <c r="C25" s="10" t="s">
        <v>2858</v>
      </c>
      <c r="D25" s="11" t="s">
        <v>36</v>
      </c>
      <c r="E25" s="27">
        <v>0</v>
      </c>
      <c r="F25" s="27">
        <v>3</v>
      </c>
      <c r="G25" s="27">
        <v>1</v>
      </c>
      <c r="H25" s="28">
        <f t="shared" si="3"/>
        <v>276</v>
      </c>
      <c r="I25" s="29">
        <f t="shared" si="0"/>
        <v>92</v>
      </c>
      <c r="J25" s="27">
        <f t="shared" si="1"/>
        <v>9</v>
      </c>
      <c r="K25" s="27" t="str">
        <f t="shared" si="4"/>
        <v>TUNTAS</v>
      </c>
      <c r="L25" s="13" t="str">
        <f t="shared" si="5"/>
        <v xml:space="preserve"> </v>
      </c>
      <c r="M25" s="1"/>
      <c r="N25" s="2">
        <f t="shared" ref="N25:N61" si="6">I25/10</f>
        <v>9.1999999999999993</v>
      </c>
    </row>
    <row r="26" spans="1:14" ht="15.95" customHeight="1" x14ac:dyDescent="0.25">
      <c r="A26" s="13">
        <v>19</v>
      </c>
      <c r="B26" s="9" t="s">
        <v>264</v>
      </c>
      <c r="C26" s="10" t="s">
        <v>2859</v>
      </c>
      <c r="D26" s="11" t="s">
        <v>37</v>
      </c>
      <c r="E26" s="27">
        <v>7</v>
      </c>
      <c r="F26" s="27">
        <v>9</v>
      </c>
      <c r="G26" s="27">
        <v>2</v>
      </c>
      <c r="H26" s="28">
        <f t="shared" si="3"/>
        <v>222</v>
      </c>
      <c r="I26" s="29">
        <f t="shared" si="0"/>
        <v>74</v>
      </c>
      <c r="J26" s="27">
        <f t="shared" si="1"/>
        <v>27</v>
      </c>
      <c r="K26" s="27" t="str">
        <f t="shared" si="4"/>
        <v>TUNTAS</v>
      </c>
      <c r="L26" s="13" t="str">
        <f t="shared" si="5"/>
        <v xml:space="preserve"> </v>
      </c>
      <c r="M26" s="1"/>
      <c r="N26" s="2">
        <f t="shared" si="6"/>
        <v>7.4</v>
      </c>
    </row>
    <row r="27" spans="1:14" ht="15.95" customHeight="1" x14ac:dyDescent="0.25">
      <c r="A27" s="13">
        <v>20</v>
      </c>
      <c r="B27" s="9" t="s">
        <v>266</v>
      </c>
      <c r="C27" s="10" t="s">
        <v>2860</v>
      </c>
      <c r="D27" s="11" t="s">
        <v>38</v>
      </c>
      <c r="E27" s="27">
        <v>9</v>
      </c>
      <c r="F27" s="27">
        <v>2</v>
      </c>
      <c r="G27" s="27">
        <v>3</v>
      </c>
      <c r="H27" s="28">
        <f t="shared" si="3"/>
        <v>222</v>
      </c>
      <c r="I27" s="29">
        <f t="shared" si="0"/>
        <v>74</v>
      </c>
      <c r="J27" s="27">
        <f t="shared" si="1"/>
        <v>27</v>
      </c>
      <c r="K27" s="27" t="str">
        <f t="shared" si="4"/>
        <v>TUNTAS</v>
      </c>
      <c r="L27" s="13" t="str">
        <f t="shared" si="5"/>
        <v xml:space="preserve"> </v>
      </c>
      <c r="M27" s="1"/>
      <c r="N27" s="2">
        <f t="shared" si="6"/>
        <v>7.4</v>
      </c>
    </row>
    <row r="28" spans="1:14" ht="15.95" customHeight="1" x14ac:dyDescent="0.25">
      <c r="A28" s="13">
        <v>21</v>
      </c>
      <c r="B28" s="9" t="s">
        <v>267</v>
      </c>
      <c r="C28" s="10" t="s">
        <v>2861</v>
      </c>
      <c r="D28" s="11" t="s">
        <v>40</v>
      </c>
      <c r="E28" s="27">
        <v>32</v>
      </c>
      <c r="F28" s="27">
        <v>32</v>
      </c>
      <c r="G28" s="27">
        <v>5</v>
      </c>
      <c r="H28" s="28">
        <f t="shared" si="3"/>
        <v>33</v>
      </c>
      <c r="I28" s="29">
        <f t="shared" si="0"/>
        <v>11</v>
      </c>
      <c r="J28" s="27">
        <f t="shared" si="1"/>
        <v>50</v>
      </c>
      <c r="K28" s="27" t="str">
        <f t="shared" si="4"/>
        <v>TIDAK HADIR</v>
      </c>
      <c r="L28" s="13" t="s">
        <v>3264</v>
      </c>
      <c r="M28" s="1"/>
      <c r="N28" s="2">
        <f t="shared" si="6"/>
        <v>1.1000000000000001</v>
      </c>
    </row>
    <row r="29" spans="1:14" ht="15.95" customHeight="1" x14ac:dyDescent="0.25">
      <c r="A29" s="13">
        <v>22</v>
      </c>
      <c r="B29" s="9" t="s">
        <v>268</v>
      </c>
      <c r="C29" s="10" t="s">
        <v>2862</v>
      </c>
      <c r="D29" s="11" t="s">
        <v>141</v>
      </c>
      <c r="E29" s="27">
        <v>12</v>
      </c>
      <c r="F29" s="27">
        <v>6</v>
      </c>
      <c r="G29" s="27">
        <v>0</v>
      </c>
      <c r="H29" s="28">
        <f t="shared" si="3"/>
        <v>246</v>
      </c>
      <c r="I29" s="29">
        <f t="shared" si="0"/>
        <v>82</v>
      </c>
      <c r="J29" s="27">
        <f t="shared" si="1"/>
        <v>16</v>
      </c>
      <c r="K29" s="27" t="str">
        <f t="shared" si="4"/>
        <v>TUNTAS</v>
      </c>
      <c r="L29" s="13" t="str">
        <f t="shared" si="5"/>
        <v xml:space="preserve"> </v>
      </c>
      <c r="M29" s="1"/>
      <c r="N29" s="2">
        <f t="shared" si="6"/>
        <v>8.1999999999999993</v>
      </c>
    </row>
    <row r="30" spans="1:14" ht="15.95" customHeight="1" x14ac:dyDescent="0.25">
      <c r="A30" s="13">
        <v>23</v>
      </c>
      <c r="B30" s="9" t="s">
        <v>270</v>
      </c>
      <c r="C30" s="10" t="s">
        <v>2863</v>
      </c>
      <c r="D30" s="11" t="s">
        <v>106</v>
      </c>
      <c r="E30" s="27">
        <v>19</v>
      </c>
      <c r="F30" s="27">
        <v>8</v>
      </c>
      <c r="G30" s="27">
        <v>6</v>
      </c>
      <c r="H30" s="28">
        <f t="shared" si="3"/>
        <v>129</v>
      </c>
      <c r="I30" s="29">
        <f t="shared" si="0"/>
        <v>43</v>
      </c>
      <c r="J30" s="27">
        <f t="shared" si="1"/>
        <v>47</v>
      </c>
      <c r="K30" s="27" t="str">
        <f t="shared" si="4"/>
        <v>TIDAK TUNTAS</v>
      </c>
      <c r="L30" s="13" t="str">
        <f t="shared" si="5"/>
        <v>TM</v>
      </c>
      <c r="M30" s="1"/>
      <c r="N30" s="2">
        <f t="shared" si="6"/>
        <v>4.3</v>
      </c>
    </row>
    <row r="31" spans="1:14" ht="15.95" customHeight="1" x14ac:dyDescent="0.25">
      <c r="A31" s="13">
        <v>24</v>
      </c>
      <c r="B31" s="9" t="s">
        <v>271</v>
      </c>
      <c r="C31" s="10" t="s">
        <v>2864</v>
      </c>
      <c r="D31" s="11" t="s">
        <v>43</v>
      </c>
      <c r="E31" s="27">
        <v>16</v>
      </c>
      <c r="F31" s="27">
        <v>5</v>
      </c>
      <c r="G31" s="27">
        <v>5</v>
      </c>
      <c r="H31" s="28">
        <f t="shared" si="3"/>
        <v>162</v>
      </c>
      <c r="I31" s="29">
        <f t="shared" si="0"/>
        <v>54</v>
      </c>
      <c r="J31" s="27">
        <f t="shared" si="1"/>
        <v>44</v>
      </c>
      <c r="K31" s="27" t="str">
        <f t="shared" si="4"/>
        <v>TIDAK TUNTAS</v>
      </c>
      <c r="L31" s="13" t="str">
        <f t="shared" si="5"/>
        <v xml:space="preserve"> </v>
      </c>
      <c r="M31" s="1"/>
      <c r="N31" s="2">
        <f t="shared" si="6"/>
        <v>5.4</v>
      </c>
    </row>
    <row r="32" spans="1:14" ht="15.95" customHeight="1" x14ac:dyDescent="0.25">
      <c r="A32" s="13">
        <v>25</v>
      </c>
      <c r="B32" s="9" t="s">
        <v>273</v>
      </c>
      <c r="C32" s="10" t="s">
        <v>2865</v>
      </c>
      <c r="D32" s="11" t="s">
        <v>44</v>
      </c>
      <c r="E32" s="27">
        <v>10</v>
      </c>
      <c r="F32" s="27">
        <v>11</v>
      </c>
      <c r="G32" s="27">
        <v>4</v>
      </c>
      <c r="H32" s="28">
        <f t="shared" si="3"/>
        <v>177</v>
      </c>
      <c r="I32" s="29">
        <f t="shared" si="0"/>
        <v>59</v>
      </c>
      <c r="J32" s="27">
        <f t="shared" si="1"/>
        <v>41</v>
      </c>
      <c r="K32" s="27" t="str">
        <f t="shared" si="4"/>
        <v>TIDAK TUNTAS</v>
      </c>
      <c r="L32" s="13" t="str">
        <f t="shared" si="5"/>
        <v xml:space="preserve"> </v>
      </c>
      <c r="M32" s="1"/>
      <c r="N32" s="2">
        <f t="shared" si="6"/>
        <v>5.9</v>
      </c>
    </row>
    <row r="33" spans="1:14" ht="15.95" customHeight="1" x14ac:dyDescent="0.25">
      <c r="A33" s="13">
        <v>26</v>
      </c>
      <c r="B33" s="9" t="s">
        <v>275</v>
      </c>
      <c r="C33" s="10" t="s">
        <v>2866</v>
      </c>
      <c r="D33" s="11" t="s">
        <v>84</v>
      </c>
      <c r="E33" s="27">
        <v>6</v>
      </c>
      <c r="F33" s="27">
        <v>7</v>
      </c>
      <c r="G33" s="27">
        <v>3</v>
      </c>
      <c r="H33" s="28">
        <f t="shared" si="3"/>
        <v>216</v>
      </c>
      <c r="I33" s="29">
        <f t="shared" si="0"/>
        <v>72</v>
      </c>
      <c r="J33" s="27">
        <f t="shared" si="1"/>
        <v>30</v>
      </c>
      <c r="K33" s="27" t="str">
        <f t="shared" si="4"/>
        <v>TUNTAS</v>
      </c>
      <c r="L33" s="13" t="str">
        <f t="shared" si="5"/>
        <v xml:space="preserve"> </v>
      </c>
      <c r="M33" s="1"/>
      <c r="N33" s="2">
        <f t="shared" si="6"/>
        <v>7.2</v>
      </c>
    </row>
    <row r="34" spans="1:14" ht="15.95" customHeight="1" x14ac:dyDescent="0.25">
      <c r="A34" s="13">
        <v>27</v>
      </c>
      <c r="B34" s="9" t="s">
        <v>277</v>
      </c>
      <c r="C34" s="10" t="s">
        <v>2867</v>
      </c>
      <c r="D34" s="11" t="s">
        <v>45</v>
      </c>
      <c r="E34" s="27">
        <v>3</v>
      </c>
      <c r="F34" s="27">
        <v>5</v>
      </c>
      <c r="G34" s="27">
        <v>6</v>
      </c>
      <c r="H34" s="28">
        <f t="shared" si="3"/>
        <v>186</v>
      </c>
      <c r="I34" s="29">
        <f t="shared" si="0"/>
        <v>62</v>
      </c>
      <c r="J34" s="27">
        <f t="shared" si="1"/>
        <v>40</v>
      </c>
      <c r="K34" s="27" t="str">
        <f t="shared" si="4"/>
        <v>TUNTAS</v>
      </c>
      <c r="L34" s="13" t="str">
        <f t="shared" si="5"/>
        <v>TM</v>
      </c>
      <c r="M34" s="1"/>
      <c r="N34" s="2">
        <f t="shared" si="6"/>
        <v>6.2</v>
      </c>
    </row>
    <row r="35" spans="1:14" ht="15.95" customHeight="1" x14ac:dyDescent="0.25">
      <c r="A35" s="13">
        <v>28</v>
      </c>
      <c r="B35" s="9" t="s">
        <v>278</v>
      </c>
      <c r="C35" s="10" t="s">
        <v>2868</v>
      </c>
      <c r="D35" s="11" t="s">
        <v>47</v>
      </c>
      <c r="E35" s="27">
        <v>9</v>
      </c>
      <c r="F35" s="27">
        <v>8</v>
      </c>
      <c r="G35" s="27">
        <v>4</v>
      </c>
      <c r="H35" s="28">
        <f t="shared" si="3"/>
        <v>189</v>
      </c>
      <c r="I35" s="29">
        <f t="shared" si="0"/>
        <v>63</v>
      </c>
      <c r="J35" s="27">
        <f t="shared" si="1"/>
        <v>38</v>
      </c>
      <c r="K35" s="27" t="str">
        <f t="shared" si="4"/>
        <v>TUNTAS</v>
      </c>
      <c r="L35" s="13" t="str">
        <f t="shared" si="5"/>
        <v xml:space="preserve"> </v>
      </c>
      <c r="M35" s="1"/>
      <c r="N35" s="2">
        <f t="shared" si="6"/>
        <v>6.3</v>
      </c>
    </row>
    <row r="36" spans="1:14" ht="15.95" customHeight="1" x14ac:dyDescent="0.25">
      <c r="A36" s="13">
        <v>29</v>
      </c>
      <c r="B36" s="9" t="s">
        <v>279</v>
      </c>
      <c r="C36" s="10" t="s">
        <v>2869</v>
      </c>
      <c r="D36" s="11" t="s">
        <v>108</v>
      </c>
      <c r="E36" s="27">
        <v>5</v>
      </c>
      <c r="F36" s="27">
        <v>5</v>
      </c>
      <c r="G36" s="27">
        <v>2</v>
      </c>
      <c r="H36" s="28">
        <f t="shared" si="3"/>
        <v>240</v>
      </c>
      <c r="I36" s="29">
        <f t="shared" si="0"/>
        <v>80</v>
      </c>
      <c r="J36" s="27">
        <f t="shared" si="1"/>
        <v>18</v>
      </c>
      <c r="K36" s="27" t="str">
        <f t="shared" si="4"/>
        <v>TUNTAS</v>
      </c>
      <c r="L36" s="13" t="str">
        <f t="shared" si="5"/>
        <v xml:space="preserve"> </v>
      </c>
      <c r="M36" s="1"/>
      <c r="N36" s="2">
        <f t="shared" si="6"/>
        <v>8</v>
      </c>
    </row>
    <row r="37" spans="1:14" ht="15.95" customHeight="1" x14ac:dyDescent="0.25">
      <c r="A37" s="13">
        <v>30</v>
      </c>
      <c r="B37" s="9" t="s">
        <v>281</v>
      </c>
      <c r="C37" s="10" t="s">
        <v>2870</v>
      </c>
      <c r="D37" s="11" t="s">
        <v>50</v>
      </c>
      <c r="E37" s="27">
        <v>7</v>
      </c>
      <c r="F37" s="27">
        <v>6</v>
      </c>
      <c r="G37" s="27">
        <v>3</v>
      </c>
      <c r="H37" s="28">
        <f t="shared" si="3"/>
        <v>216</v>
      </c>
      <c r="I37" s="29">
        <f t="shared" si="0"/>
        <v>72</v>
      </c>
      <c r="J37" s="27">
        <f t="shared" si="1"/>
        <v>30</v>
      </c>
      <c r="K37" s="27" t="str">
        <f t="shared" si="4"/>
        <v>TUNTAS</v>
      </c>
      <c r="L37" s="13" t="str">
        <f t="shared" si="5"/>
        <v xml:space="preserve"> </v>
      </c>
      <c r="M37" s="1"/>
      <c r="N37" s="2">
        <f t="shared" si="6"/>
        <v>7.2</v>
      </c>
    </row>
    <row r="38" spans="1:14" ht="15.95" customHeight="1" x14ac:dyDescent="0.25">
      <c r="A38" s="13">
        <v>31</v>
      </c>
      <c r="B38" s="9" t="s">
        <v>283</v>
      </c>
      <c r="C38" s="10" t="s">
        <v>2871</v>
      </c>
      <c r="D38" s="11" t="s">
        <v>50</v>
      </c>
      <c r="E38" s="27">
        <v>4</v>
      </c>
      <c r="F38" s="27">
        <v>0</v>
      </c>
      <c r="G38" s="27">
        <v>3</v>
      </c>
      <c r="H38" s="28">
        <f t="shared" si="3"/>
        <v>243</v>
      </c>
      <c r="I38" s="29">
        <f t="shared" si="0"/>
        <v>81</v>
      </c>
      <c r="J38" s="27">
        <f t="shared" si="1"/>
        <v>17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8.1</v>
      </c>
    </row>
    <row r="39" spans="1:14" ht="15.95" customHeight="1" x14ac:dyDescent="0.25">
      <c r="A39" s="13">
        <v>32</v>
      </c>
      <c r="B39" s="9" t="s">
        <v>285</v>
      </c>
      <c r="C39" s="10" t="s">
        <v>2872</v>
      </c>
      <c r="D39" s="11" t="s">
        <v>52</v>
      </c>
      <c r="E39" s="27">
        <v>4</v>
      </c>
      <c r="F39" s="27">
        <v>7</v>
      </c>
      <c r="G39" s="27">
        <v>3</v>
      </c>
      <c r="H39" s="28">
        <f t="shared" si="3"/>
        <v>222</v>
      </c>
      <c r="I39" s="29">
        <f t="shared" si="0"/>
        <v>74</v>
      </c>
      <c r="J39" s="27">
        <f t="shared" si="1"/>
        <v>27</v>
      </c>
      <c r="K39" s="27" t="str">
        <f t="shared" si="4"/>
        <v>TUNTAS</v>
      </c>
      <c r="L39" s="13" t="str">
        <f t="shared" si="5"/>
        <v xml:space="preserve"> </v>
      </c>
      <c r="M39" s="1"/>
      <c r="N39" s="2">
        <f t="shared" si="6"/>
        <v>7.4</v>
      </c>
    </row>
    <row r="40" spans="1:14" ht="15.95" customHeight="1" x14ac:dyDescent="0.25">
      <c r="A40" s="13">
        <v>33</v>
      </c>
      <c r="B40" s="9" t="s">
        <v>288</v>
      </c>
      <c r="C40" s="10" t="s">
        <v>2873</v>
      </c>
      <c r="D40" s="11" t="s">
        <v>53</v>
      </c>
      <c r="E40" s="27">
        <v>3</v>
      </c>
      <c r="F40" s="27">
        <v>2</v>
      </c>
      <c r="G40" s="27">
        <v>1</v>
      </c>
      <c r="H40" s="28">
        <f t="shared" si="3"/>
        <v>270</v>
      </c>
      <c r="I40" s="29">
        <f t="shared" si="0"/>
        <v>90</v>
      </c>
      <c r="J40" s="27">
        <f t="shared" si="1"/>
        <v>12</v>
      </c>
      <c r="K40" s="27" t="str">
        <f t="shared" si="4"/>
        <v>TUNTAS</v>
      </c>
      <c r="L40" s="13" t="str">
        <f t="shared" si="5"/>
        <v xml:space="preserve"> </v>
      </c>
      <c r="M40" s="1"/>
      <c r="N40" s="2">
        <f t="shared" si="6"/>
        <v>9</v>
      </c>
    </row>
    <row r="41" spans="1:14" ht="15.95" customHeight="1" x14ac:dyDescent="0.25">
      <c r="A41" s="13">
        <v>34</v>
      </c>
      <c r="B41" s="9" t="s">
        <v>291</v>
      </c>
      <c r="C41" s="10" t="s">
        <v>2874</v>
      </c>
      <c r="D41" s="11" t="s">
        <v>54</v>
      </c>
      <c r="E41" s="27">
        <v>12</v>
      </c>
      <c r="F41" s="27">
        <v>3</v>
      </c>
      <c r="G41" s="27">
        <v>0</v>
      </c>
      <c r="H41" s="28">
        <f t="shared" si="3"/>
        <v>255</v>
      </c>
      <c r="I41" s="29">
        <f t="shared" si="0"/>
        <v>85</v>
      </c>
      <c r="J41" s="27">
        <f t="shared" si="1"/>
        <v>15</v>
      </c>
      <c r="K41" s="27" t="str">
        <f t="shared" si="4"/>
        <v>TUNTAS</v>
      </c>
      <c r="L41" s="13" t="str">
        <f t="shared" si="5"/>
        <v xml:space="preserve"> </v>
      </c>
      <c r="M41" s="1"/>
      <c r="N41" s="2">
        <f t="shared" si="6"/>
        <v>8.5</v>
      </c>
    </row>
    <row r="42" spans="1:14" ht="15.95" customHeight="1" x14ac:dyDescent="0.25">
      <c r="A42" s="13">
        <v>35</v>
      </c>
      <c r="B42" s="9" t="s">
        <v>293</v>
      </c>
      <c r="C42" s="10" t="s">
        <v>2875</v>
      </c>
      <c r="D42" s="11" t="s">
        <v>55</v>
      </c>
      <c r="E42" s="27">
        <v>2</v>
      </c>
      <c r="F42" s="27">
        <v>1</v>
      </c>
      <c r="G42" s="27">
        <v>0</v>
      </c>
      <c r="H42" s="28">
        <f t="shared" si="3"/>
        <v>291</v>
      </c>
      <c r="I42" s="29">
        <f t="shared" si="0"/>
        <v>97</v>
      </c>
      <c r="J42" s="27">
        <f t="shared" si="1"/>
        <v>4</v>
      </c>
      <c r="K42" s="27" t="str">
        <f t="shared" si="4"/>
        <v>TUNTAS</v>
      </c>
      <c r="L42" s="13" t="str">
        <f t="shared" si="5"/>
        <v xml:space="preserve"> </v>
      </c>
      <c r="M42" s="1"/>
      <c r="N42" s="2">
        <f t="shared" si="6"/>
        <v>9.6999999999999993</v>
      </c>
    </row>
    <row r="43" spans="1:14" ht="15.95" customHeight="1" x14ac:dyDescent="0.25">
      <c r="A43" s="13">
        <v>36</v>
      </c>
      <c r="B43" s="9" t="s">
        <v>295</v>
      </c>
      <c r="C43" s="10" t="s">
        <v>2876</v>
      </c>
      <c r="D43" s="11" t="s">
        <v>94</v>
      </c>
      <c r="E43" s="27">
        <v>2</v>
      </c>
      <c r="F43" s="27">
        <v>1</v>
      </c>
      <c r="G43" s="27">
        <v>0</v>
      </c>
      <c r="H43" s="28">
        <f t="shared" si="3"/>
        <v>291</v>
      </c>
      <c r="I43" s="29">
        <f t="shared" si="0"/>
        <v>97</v>
      </c>
      <c r="J43" s="27">
        <f t="shared" si="1"/>
        <v>4</v>
      </c>
      <c r="K43" s="27" t="str">
        <f t="shared" si="4"/>
        <v>TUNTAS</v>
      </c>
      <c r="L43" s="13" t="str">
        <f t="shared" si="5"/>
        <v xml:space="preserve"> </v>
      </c>
      <c r="M43" s="1"/>
      <c r="N43" s="2">
        <f t="shared" si="6"/>
        <v>9.6999999999999993</v>
      </c>
    </row>
    <row r="44" spans="1:14" ht="15.95" customHeight="1" x14ac:dyDescent="0.25">
      <c r="A44" s="13">
        <v>37</v>
      </c>
      <c r="B44" s="9" t="s">
        <v>296</v>
      </c>
      <c r="C44" s="10" t="s">
        <v>2877</v>
      </c>
      <c r="D44" s="11" t="s">
        <v>56</v>
      </c>
      <c r="E44" s="27">
        <v>4</v>
      </c>
      <c r="F44" s="27">
        <v>0</v>
      </c>
      <c r="G44" s="27">
        <v>0</v>
      </c>
      <c r="H44" s="28">
        <f t="shared" si="3"/>
        <v>288</v>
      </c>
      <c r="I44" s="29">
        <f t="shared" si="0"/>
        <v>96</v>
      </c>
      <c r="J44" s="27">
        <f t="shared" si="1"/>
        <v>6</v>
      </c>
      <c r="K44" s="27" t="str">
        <f t="shared" si="4"/>
        <v>TUNTAS</v>
      </c>
      <c r="L44" s="13" t="str">
        <f t="shared" si="5"/>
        <v xml:space="preserve"> </v>
      </c>
      <c r="M44" s="1"/>
      <c r="N44" s="2">
        <f t="shared" si="6"/>
        <v>9.6</v>
      </c>
    </row>
    <row r="45" spans="1:14" ht="15.95" customHeight="1" x14ac:dyDescent="0.25">
      <c r="A45" s="13">
        <v>38</v>
      </c>
      <c r="B45" s="9" t="s">
        <v>298</v>
      </c>
      <c r="C45" s="10" t="s">
        <v>2878</v>
      </c>
      <c r="D45" s="11" t="s">
        <v>58</v>
      </c>
      <c r="E45" s="27">
        <v>32</v>
      </c>
      <c r="F45" s="27">
        <v>32</v>
      </c>
      <c r="G45" s="27">
        <v>5</v>
      </c>
      <c r="H45" s="28">
        <f t="shared" si="3"/>
        <v>33</v>
      </c>
      <c r="I45" s="29">
        <f t="shared" si="0"/>
        <v>11</v>
      </c>
      <c r="J45" s="27">
        <f t="shared" si="1"/>
        <v>50</v>
      </c>
      <c r="K45" s="27" t="str">
        <f t="shared" si="4"/>
        <v>TIDAK HADIR</v>
      </c>
      <c r="L45" s="13" t="s">
        <v>3265</v>
      </c>
      <c r="M45" s="1"/>
      <c r="N45" s="2">
        <f t="shared" si="6"/>
        <v>1.1000000000000001</v>
      </c>
    </row>
    <row r="46" spans="1:14" ht="15.95" customHeight="1" x14ac:dyDescent="0.25">
      <c r="A46" s="13">
        <v>39</v>
      </c>
      <c r="B46" s="9" t="s">
        <v>300</v>
      </c>
      <c r="C46" s="10" t="s">
        <v>2879</v>
      </c>
      <c r="D46" s="11" t="s">
        <v>60</v>
      </c>
      <c r="E46" s="27">
        <v>8</v>
      </c>
      <c r="F46" s="27">
        <v>6</v>
      </c>
      <c r="G46" s="27">
        <v>2</v>
      </c>
      <c r="H46" s="28">
        <f t="shared" si="3"/>
        <v>228</v>
      </c>
      <c r="I46" s="29">
        <f t="shared" si="0"/>
        <v>76</v>
      </c>
      <c r="J46" s="27">
        <f t="shared" si="1"/>
        <v>22</v>
      </c>
      <c r="K46" s="27" t="str">
        <f t="shared" si="4"/>
        <v>TUNTAS</v>
      </c>
      <c r="L46" s="13" t="str">
        <f t="shared" si="5"/>
        <v xml:space="preserve"> </v>
      </c>
      <c r="M46" s="1"/>
      <c r="N46" s="2">
        <f t="shared" si="6"/>
        <v>7.6</v>
      </c>
    </row>
    <row r="47" spans="1:14" ht="15.95" customHeight="1" x14ac:dyDescent="0.25">
      <c r="A47" s="13">
        <v>40</v>
      </c>
      <c r="B47" s="9" t="s">
        <v>302</v>
      </c>
      <c r="C47" s="10" t="s">
        <v>2880</v>
      </c>
      <c r="D47" s="11" t="s">
        <v>61</v>
      </c>
      <c r="E47" s="27">
        <v>25</v>
      </c>
      <c r="F47" s="27">
        <v>25</v>
      </c>
      <c r="G47" s="27">
        <v>5</v>
      </c>
      <c r="H47" s="28">
        <f t="shared" si="3"/>
        <v>75</v>
      </c>
      <c r="I47" s="29">
        <f t="shared" si="0"/>
        <v>25</v>
      </c>
      <c r="J47" s="27">
        <f t="shared" si="1"/>
        <v>49</v>
      </c>
      <c r="K47" s="27" t="str">
        <f t="shared" si="4"/>
        <v>TIDAK TUNTAS</v>
      </c>
      <c r="L47" s="13" t="str">
        <f t="shared" si="5"/>
        <v xml:space="preserve"> </v>
      </c>
      <c r="M47" s="1"/>
      <c r="N47" s="2">
        <f t="shared" si="6"/>
        <v>2.5</v>
      </c>
    </row>
    <row r="48" spans="1:14" ht="15.95" customHeight="1" x14ac:dyDescent="0.25">
      <c r="A48" s="13">
        <v>41</v>
      </c>
      <c r="B48" s="9" t="s">
        <v>304</v>
      </c>
      <c r="C48" s="10" t="s">
        <v>2881</v>
      </c>
      <c r="D48" s="11" t="s">
        <v>86</v>
      </c>
      <c r="E48" s="27">
        <v>22</v>
      </c>
      <c r="F48" s="27">
        <v>14</v>
      </c>
      <c r="G48" s="27">
        <v>6</v>
      </c>
      <c r="H48" s="28">
        <f t="shared" si="3"/>
        <v>102</v>
      </c>
      <c r="I48" s="29">
        <f t="shared" si="0"/>
        <v>34</v>
      </c>
      <c r="J48" s="27">
        <f t="shared" si="1"/>
        <v>48</v>
      </c>
      <c r="K48" s="27" t="str">
        <f t="shared" si="4"/>
        <v>TIDAK TUNTAS</v>
      </c>
      <c r="L48" s="13" t="str">
        <f t="shared" si="5"/>
        <v>TM</v>
      </c>
      <c r="M48" s="1"/>
      <c r="N48" s="2">
        <f t="shared" si="6"/>
        <v>3.4</v>
      </c>
    </row>
    <row r="49" spans="1:14" ht="15.95" customHeight="1" x14ac:dyDescent="0.25">
      <c r="A49" s="13">
        <v>42</v>
      </c>
      <c r="B49" s="9" t="s">
        <v>305</v>
      </c>
      <c r="C49" s="10" t="s">
        <v>2882</v>
      </c>
      <c r="D49" s="11" t="s">
        <v>86</v>
      </c>
      <c r="E49" s="27">
        <v>14</v>
      </c>
      <c r="F49" s="27">
        <v>7</v>
      </c>
      <c r="G49" s="27">
        <v>5</v>
      </c>
      <c r="H49" s="28">
        <f t="shared" si="3"/>
        <v>162</v>
      </c>
      <c r="I49" s="29">
        <f t="shared" si="0"/>
        <v>54</v>
      </c>
      <c r="J49" s="27">
        <f t="shared" si="1"/>
        <v>44</v>
      </c>
      <c r="K49" s="27" t="str">
        <f t="shared" si="4"/>
        <v>TIDAK TUNTAS</v>
      </c>
      <c r="L49" s="13" t="str">
        <f t="shared" si="5"/>
        <v xml:space="preserve"> </v>
      </c>
      <c r="M49" s="1"/>
      <c r="N49" s="2">
        <f t="shared" si="6"/>
        <v>5.4</v>
      </c>
    </row>
    <row r="50" spans="1:14" ht="15.95" customHeight="1" x14ac:dyDescent="0.25">
      <c r="A50" s="13">
        <v>43</v>
      </c>
      <c r="B50" s="9" t="s">
        <v>307</v>
      </c>
      <c r="C50" s="10" t="s">
        <v>2883</v>
      </c>
      <c r="D50" s="11" t="s">
        <v>64</v>
      </c>
      <c r="E50" s="27">
        <v>1</v>
      </c>
      <c r="F50" s="27">
        <v>0</v>
      </c>
      <c r="G50" s="27">
        <v>0</v>
      </c>
      <c r="H50" s="28">
        <f t="shared" si="3"/>
        <v>297</v>
      </c>
      <c r="I50" s="29">
        <f t="shared" si="0"/>
        <v>99</v>
      </c>
      <c r="J50" s="27">
        <f t="shared" si="1"/>
        <v>3</v>
      </c>
      <c r="K50" s="27" t="str">
        <f t="shared" si="4"/>
        <v>TUNTAS</v>
      </c>
      <c r="L50" s="13" t="str">
        <f t="shared" si="5"/>
        <v xml:space="preserve"> </v>
      </c>
      <c r="M50" s="1"/>
      <c r="N50" s="2">
        <f t="shared" si="6"/>
        <v>9.9</v>
      </c>
    </row>
    <row r="51" spans="1:14" ht="15.95" customHeight="1" x14ac:dyDescent="0.25">
      <c r="A51" s="13">
        <v>44</v>
      </c>
      <c r="B51" s="9" t="s">
        <v>309</v>
      </c>
      <c r="C51" s="10" t="s">
        <v>2884</v>
      </c>
      <c r="D51" s="11" t="s">
        <v>65</v>
      </c>
      <c r="E51" s="27">
        <v>6</v>
      </c>
      <c r="F51" s="27">
        <v>4</v>
      </c>
      <c r="G51" s="27">
        <v>2</v>
      </c>
      <c r="H51" s="28">
        <f t="shared" si="3"/>
        <v>240</v>
      </c>
      <c r="I51" s="29">
        <f t="shared" si="0"/>
        <v>80</v>
      </c>
      <c r="J51" s="27">
        <f t="shared" si="1"/>
        <v>18</v>
      </c>
      <c r="K51" s="27" t="str">
        <f t="shared" si="4"/>
        <v>TUNTAS</v>
      </c>
      <c r="L51" s="13" t="str">
        <f t="shared" si="5"/>
        <v xml:space="preserve"> </v>
      </c>
      <c r="M51" s="1"/>
      <c r="N51" s="2">
        <f t="shared" si="6"/>
        <v>8</v>
      </c>
    </row>
    <row r="52" spans="1:14" ht="15.95" customHeight="1" x14ac:dyDescent="0.25">
      <c r="A52" s="13">
        <v>45</v>
      </c>
      <c r="B52" s="9" t="s">
        <v>311</v>
      </c>
      <c r="C52" s="10" t="s">
        <v>2885</v>
      </c>
      <c r="D52" s="11" t="s">
        <v>88</v>
      </c>
      <c r="E52" s="27">
        <v>6</v>
      </c>
      <c r="F52" s="27">
        <v>7</v>
      </c>
      <c r="G52" s="27">
        <v>2</v>
      </c>
      <c r="H52" s="28">
        <f t="shared" si="3"/>
        <v>231</v>
      </c>
      <c r="I52" s="29">
        <f t="shared" si="0"/>
        <v>77</v>
      </c>
      <c r="J52" s="27">
        <f t="shared" si="1"/>
        <v>20</v>
      </c>
      <c r="K52" s="27" t="str">
        <f t="shared" si="4"/>
        <v>TUNTAS</v>
      </c>
      <c r="L52" s="13" t="str">
        <f t="shared" si="5"/>
        <v xml:space="preserve"> </v>
      </c>
      <c r="M52" s="1"/>
      <c r="N52" s="2">
        <f t="shared" si="6"/>
        <v>7.7</v>
      </c>
    </row>
    <row r="53" spans="1:14" ht="15.95" customHeight="1" x14ac:dyDescent="0.25">
      <c r="A53" s="13">
        <v>46</v>
      </c>
      <c r="B53" s="9" t="s">
        <v>313</v>
      </c>
      <c r="C53" s="10" t="s">
        <v>2886</v>
      </c>
      <c r="D53" s="11" t="s">
        <v>66</v>
      </c>
      <c r="E53" s="27">
        <v>9</v>
      </c>
      <c r="F53" s="27">
        <v>3</v>
      </c>
      <c r="G53" s="27">
        <v>5</v>
      </c>
      <c r="H53" s="28">
        <f t="shared" si="3"/>
        <v>189</v>
      </c>
      <c r="I53" s="29">
        <f t="shared" si="0"/>
        <v>63</v>
      </c>
      <c r="J53" s="27">
        <f t="shared" si="1"/>
        <v>38</v>
      </c>
      <c r="K53" s="27" t="str">
        <f t="shared" si="4"/>
        <v>TUNTAS</v>
      </c>
      <c r="L53" s="13" t="str">
        <f t="shared" si="5"/>
        <v xml:space="preserve"> </v>
      </c>
      <c r="M53" s="1"/>
      <c r="N53" s="2">
        <f t="shared" si="6"/>
        <v>6.3</v>
      </c>
    </row>
    <row r="54" spans="1:14" x14ac:dyDescent="0.25">
      <c r="A54" s="13">
        <v>47</v>
      </c>
      <c r="B54" s="9" t="s">
        <v>315</v>
      </c>
      <c r="C54" s="10" t="s">
        <v>2887</v>
      </c>
      <c r="D54" s="11" t="s">
        <v>67</v>
      </c>
      <c r="E54" s="27">
        <v>8</v>
      </c>
      <c r="F54" s="27">
        <v>6</v>
      </c>
      <c r="G54" s="27">
        <v>3</v>
      </c>
      <c r="H54" s="28">
        <f t="shared" si="3"/>
        <v>213</v>
      </c>
      <c r="I54" s="29">
        <f t="shared" si="0"/>
        <v>71</v>
      </c>
      <c r="J54" s="27">
        <f t="shared" si="1"/>
        <v>32</v>
      </c>
      <c r="K54" s="27" t="str">
        <f t="shared" si="4"/>
        <v>TUNTAS</v>
      </c>
      <c r="L54" s="13" t="str">
        <f t="shared" si="5"/>
        <v xml:space="preserve"> </v>
      </c>
      <c r="M54" s="1"/>
      <c r="N54" s="2">
        <f t="shared" si="6"/>
        <v>7.1</v>
      </c>
    </row>
    <row r="55" spans="1:14" x14ac:dyDescent="0.25">
      <c r="A55" s="13">
        <v>48</v>
      </c>
      <c r="B55" s="9" t="s">
        <v>317</v>
      </c>
      <c r="C55" s="10" t="s">
        <v>2888</v>
      </c>
      <c r="D55" s="11" t="s">
        <v>68</v>
      </c>
      <c r="E55" s="27">
        <v>10</v>
      </c>
      <c r="F55" s="27">
        <v>7</v>
      </c>
      <c r="G55" s="27">
        <v>3</v>
      </c>
      <c r="H55" s="28">
        <f t="shared" si="3"/>
        <v>204</v>
      </c>
      <c r="I55" s="29">
        <f t="shared" si="0"/>
        <v>68</v>
      </c>
      <c r="J55" s="27">
        <f t="shared" si="1"/>
        <v>35</v>
      </c>
      <c r="K55" s="27" t="str">
        <f t="shared" si="4"/>
        <v>TUNTAS</v>
      </c>
      <c r="L55" s="13" t="str">
        <f t="shared" si="5"/>
        <v xml:space="preserve"> </v>
      </c>
      <c r="M55" s="1"/>
      <c r="N55" s="2">
        <f t="shared" si="6"/>
        <v>6.8</v>
      </c>
    </row>
    <row r="56" spans="1:14" x14ac:dyDescent="0.25">
      <c r="A56" s="13">
        <v>49</v>
      </c>
      <c r="B56" s="9" t="s">
        <v>319</v>
      </c>
      <c r="C56" s="10" t="s">
        <v>534</v>
      </c>
      <c r="D56" s="11" t="s">
        <v>121</v>
      </c>
      <c r="E56" s="27">
        <v>6</v>
      </c>
      <c r="F56" s="27">
        <v>2</v>
      </c>
      <c r="G56" s="27">
        <v>1</v>
      </c>
      <c r="H56" s="28">
        <f t="shared" si="3"/>
        <v>261</v>
      </c>
      <c r="I56" s="29">
        <f t="shared" si="0"/>
        <v>87</v>
      </c>
      <c r="J56" s="27">
        <f t="shared" si="1"/>
        <v>14</v>
      </c>
      <c r="K56" s="27" t="str">
        <f t="shared" si="4"/>
        <v>TUNTAS</v>
      </c>
      <c r="L56" s="13" t="str">
        <f t="shared" si="5"/>
        <v xml:space="preserve"> </v>
      </c>
      <c r="M56" s="1"/>
      <c r="N56" s="2">
        <f t="shared" si="6"/>
        <v>8.6999999999999993</v>
      </c>
    </row>
    <row r="57" spans="1:14" x14ac:dyDescent="0.25">
      <c r="A57" s="13">
        <v>50</v>
      </c>
      <c r="B57" s="9" t="s">
        <v>321</v>
      </c>
      <c r="C57" s="10" t="s">
        <v>2889</v>
      </c>
      <c r="D57" s="11" t="s">
        <v>99</v>
      </c>
      <c r="E57" s="27">
        <v>8</v>
      </c>
      <c r="F57" s="27">
        <v>0</v>
      </c>
      <c r="G57" s="27">
        <v>0</v>
      </c>
      <c r="H57" s="28">
        <f t="shared" si="3"/>
        <v>276</v>
      </c>
      <c r="I57" s="29">
        <f t="shared" si="0"/>
        <v>92</v>
      </c>
      <c r="J57" s="27">
        <f t="shared" si="1"/>
        <v>9</v>
      </c>
      <c r="K57" s="27" t="str">
        <f t="shared" si="4"/>
        <v>TUNTAS</v>
      </c>
      <c r="L57" s="13" t="str">
        <f t="shared" si="5"/>
        <v xml:space="preserve"> </v>
      </c>
      <c r="M57" s="1"/>
      <c r="N57" s="2">
        <f t="shared" si="6"/>
        <v>9.1999999999999993</v>
      </c>
    </row>
    <row r="58" spans="1:14" x14ac:dyDescent="0.25">
      <c r="A58" s="13">
        <v>51</v>
      </c>
      <c r="B58" s="9" t="s">
        <v>323</v>
      </c>
      <c r="C58" s="10" t="s">
        <v>2890</v>
      </c>
      <c r="D58" s="11" t="s">
        <v>131</v>
      </c>
      <c r="E58" s="27">
        <v>0</v>
      </c>
      <c r="F58" s="27">
        <v>0</v>
      </c>
      <c r="G58" s="27">
        <v>0</v>
      </c>
      <c r="H58" s="28">
        <f t="shared" si="3"/>
        <v>300</v>
      </c>
      <c r="I58" s="29">
        <f t="shared" si="0"/>
        <v>100</v>
      </c>
      <c r="J58" s="27">
        <f t="shared" si="1"/>
        <v>1</v>
      </c>
      <c r="K58" s="27" t="str">
        <f t="shared" si="4"/>
        <v>TUNTAS</v>
      </c>
      <c r="L58" s="13" t="str">
        <f t="shared" si="5"/>
        <v xml:space="preserve"> </v>
      </c>
      <c r="M58" s="1"/>
      <c r="N58" s="2">
        <f t="shared" si="6"/>
        <v>10</v>
      </c>
    </row>
    <row r="59" spans="1:14" x14ac:dyDescent="0.25">
      <c r="A59" s="13">
        <v>52</v>
      </c>
      <c r="B59" s="9" t="s">
        <v>325</v>
      </c>
      <c r="C59" s="10" t="s">
        <v>2891</v>
      </c>
      <c r="D59" s="11" t="s">
        <v>72</v>
      </c>
      <c r="E59" s="27">
        <v>6</v>
      </c>
      <c r="F59" s="27">
        <v>4</v>
      </c>
      <c r="G59" s="27">
        <v>5</v>
      </c>
      <c r="H59" s="28">
        <f t="shared" si="3"/>
        <v>195</v>
      </c>
      <c r="I59" s="29">
        <f t="shared" si="0"/>
        <v>65</v>
      </c>
      <c r="J59" s="27">
        <f t="shared" si="1"/>
        <v>37</v>
      </c>
      <c r="K59" s="27" t="str">
        <f t="shared" si="4"/>
        <v>TUNTAS</v>
      </c>
      <c r="L59" s="13" t="str">
        <f>IF(G59&gt;5,"TM", " ")</f>
        <v xml:space="preserve"> </v>
      </c>
      <c r="N59" s="2">
        <f t="shared" si="6"/>
        <v>6.5</v>
      </c>
    </row>
    <row r="60" spans="1:14" x14ac:dyDescent="0.25">
      <c r="A60" s="13">
        <v>53</v>
      </c>
      <c r="B60" s="9" t="s">
        <v>328</v>
      </c>
      <c r="C60" s="10" t="s">
        <v>2892</v>
      </c>
      <c r="D60" s="11" t="s">
        <v>89</v>
      </c>
      <c r="E60" s="27">
        <v>12</v>
      </c>
      <c r="F60" s="27">
        <v>9</v>
      </c>
      <c r="G60" s="27">
        <v>6</v>
      </c>
      <c r="H60" s="28">
        <f t="shared" si="3"/>
        <v>147</v>
      </c>
      <c r="I60" s="29">
        <f t="shared" si="0"/>
        <v>49</v>
      </c>
      <c r="J60" s="27">
        <f t="shared" si="1"/>
        <v>46</v>
      </c>
      <c r="K60" s="27" t="str">
        <f t="shared" si="4"/>
        <v>TIDAK TUNTAS</v>
      </c>
      <c r="L60" s="13" t="str">
        <f t="shared" si="5"/>
        <v>TM</v>
      </c>
      <c r="N60" s="2">
        <f t="shared" si="6"/>
        <v>4.9000000000000004</v>
      </c>
    </row>
    <row r="61" spans="1:14" x14ac:dyDescent="0.25">
      <c r="A61" s="34">
        <v>54</v>
      </c>
      <c r="B61" s="35"/>
      <c r="C61" s="40" t="s">
        <v>3288</v>
      </c>
      <c r="D61" s="41" t="s">
        <v>3289</v>
      </c>
      <c r="E61" s="42">
        <v>6</v>
      </c>
      <c r="F61" s="42">
        <v>2</v>
      </c>
      <c r="G61" s="42">
        <v>3</v>
      </c>
      <c r="H61" s="43">
        <f t="shared" si="3"/>
        <v>231</v>
      </c>
      <c r="I61" s="44">
        <f t="shared" si="0"/>
        <v>77</v>
      </c>
      <c r="J61" s="42">
        <f t="shared" si="1"/>
        <v>20</v>
      </c>
      <c r="K61" s="42" t="str">
        <f t="shared" si="4"/>
        <v>TUNTAS</v>
      </c>
      <c r="L61" s="34" t="str">
        <f t="shared" si="5"/>
        <v xml:space="preserve"> </v>
      </c>
      <c r="N61" s="2">
        <f t="shared" si="6"/>
        <v>7.7</v>
      </c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phoneticPr fontId="13" type="noConversion"/>
  <conditionalFormatting sqref="D8:D10">
    <cfRule type="cellIs" dxfId="170" priority="9" operator="equal">
      <formula>0</formula>
    </cfRule>
  </conditionalFormatting>
  <conditionalFormatting sqref="I8:I61">
    <cfRule type="cellIs" dxfId="169" priority="3" operator="lessThan">
      <formula>60</formula>
    </cfRule>
    <cfRule type="cellIs" dxfId="168" priority="4" operator="lessThan">
      <formula>60</formula>
    </cfRule>
    <cfRule type="cellIs" dxfId="167" priority="5" operator="lessThan">
      <formula>50</formula>
    </cfRule>
  </conditionalFormatting>
  <conditionalFormatting sqref="K8:K61">
    <cfRule type="cellIs" dxfId="166" priority="1" operator="equal">
      <formula>"TIDAK BACA"</formula>
    </cfRule>
    <cfRule type="cellIs" dxfId="165" priority="2" operator="equal">
      <formula>"TIDAK TUNTAS"</formula>
    </cfRule>
    <cfRule type="cellIs" dxfId="164" priority="6" operator="equal">
      <formula>"TUNTAS"</formula>
    </cfRule>
    <cfRule type="cellIs" dxfId="163" priority="7" operator="equal">
      <formula>"TIDAK HADIR"</formula>
    </cfRule>
    <cfRule type="cellIs" dxfId="162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4BDCBED9-ADD6-4C3F-A8B8-14C35758E4B4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40A7-CEE1-4E3D-B8EA-E2B91D5DEAD7}">
  <sheetPr>
    <tabColor theme="6" tint="0.39997558519241921"/>
  </sheetPr>
  <dimension ref="A1:N60"/>
  <sheetViews>
    <sheetView zoomScaleNormal="100" workbookViewId="0">
      <pane xSplit="1" ySplit="7" topLeftCell="B47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N8" sqref="N8:N58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3291</v>
      </c>
      <c r="B4" s="51"/>
      <c r="C4" s="51"/>
      <c r="D4" s="51"/>
      <c r="E4" s="51"/>
      <c r="F4" s="51"/>
      <c r="G4" s="51"/>
      <c r="H4" s="51"/>
      <c r="I4" s="51"/>
      <c r="K4" s="33" t="s">
        <v>3279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330</v>
      </c>
      <c r="C8" s="10" t="s">
        <v>2893</v>
      </c>
      <c r="D8" s="11" t="s">
        <v>100</v>
      </c>
      <c r="E8" s="27">
        <v>5</v>
      </c>
      <c r="F8" s="27">
        <v>0</v>
      </c>
      <c r="G8" s="27">
        <v>0</v>
      </c>
      <c r="H8" s="28">
        <f>100-E8*3+100-F8*3+100-G8*15</f>
        <v>285</v>
      </c>
      <c r="I8" s="29">
        <f t="shared" ref="I8:I58" si="0">H8/3</f>
        <v>95</v>
      </c>
      <c r="J8" s="27">
        <f t="shared" ref="J8:J58" si="1">RANK(H8,$H$8:$H$97)</f>
        <v>6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9.5</v>
      </c>
    </row>
    <row r="9" spans="1:14" ht="15.95" customHeight="1" x14ac:dyDescent="0.25">
      <c r="A9" s="13">
        <v>2</v>
      </c>
      <c r="B9" s="9" t="s">
        <v>332</v>
      </c>
      <c r="C9" s="10" t="s">
        <v>2894</v>
      </c>
      <c r="D9" s="11" t="s">
        <v>15</v>
      </c>
      <c r="E9" s="27">
        <v>7</v>
      </c>
      <c r="F9" s="27">
        <v>4</v>
      </c>
      <c r="G9" s="27">
        <v>2</v>
      </c>
      <c r="H9" s="28">
        <f t="shared" ref="H9:H58" si="3">100-E9*3+100-F9*3+100-G9*15</f>
        <v>237</v>
      </c>
      <c r="I9" s="29">
        <f t="shared" si="0"/>
        <v>79</v>
      </c>
      <c r="J9" s="27">
        <f t="shared" si="1"/>
        <v>20</v>
      </c>
      <c r="K9" s="27" t="str">
        <f t="shared" ref="K9:K58" si="4">IF(I9&lt;11.1,"TIDAK HADIR",IF(I9&lt;13.1,"TIDAK BACA",IF(I9&lt;$K$7,"TIDAK TUNTAS","TUNTAS")))</f>
        <v>TUNTAS</v>
      </c>
      <c r="L9" s="13" t="str">
        <f t="shared" ref="L9:L58" si="5">IF(G9&gt;5,"TM", " ")</f>
        <v xml:space="preserve"> </v>
      </c>
      <c r="M9" s="1"/>
      <c r="N9" s="2">
        <f t="shared" si="2"/>
        <v>7.9</v>
      </c>
    </row>
    <row r="10" spans="1:14" ht="15.95" customHeight="1" x14ac:dyDescent="0.25">
      <c r="A10" s="13">
        <v>3</v>
      </c>
      <c r="B10" s="9" t="s">
        <v>334</v>
      </c>
      <c r="C10" s="10" t="s">
        <v>2895</v>
      </c>
      <c r="D10" s="11" t="s">
        <v>17</v>
      </c>
      <c r="E10" s="27">
        <v>12</v>
      </c>
      <c r="F10" s="27">
        <v>6</v>
      </c>
      <c r="G10" s="27">
        <v>5</v>
      </c>
      <c r="H10" s="28">
        <f t="shared" si="3"/>
        <v>171</v>
      </c>
      <c r="I10" s="29">
        <f>H10/3</f>
        <v>57</v>
      </c>
      <c r="J10" s="27">
        <f t="shared" si="1"/>
        <v>37</v>
      </c>
      <c r="K10" s="27" t="str">
        <f t="shared" si="4"/>
        <v>TIDAK TUNTAS</v>
      </c>
      <c r="L10" s="13" t="str">
        <f t="shared" si="5"/>
        <v xml:space="preserve"> </v>
      </c>
      <c r="M10" s="1"/>
      <c r="N10" s="2">
        <f t="shared" si="2"/>
        <v>5.7</v>
      </c>
    </row>
    <row r="11" spans="1:14" ht="15.95" customHeight="1" x14ac:dyDescent="0.25">
      <c r="A11" s="13">
        <v>4</v>
      </c>
      <c r="B11" s="9" t="s">
        <v>336</v>
      </c>
      <c r="C11" s="10" t="s">
        <v>2896</v>
      </c>
      <c r="D11" s="11" t="s">
        <v>17</v>
      </c>
      <c r="E11" s="27">
        <v>8</v>
      </c>
      <c r="F11" s="27">
        <v>4</v>
      </c>
      <c r="G11" s="27">
        <v>3</v>
      </c>
      <c r="H11" s="28">
        <f t="shared" si="3"/>
        <v>219</v>
      </c>
      <c r="I11" s="29">
        <f t="shared" si="0"/>
        <v>73</v>
      </c>
      <c r="J11" s="27">
        <f t="shared" si="1"/>
        <v>23</v>
      </c>
      <c r="K11" s="27" t="str">
        <f t="shared" si="4"/>
        <v>TUNTAS</v>
      </c>
      <c r="L11" s="13" t="str">
        <f t="shared" si="5"/>
        <v xml:space="preserve"> </v>
      </c>
      <c r="M11" s="1"/>
      <c r="N11" s="2">
        <f t="shared" si="2"/>
        <v>7.3</v>
      </c>
    </row>
    <row r="12" spans="1:14" ht="15.95" customHeight="1" x14ac:dyDescent="0.25">
      <c r="A12" s="13">
        <v>5</v>
      </c>
      <c r="B12" s="9" t="s">
        <v>338</v>
      </c>
      <c r="C12" s="10" t="s">
        <v>2897</v>
      </c>
      <c r="D12" s="11" t="s">
        <v>18</v>
      </c>
      <c r="E12" s="27">
        <v>6</v>
      </c>
      <c r="F12" s="27">
        <v>4</v>
      </c>
      <c r="G12" s="27">
        <v>2</v>
      </c>
      <c r="H12" s="28">
        <f t="shared" si="3"/>
        <v>240</v>
      </c>
      <c r="I12" s="29">
        <f t="shared" si="0"/>
        <v>80</v>
      </c>
      <c r="J12" s="27">
        <f t="shared" si="1"/>
        <v>19</v>
      </c>
      <c r="K12" s="27" t="str">
        <f t="shared" si="4"/>
        <v>TUNTAS</v>
      </c>
      <c r="L12" s="13" t="str">
        <f t="shared" si="5"/>
        <v xml:space="preserve"> </v>
      </c>
      <c r="M12" s="1"/>
      <c r="N12" s="2">
        <f t="shared" si="2"/>
        <v>8</v>
      </c>
    </row>
    <row r="13" spans="1:14" ht="15.95" customHeight="1" x14ac:dyDescent="0.25">
      <c r="A13" s="13">
        <v>6</v>
      </c>
      <c r="B13" s="9" t="s">
        <v>339</v>
      </c>
      <c r="C13" s="10" t="s">
        <v>2898</v>
      </c>
      <c r="D13" s="11" t="s">
        <v>19</v>
      </c>
      <c r="E13" s="27">
        <v>5</v>
      </c>
      <c r="F13" s="27">
        <v>1</v>
      </c>
      <c r="G13" s="27">
        <v>1</v>
      </c>
      <c r="H13" s="28">
        <f t="shared" si="3"/>
        <v>267</v>
      </c>
      <c r="I13" s="29">
        <f t="shared" si="0"/>
        <v>89</v>
      </c>
      <c r="J13" s="27">
        <f t="shared" si="1"/>
        <v>9</v>
      </c>
      <c r="K13" s="27" t="str">
        <f t="shared" si="4"/>
        <v>TUNTAS</v>
      </c>
      <c r="L13" s="13" t="str">
        <f t="shared" si="5"/>
        <v xml:space="preserve"> </v>
      </c>
      <c r="M13" s="1"/>
      <c r="N13" s="2">
        <f t="shared" si="2"/>
        <v>8.9</v>
      </c>
    </row>
    <row r="14" spans="1:14" ht="15.95" customHeight="1" x14ac:dyDescent="0.25">
      <c r="A14" s="13">
        <v>7</v>
      </c>
      <c r="B14" s="9" t="s">
        <v>341</v>
      </c>
      <c r="C14" s="10" t="s">
        <v>2899</v>
      </c>
      <c r="D14" s="11" t="s">
        <v>155</v>
      </c>
      <c r="E14" s="27">
        <v>16</v>
      </c>
      <c r="F14" s="27">
        <v>13</v>
      </c>
      <c r="G14" s="27">
        <v>6</v>
      </c>
      <c r="H14" s="28">
        <f t="shared" si="3"/>
        <v>123</v>
      </c>
      <c r="I14" s="29">
        <f t="shared" si="0"/>
        <v>41</v>
      </c>
      <c r="J14" s="27">
        <f t="shared" si="1"/>
        <v>44</v>
      </c>
      <c r="K14" s="27" t="str">
        <f t="shared" si="4"/>
        <v>TIDAK TUNTAS</v>
      </c>
      <c r="L14" s="13" t="str">
        <f t="shared" si="5"/>
        <v>TM</v>
      </c>
      <c r="M14" s="1"/>
      <c r="N14" s="2">
        <f t="shared" si="2"/>
        <v>4.0999999999999996</v>
      </c>
    </row>
    <row r="15" spans="1:14" ht="15.95" customHeight="1" x14ac:dyDescent="0.25">
      <c r="A15" s="13">
        <v>8</v>
      </c>
      <c r="B15" s="9" t="s">
        <v>342</v>
      </c>
      <c r="C15" s="17" t="s">
        <v>2116</v>
      </c>
      <c r="D15" s="18" t="s">
        <v>20</v>
      </c>
      <c r="E15" s="27">
        <v>18</v>
      </c>
      <c r="F15" s="27">
        <v>8</v>
      </c>
      <c r="G15" s="27">
        <v>3</v>
      </c>
      <c r="H15" s="28">
        <f t="shared" si="3"/>
        <v>177</v>
      </c>
      <c r="I15" s="29">
        <f t="shared" si="0"/>
        <v>59</v>
      </c>
      <c r="J15" s="27">
        <f t="shared" si="1"/>
        <v>32</v>
      </c>
      <c r="K15" s="27" t="str">
        <f t="shared" si="4"/>
        <v>TIDAK TUNTAS</v>
      </c>
      <c r="L15" s="13" t="str">
        <f t="shared" si="5"/>
        <v xml:space="preserve"> </v>
      </c>
      <c r="M15" s="1"/>
      <c r="N15" s="2">
        <f t="shared" si="2"/>
        <v>5.9</v>
      </c>
    </row>
    <row r="16" spans="1:14" ht="15.95" customHeight="1" x14ac:dyDescent="0.25">
      <c r="A16" s="13">
        <v>9</v>
      </c>
      <c r="B16" s="9" t="s">
        <v>344</v>
      </c>
      <c r="C16" s="10" t="s">
        <v>2900</v>
      </c>
      <c r="D16" s="11" t="s">
        <v>23</v>
      </c>
      <c r="E16" s="27">
        <v>8</v>
      </c>
      <c r="F16" s="27">
        <v>4</v>
      </c>
      <c r="G16" s="27">
        <v>2</v>
      </c>
      <c r="H16" s="28">
        <f t="shared" si="3"/>
        <v>234</v>
      </c>
      <c r="I16" s="29">
        <f t="shared" si="0"/>
        <v>78</v>
      </c>
      <c r="J16" s="27">
        <f t="shared" si="1"/>
        <v>21</v>
      </c>
      <c r="K16" s="27" t="str">
        <f t="shared" si="4"/>
        <v>TUNTAS</v>
      </c>
      <c r="L16" s="13" t="str">
        <f t="shared" si="5"/>
        <v xml:space="preserve"> </v>
      </c>
      <c r="M16" s="1"/>
      <c r="N16" s="2">
        <f t="shared" si="2"/>
        <v>7.8</v>
      </c>
    </row>
    <row r="17" spans="1:14" ht="15.95" customHeight="1" x14ac:dyDescent="0.25">
      <c r="A17" s="13">
        <v>10</v>
      </c>
      <c r="B17" s="9" t="s">
        <v>346</v>
      </c>
      <c r="C17" s="10" t="s">
        <v>2901</v>
      </c>
      <c r="D17" s="11" t="s">
        <v>25</v>
      </c>
      <c r="E17" s="27">
        <v>4</v>
      </c>
      <c r="F17" s="27">
        <v>6</v>
      </c>
      <c r="G17" s="27">
        <v>5</v>
      </c>
      <c r="H17" s="28">
        <f t="shared" si="3"/>
        <v>195</v>
      </c>
      <c r="I17" s="29">
        <f t="shared" si="0"/>
        <v>65</v>
      </c>
      <c r="J17" s="27">
        <f t="shared" si="1"/>
        <v>28</v>
      </c>
      <c r="K17" s="27" t="str">
        <f t="shared" si="4"/>
        <v>TUNTAS</v>
      </c>
      <c r="L17" s="13" t="str">
        <f t="shared" si="5"/>
        <v xml:space="preserve"> </v>
      </c>
      <c r="M17" s="1"/>
      <c r="N17" s="2">
        <f t="shared" si="2"/>
        <v>6.5</v>
      </c>
    </row>
    <row r="18" spans="1:14" ht="15.95" customHeight="1" x14ac:dyDescent="0.25">
      <c r="A18" s="13">
        <v>11</v>
      </c>
      <c r="B18" s="9" t="s">
        <v>347</v>
      </c>
      <c r="C18" s="17" t="s">
        <v>2902</v>
      </c>
      <c r="D18" s="18" t="s">
        <v>27</v>
      </c>
      <c r="E18" s="27">
        <v>19</v>
      </c>
      <c r="F18" s="27">
        <v>16</v>
      </c>
      <c r="G18" s="27">
        <v>6</v>
      </c>
      <c r="H18" s="28">
        <f t="shared" si="3"/>
        <v>105</v>
      </c>
      <c r="I18" s="29">
        <f t="shared" si="0"/>
        <v>35</v>
      </c>
      <c r="J18" s="27">
        <f t="shared" si="1"/>
        <v>45</v>
      </c>
      <c r="K18" s="27" t="str">
        <f t="shared" si="4"/>
        <v>TIDAK TUNTAS</v>
      </c>
      <c r="L18" s="13" t="str">
        <f t="shared" si="5"/>
        <v>TM</v>
      </c>
      <c r="M18" s="1"/>
      <c r="N18" s="2">
        <f t="shared" si="2"/>
        <v>3.5</v>
      </c>
    </row>
    <row r="19" spans="1:14" ht="15.95" customHeight="1" x14ac:dyDescent="0.25">
      <c r="A19" s="13">
        <v>12</v>
      </c>
      <c r="B19" s="9" t="s">
        <v>350</v>
      </c>
      <c r="C19" s="17" t="s">
        <v>2903</v>
      </c>
      <c r="D19" s="18" t="s">
        <v>28</v>
      </c>
      <c r="E19" s="27">
        <v>11</v>
      </c>
      <c r="F19" s="27">
        <v>20</v>
      </c>
      <c r="G19" s="27">
        <v>4</v>
      </c>
      <c r="H19" s="28">
        <f t="shared" si="3"/>
        <v>147</v>
      </c>
      <c r="I19" s="29">
        <f t="shared" si="0"/>
        <v>49</v>
      </c>
      <c r="J19" s="27">
        <f t="shared" si="1"/>
        <v>40</v>
      </c>
      <c r="K19" s="27" t="str">
        <f t="shared" si="4"/>
        <v>TIDAK TUNTAS</v>
      </c>
      <c r="L19" s="13" t="str">
        <f t="shared" si="5"/>
        <v xml:space="preserve"> </v>
      </c>
      <c r="M19" s="1"/>
      <c r="N19" s="2">
        <f t="shared" si="2"/>
        <v>4.9000000000000004</v>
      </c>
    </row>
    <row r="20" spans="1:14" ht="15.95" customHeight="1" x14ac:dyDescent="0.25">
      <c r="A20" s="13">
        <v>13</v>
      </c>
      <c r="B20" s="9" t="s">
        <v>352</v>
      </c>
      <c r="C20" s="10" t="s">
        <v>2904</v>
      </c>
      <c r="D20" s="11" t="s">
        <v>29</v>
      </c>
      <c r="E20" s="27">
        <v>2</v>
      </c>
      <c r="F20" s="27">
        <v>0</v>
      </c>
      <c r="G20" s="27">
        <v>0</v>
      </c>
      <c r="H20" s="28">
        <f t="shared" si="3"/>
        <v>294</v>
      </c>
      <c r="I20" s="29">
        <f t="shared" si="0"/>
        <v>98</v>
      </c>
      <c r="J20" s="27">
        <f t="shared" si="1"/>
        <v>3</v>
      </c>
      <c r="K20" s="27" t="str">
        <f t="shared" si="4"/>
        <v>TUNTAS</v>
      </c>
      <c r="L20" s="13" t="str">
        <f t="shared" si="5"/>
        <v xml:space="preserve"> </v>
      </c>
      <c r="M20" s="1"/>
      <c r="N20" s="2">
        <f t="shared" si="2"/>
        <v>9.8000000000000007</v>
      </c>
    </row>
    <row r="21" spans="1:14" ht="15.95" customHeight="1" x14ac:dyDescent="0.25">
      <c r="A21" s="13">
        <v>14</v>
      </c>
      <c r="B21" s="9" t="s">
        <v>354</v>
      </c>
      <c r="C21" s="10" t="s">
        <v>2905</v>
      </c>
      <c r="D21" s="11" t="s">
        <v>29</v>
      </c>
      <c r="E21" s="27">
        <v>3</v>
      </c>
      <c r="F21" s="27">
        <v>0</v>
      </c>
      <c r="G21" s="27">
        <v>0</v>
      </c>
      <c r="H21" s="28">
        <f t="shared" si="3"/>
        <v>291</v>
      </c>
      <c r="I21" s="29">
        <f t="shared" si="0"/>
        <v>97</v>
      </c>
      <c r="J21" s="27">
        <f t="shared" si="1"/>
        <v>4</v>
      </c>
      <c r="K21" s="27" t="str">
        <f t="shared" si="4"/>
        <v>TUNTAS</v>
      </c>
      <c r="L21" s="13" t="str">
        <f t="shared" si="5"/>
        <v xml:space="preserve"> </v>
      </c>
      <c r="M21" s="1"/>
      <c r="N21" s="2">
        <f t="shared" si="2"/>
        <v>9.6999999999999993</v>
      </c>
    </row>
    <row r="22" spans="1:14" ht="15.95" customHeight="1" x14ac:dyDescent="0.25">
      <c r="A22" s="13">
        <v>15</v>
      </c>
      <c r="B22" s="9" t="s">
        <v>356</v>
      </c>
      <c r="C22" s="10" t="s">
        <v>2906</v>
      </c>
      <c r="D22" s="11" t="s">
        <v>102</v>
      </c>
      <c r="E22" s="27">
        <v>7</v>
      </c>
      <c r="F22" s="27">
        <v>1</v>
      </c>
      <c r="G22" s="27">
        <v>4</v>
      </c>
      <c r="H22" s="28">
        <f t="shared" si="3"/>
        <v>216</v>
      </c>
      <c r="I22" s="29">
        <f t="shared" si="0"/>
        <v>72</v>
      </c>
      <c r="J22" s="27">
        <f t="shared" si="1"/>
        <v>24</v>
      </c>
      <c r="K22" s="27" t="str">
        <f t="shared" si="4"/>
        <v>TUNTAS</v>
      </c>
      <c r="L22" s="13" t="str">
        <f t="shared" si="5"/>
        <v xml:space="preserve"> </v>
      </c>
      <c r="M22" s="1"/>
      <c r="N22" s="2">
        <f t="shared" si="2"/>
        <v>7.2</v>
      </c>
    </row>
    <row r="23" spans="1:14" ht="15.95" customHeight="1" x14ac:dyDescent="0.25">
      <c r="A23" s="13">
        <v>16</v>
      </c>
      <c r="B23" s="9" t="s">
        <v>358</v>
      </c>
      <c r="C23" s="10" t="s">
        <v>2907</v>
      </c>
      <c r="D23" s="11" t="s">
        <v>91</v>
      </c>
      <c r="E23" s="27">
        <v>0</v>
      </c>
      <c r="F23" s="27">
        <v>4</v>
      </c>
      <c r="G23" s="27">
        <v>2</v>
      </c>
      <c r="H23" s="28">
        <f t="shared" si="3"/>
        <v>258</v>
      </c>
      <c r="I23" s="29">
        <f t="shared" si="0"/>
        <v>86</v>
      </c>
      <c r="J23" s="27">
        <f t="shared" si="1"/>
        <v>11</v>
      </c>
      <c r="K23" s="27" t="str">
        <f t="shared" si="4"/>
        <v>TUNTAS</v>
      </c>
      <c r="L23" s="13" t="str">
        <f t="shared" si="5"/>
        <v xml:space="preserve"> </v>
      </c>
      <c r="M23" s="1"/>
      <c r="N23" s="2">
        <f t="shared" si="2"/>
        <v>8.6</v>
      </c>
    </row>
    <row r="24" spans="1:14" ht="15.95" customHeight="1" x14ac:dyDescent="0.25">
      <c r="A24" s="13">
        <v>17</v>
      </c>
      <c r="B24" s="9" t="s">
        <v>360</v>
      </c>
      <c r="C24" s="10" t="s">
        <v>2908</v>
      </c>
      <c r="D24" s="11" t="s">
        <v>33</v>
      </c>
      <c r="E24" s="27">
        <v>4</v>
      </c>
      <c r="F24" s="27">
        <v>2</v>
      </c>
      <c r="G24" s="27">
        <v>1</v>
      </c>
      <c r="H24" s="28">
        <f t="shared" si="3"/>
        <v>267</v>
      </c>
      <c r="I24" s="29">
        <f t="shared" si="0"/>
        <v>89</v>
      </c>
      <c r="J24" s="27">
        <f t="shared" si="1"/>
        <v>9</v>
      </c>
      <c r="K24" s="27" t="str">
        <f t="shared" si="4"/>
        <v>TUNTAS</v>
      </c>
      <c r="L24" s="13" t="str">
        <f t="shared" si="5"/>
        <v xml:space="preserve"> </v>
      </c>
      <c r="M24" s="1"/>
      <c r="N24" s="2">
        <f>I24/10</f>
        <v>8.9</v>
      </c>
    </row>
    <row r="25" spans="1:14" ht="15.95" customHeight="1" x14ac:dyDescent="0.25">
      <c r="A25" s="30">
        <v>18</v>
      </c>
      <c r="B25" s="9" t="s">
        <v>362</v>
      </c>
      <c r="C25" s="10" t="s">
        <v>2909</v>
      </c>
      <c r="D25" s="11" t="s">
        <v>34</v>
      </c>
      <c r="E25" s="27">
        <v>3</v>
      </c>
      <c r="F25" s="27">
        <v>5</v>
      </c>
      <c r="G25" s="27">
        <v>2</v>
      </c>
      <c r="H25" s="28">
        <f t="shared" si="3"/>
        <v>246</v>
      </c>
      <c r="I25" s="29">
        <f t="shared" si="0"/>
        <v>82</v>
      </c>
      <c r="J25" s="27">
        <f t="shared" si="1"/>
        <v>15</v>
      </c>
      <c r="K25" s="27" t="str">
        <f t="shared" si="4"/>
        <v>TUNTAS</v>
      </c>
      <c r="L25" s="13" t="str">
        <f t="shared" si="5"/>
        <v xml:space="preserve"> </v>
      </c>
      <c r="M25" s="1"/>
      <c r="N25" s="2">
        <f t="shared" ref="N25:N58" si="6">I25/10</f>
        <v>8.1999999999999993</v>
      </c>
    </row>
    <row r="26" spans="1:14" ht="15.95" customHeight="1" x14ac:dyDescent="0.25">
      <c r="A26" s="13">
        <v>19</v>
      </c>
      <c r="B26" s="9" t="s">
        <v>364</v>
      </c>
      <c r="C26" s="10" t="s">
        <v>2910</v>
      </c>
      <c r="D26" s="11" t="s">
        <v>34</v>
      </c>
      <c r="E26" s="27">
        <v>4</v>
      </c>
      <c r="F26" s="27">
        <v>5</v>
      </c>
      <c r="G26" s="27">
        <v>2</v>
      </c>
      <c r="H26" s="28">
        <f t="shared" si="3"/>
        <v>243</v>
      </c>
      <c r="I26" s="29">
        <f t="shared" si="0"/>
        <v>81</v>
      </c>
      <c r="J26" s="27">
        <f t="shared" si="1"/>
        <v>17</v>
      </c>
      <c r="K26" s="27" t="str">
        <f t="shared" si="4"/>
        <v>TUNTAS</v>
      </c>
      <c r="L26" s="13" t="str">
        <f t="shared" si="5"/>
        <v xml:space="preserve"> </v>
      </c>
      <c r="M26" s="1"/>
      <c r="N26" s="2">
        <f t="shared" si="6"/>
        <v>8.1</v>
      </c>
    </row>
    <row r="27" spans="1:14" ht="15.95" customHeight="1" x14ac:dyDescent="0.25">
      <c r="A27" s="13">
        <v>20</v>
      </c>
      <c r="B27" s="9" t="s">
        <v>366</v>
      </c>
      <c r="C27" s="10" t="s">
        <v>115</v>
      </c>
      <c r="D27" s="11" t="s">
        <v>36</v>
      </c>
      <c r="E27" s="27">
        <v>9</v>
      </c>
      <c r="F27" s="27">
        <v>13</v>
      </c>
      <c r="G27" s="27">
        <v>4</v>
      </c>
      <c r="H27" s="28">
        <f t="shared" si="3"/>
        <v>174</v>
      </c>
      <c r="I27" s="29">
        <f t="shared" si="0"/>
        <v>58</v>
      </c>
      <c r="J27" s="27">
        <f t="shared" si="1"/>
        <v>34</v>
      </c>
      <c r="K27" s="27" t="str">
        <f t="shared" si="4"/>
        <v>TIDAK TUNTAS</v>
      </c>
      <c r="L27" s="13" t="str">
        <f t="shared" si="5"/>
        <v xml:space="preserve"> </v>
      </c>
      <c r="M27" s="1"/>
      <c r="N27" s="2">
        <f t="shared" si="6"/>
        <v>5.8</v>
      </c>
    </row>
    <row r="28" spans="1:14" ht="15.95" customHeight="1" x14ac:dyDescent="0.25">
      <c r="A28" s="13">
        <v>21</v>
      </c>
      <c r="B28" s="9" t="s">
        <v>368</v>
      </c>
      <c r="C28" s="10" t="s">
        <v>2911</v>
      </c>
      <c r="D28" s="11" t="s">
        <v>126</v>
      </c>
      <c r="E28" s="27">
        <v>32</v>
      </c>
      <c r="F28" s="27">
        <v>32</v>
      </c>
      <c r="G28" s="27">
        <v>5</v>
      </c>
      <c r="H28" s="28">
        <f t="shared" si="3"/>
        <v>33</v>
      </c>
      <c r="I28" s="29">
        <f t="shared" si="0"/>
        <v>11</v>
      </c>
      <c r="J28" s="27">
        <f t="shared" si="1"/>
        <v>50</v>
      </c>
      <c r="K28" s="27" t="str">
        <f t="shared" si="4"/>
        <v>TIDAK HADIR</v>
      </c>
      <c r="L28" s="13" t="s">
        <v>3264</v>
      </c>
      <c r="M28" s="1"/>
      <c r="N28" s="2">
        <f t="shared" si="6"/>
        <v>1.1000000000000001</v>
      </c>
    </row>
    <row r="29" spans="1:14" ht="15.95" customHeight="1" x14ac:dyDescent="0.25">
      <c r="A29" s="13">
        <v>22</v>
      </c>
      <c r="B29" s="9" t="s">
        <v>370</v>
      </c>
      <c r="C29" s="10" t="s">
        <v>2912</v>
      </c>
      <c r="D29" s="11" t="s">
        <v>37</v>
      </c>
      <c r="E29" s="27">
        <v>17</v>
      </c>
      <c r="F29" s="27">
        <v>5</v>
      </c>
      <c r="G29" s="27">
        <v>4</v>
      </c>
      <c r="H29" s="28">
        <f t="shared" si="3"/>
        <v>174</v>
      </c>
      <c r="I29" s="29">
        <f t="shared" si="0"/>
        <v>58</v>
      </c>
      <c r="J29" s="27">
        <f t="shared" si="1"/>
        <v>34</v>
      </c>
      <c r="K29" s="27" t="str">
        <f t="shared" si="4"/>
        <v>TIDAK TUNTAS</v>
      </c>
      <c r="L29" s="13" t="str">
        <f t="shared" si="5"/>
        <v xml:space="preserve"> </v>
      </c>
      <c r="M29" s="1"/>
      <c r="N29" s="2">
        <f t="shared" si="6"/>
        <v>5.8</v>
      </c>
    </row>
    <row r="30" spans="1:14" ht="15.95" customHeight="1" x14ac:dyDescent="0.25">
      <c r="A30" s="13">
        <v>23</v>
      </c>
      <c r="B30" s="9" t="s">
        <v>372</v>
      </c>
      <c r="C30" s="10" t="s">
        <v>487</v>
      </c>
      <c r="D30" s="11" t="s">
        <v>37</v>
      </c>
      <c r="E30" s="27">
        <v>18</v>
      </c>
      <c r="F30" s="27">
        <v>11</v>
      </c>
      <c r="G30" s="27">
        <v>5</v>
      </c>
      <c r="H30" s="28">
        <f t="shared" si="3"/>
        <v>138</v>
      </c>
      <c r="I30" s="29">
        <f t="shared" si="0"/>
        <v>46</v>
      </c>
      <c r="J30" s="27">
        <f t="shared" si="1"/>
        <v>42</v>
      </c>
      <c r="K30" s="27" t="str">
        <f t="shared" si="4"/>
        <v>TIDAK TUNTAS</v>
      </c>
      <c r="L30" s="13" t="str">
        <f t="shared" si="5"/>
        <v xml:space="preserve"> </v>
      </c>
      <c r="M30" s="1"/>
      <c r="N30" s="2">
        <f t="shared" si="6"/>
        <v>4.5999999999999996</v>
      </c>
    </row>
    <row r="31" spans="1:14" ht="15.95" customHeight="1" x14ac:dyDescent="0.25">
      <c r="A31" s="13">
        <v>24</v>
      </c>
      <c r="B31" s="9" t="s">
        <v>374</v>
      </c>
      <c r="C31" s="10" t="s">
        <v>2913</v>
      </c>
      <c r="D31" s="11" t="s">
        <v>38</v>
      </c>
      <c r="E31" s="27">
        <v>15</v>
      </c>
      <c r="F31" s="27">
        <v>9</v>
      </c>
      <c r="G31" s="27">
        <v>5</v>
      </c>
      <c r="H31" s="28">
        <f t="shared" si="3"/>
        <v>153</v>
      </c>
      <c r="I31" s="29">
        <f t="shared" si="0"/>
        <v>51</v>
      </c>
      <c r="J31" s="27">
        <f t="shared" si="1"/>
        <v>39</v>
      </c>
      <c r="K31" s="27" t="str">
        <f t="shared" si="4"/>
        <v>TIDAK TUNTAS</v>
      </c>
      <c r="L31" s="13" t="str">
        <f t="shared" si="5"/>
        <v xml:space="preserve"> </v>
      </c>
      <c r="M31" s="1"/>
      <c r="N31" s="2">
        <f t="shared" si="6"/>
        <v>5.0999999999999996</v>
      </c>
    </row>
    <row r="32" spans="1:14" ht="15.95" customHeight="1" x14ac:dyDescent="0.25">
      <c r="A32" s="13">
        <v>25</v>
      </c>
      <c r="B32" s="9" t="s">
        <v>375</v>
      </c>
      <c r="C32" s="10" t="s">
        <v>2914</v>
      </c>
      <c r="D32" s="11" t="s">
        <v>40</v>
      </c>
      <c r="E32" s="27">
        <v>5</v>
      </c>
      <c r="F32" s="27">
        <v>9</v>
      </c>
      <c r="G32" s="27">
        <v>4</v>
      </c>
      <c r="H32" s="28">
        <f t="shared" si="3"/>
        <v>198</v>
      </c>
      <c r="I32" s="29">
        <f t="shared" si="0"/>
        <v>66</v>
      </c>
      <c r="J32" s="27">
        <f t="shared" si="1"/>
        <v>27</v>
      </c>
      <c r="K32" s="27" t="str">
        <f t="shared" si="4"/>
        <v>TUNTAS</v>
      </c>
      <c r="L32" s="13" t="str">
        <f t="shared" si="5"/>
        <v xml:space="preserve"> </v>
      </c>
      <c r="M32" s="1"/>
      <c r="N32" s="2">
        <f t="shared" si="6"/>
        <v>6.6</v>
      </c>
    </row>
    <row r="33" spans="1:14" ht="15.95" customHeight="1" x14ac:dyDescent="0.25">
      <c r="A33" s="13">
        <v>26</v>
      </c>
      <c r="B33" s="9" t="s">
        <v>377</v>
      </c>
      <c r="C33" s="10" t="s">
        <v>2915</v>
      </c>
      <c r="D33" s="11" t="s">
        <v>144</v>
      </c>
      <c r="E33" s="27">
        <v>8</v>
      </c>
      <c r="F33" s="27">
        <v>2</v>
      </c>
      <c r="G33" s="27">
        <v>1</v>
      </c>
      <c r="H33" s="28">
        <f t="shared" si="3"/>
        <v>255</v>
      </c>
      <c r="I33" s="29">
        <f t="shared" si="0"/>
        <v>85</v>
      </c>
      <c r="J33" s="27">
        <f t="shared" si="1"/>
        <v>12</v>
      </c>
      <c r="K33" s="27" t="str">
        <f t="shared" si="4"/>
        <v>TUNTAS</v>
      </c>
      <c r="L33" s="13" t="str">
        <f t="shared" si="5"/>
        <v xml:space="preserve"> </v>
      </c>
      <c r="M33" s="1"/>
      <c r="N33" s="2">
        <f t="shared" si="6"/>
        <v>8.5</v>
      </c>
    </row>
    <row r="34" spans="1:14" ht="15.95" customHeight="1" x14ac:dyDescent="0.25">
      <c r="A34" s="13">
        <v>27</v>
      </c>
      <c r="B34" s="9" t="s">
        <v>379</v>
      </c>
      <c r="C34" s="10" t="s">
        <v>2916</v>
      </c>
      <c r="D34" s="11" t="s">
        <v>43</v>
      </c>
      <c r="E34" s="27">
        <v>3</v>
      </c>
      <c r="F34" s="27">
        <v>5</v>
      </c>
      <c r="G34" s="27">
        <v>2</v>
      </c>
      <c r="H34" s="28">
        <f t="shared" si="3"/>
        <v>246</v>
      </c>
      <c r="I34" s="29">
        <f t="shared" si="0"/>
        <v>82</v>
      </c>
      <c r="J34" s="27">
        <f t="shared" si="1"/>
        <v>15</v>
      </c>
      <c r="K34" s="27" t="str">
        <f t="shared" si="4"/>
        <v>TUNTAS</v>
      </c>
      <c r="L34" s="13" t="str">
        <f t="shared" si="5"/>
        <v xml:space="preserve"> </v>
      </c>
      <c r="M34" s="1"/>
      <c r="N34" s="2">
        <f t="shared" si="6"/>
        <v>8.1999999999999993</v>
      </c>
    </row>
    <row r="35" spans="1:14" ht="15.95" customHeight="1" x14ac:dyDescent="0.25">
      <c r="A35" s="13">
        <v>28</v>
      </c>
      <c r="B35" s="9" t="s">
        <v>381</v>
      </c>
      <c r="C35" s="10" t="s">
        <v>2917</v>
      </c>
      <c r="D35" s="11" t="s">
        <v>44</v>
      </c>
      <c r="E35" s="27">
        <v>15</v>
      </c>
      <c r="F35" s="27">
        <v>12</v>
      </c>
      <c r="G35" s="27">
        <v>4</v>
      </c>
      <c r="H35" s="28">
        <f t="shared" si="3"/>
        <v>159</v>
      </c>
      <c r="I35" s="29">
        <f t="shared" si="0"/>
        <v>53</v>
      </c>
      <c r="J35" s="27">
        <f t="shared" si="1"/>
        <v>38</v>
      </c>
      <c r="K35" s="27" t="str">
        <f t="shared" si="4"/>
        <v>TIDAK TUNTAS</v>
      </c>
      <c r="L35" s="13" t="str">
        <f t="shared" si="5"/>
        <v xml:space="preserve"> </v>
      </c>
      <c r="M35" s="1"/>
      <c r="N35" s="2">
        <f t="shared" si="6"/>
        <v>5.3</v>
      </c>
    </row>
    <row r="36" spans="1:14" ht="15.95" customHeight="1" x14ac:dyDescent="0.25">
      <c r="A36" s="13">
        <v>29</v>
      </c>
      <c r="B36" s="9" t="s">
        <v>383</v>
      </c>
      <c r="C36" s="10" t="s">
        <v>2918</v>
      </c>
      <c r="D36" s="11" t="s">
        <v>48</v>
      </c>
      <c r="E36" s="27">
        <v>25</v>
      </c>
      <c r="F36" s="27">
        <v>25</v>
      </c>
      <c r="G36" s="27">
        <v>5</v>
      </c>
      <c r="H36" s="28">
        <f t="shared" si="3"/>
        <v>75</v>
      </c>
      <c r="I36" s="29">
        <f t="shared" si="0"/>
        <v>25</v>
      </c>
      <c r="J36" s="27">
        <f t="shared" si="1"/>
        <v>47</v>
      </c>
      <c r="K36" s="27" t="str">
        <f t="shared" si="4"/>
        <v>TIDAK TUNTAS</v>
      </c>
      <c r="L36" s="13" t="str">
        <f t="shared" si="5"/>
        <v xml:space="preserve"> </v>
      </c>
      <c r="M36" s="1"/>
      <c r="N36" s="2">
        <f t="shared" si="6"/>
        <v>2.5</v>
      </c>
    </row>
    <row r="37" spans="1:14" ht="15.95" customHeight="1" x14ac:dyDescent="0.25">
      <c r="A37" s="13">
        <v>30</v>
      </c>
      <c r="B37" s="9" t="s">
        <v>385</v>
      </c>
      <c r="C37" s="10" t="s">
        <v>2919</v>
      </c>
      <c r="D37" s="11" t="s">
        <v>108</v>
      </c>
      <c r="E37" s="27">
        <v>30</v>
      </c>
      <c r="F37" s="27">
        <v>30</v>
      </c>
      <c r="G37" s="27">
        <v>5</v>
      </c>
      <c r="H37" s="28">
        <f t="shared" si="3"/>
        <v>45</v>
      </c>
      <c r="I37" s="29">
        <f t="shared" si="0"/>
        <v>15</v>
      </c>
      <c r="J37" s="27">
        <f t="shared" si="1"/>
        <v>49</v>
      </c>
      <c r="K37" s="27" t="str">
        <f t="shared" si="4"/>
        <v>TIDAK TUNTAS</v>
      </c>
      <c r="L37" s="13" t="str">
        <f t="shared" si="5"/>
        <v xml:space="preserve"> </v>
      </c>
      <c r="M37" s="1"/>
      <c r="N37" s="2">
        <f t="shared" si="6"/>
        <v>1.5</v>
      </c>
    </row>
    <row r="38" spans="1:14" ht="15.95" customHeight="1" x14ac:dyDescent="0.25">
      <c r="A38" s="13">
        <v>31</v>
      </c>
      <c r="B38" s="9" t="s">
        <v>387</v>
      </c>
      <c r="C38" s="10" t="s">
        <v>2920</v>
      </c>
      <c r="D38" s="11" t="s">
        <v>50</v>
      </c>
      <c r="E38" s="27">
        <v>1</v>
      </c>
      <c r="F38" s="27">
        <v>0</v>
      </c>
      <c r="G38" s="27">
        <v>0</v>
      </c>
      <c r="H38" s="28">
        <f t="shared" si="3"/>
        <v>297</v>
      </c>
      <c r="I38" s="29">
        <f t="shared" si="0"/>
        <v>99</v>
      </c>
      <c r="J38" s="27">
        <f t="shared" si="1"/>
        <v>2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9.9</v>
      </c>
    </row>
    <row r="39" spans="1:14" ht="15.95" customHeight="1" x14ac:dyDescent="0.25">
      <c r="A39" s="13">
        <v>32</v>
      </c>
      <c r="B39" s="9" t="s">
        <v>389</v>
      </c>
      <c r="C39" s="10" t="s">
        <v>2921</v>
      </c>
      <c r="D39" s="11" t="s">
        <v>52</v>
      </c>
      <c r="E39" s="27">
        <v>26</v>
      </c>
      <c r="F39" s="27">
        <v>25</v>
      </c>
      <c r="G39" s="27">
        <v>6</v>
      </c>
      <c r="H39" s="28">
        <f t="shared" si="3"/>
        <v>57</v>
      </c>
      <c r="I39" s="29">
        <f t="shared" si="0"/>
        <v>19</v>
      </c>
      <c r="J39" s="27">
        <f t="shared" si="1"/>
        <v>48</v>
      </c>
      <c r="K39" s="27" t="str">
        <f t="shared" si="4"/>
        <v>TIDAK TUNTAS</v>
      </c>
      <c r="L39" s="13" t="str">
        <f t="shared" si="5"/>
        <v>TM</v>
      </c>
      <c r="M39" s="1"/>
      <c r="N39" s="2">
        <f t="shared" si="6"/>
        <v>1.9</v>
      </c>
    </row>
    <row r="40" spans="1:14" ht="15.95" customHeight="1" x14ac:dyDescent="0.25">
      <c r="A40" s="13">
        <v>33</v>
      </c>
      <c r="B40" s="9" t="s">
        <v>391</v>
      </c>
      <c r="C40" s="10" t="s">
        <v>2922</v>
      </c>
      <c r="D40" s="11" t="s">
        <v>118</v>
      </c>
      <c r="E40" s="27">
        <v>17</v>
      </c>
      <c r="F40" s="27">
        <v>18</v>
      </c>
      <c r="G40" s="27">
        <v>6</v>
      </c>
      <c r="H40" s="28">
        <f t="shared" si="3"/>
        <v>105</v>
      </c>
      <c r="I40" s="29">
        <f t="shared" si="0"/>
        <v>35</v>
      </c>
      <c r="J40" s="27">
        <f t="shared" si="1"/>
        <v>45</v>
      </c>
      <c r="K40" s="27" t="str">
        <f t="shared" si="4"/>
        <v>TIDAK TUNTAS</v>
      </c>
      <c r="L40" s="13" t="s">
        <v>3267</v>
      </c>
      <c r="M40" s="1"/>
      <c r="N40" s="2">
        <f t="shared" si="6"/>
        <v>3.5</v>
      </c>
    </row>
    <row r="41" spans="1:14" ht="15.95" customHeight="1" x14ac:dyDescent="0.25">
      <c r="A41" s="13">
        <v>34</v>
      </c>
      <c r="B41" s="9" t="s">
        <v>393</v>
      </c>
      <c r="C41" s="10" t="s">
        <v>2923</v>
      </c>
      <c r="D41" s="11" t="s">
        <v>94</v>
      </c>
      <c r="E41" s="27">
        <v>17</v>
      </c>
      <c r="F41" s="27">
        <v>4</v>
      </c>
      <c r="G41" s="27">
        <v>4</v>
      </c>
      <c r="H41" s="28">
        <f t="shared" si="3"/>
        <v>177</v>
      </c>
      <c r="I41" s="29">
        <f t="shared" si="0"/>
        <v>59</v>
      </c>
      <c r="J41" s="27">
        <f t="shared" si="1"/>
        <v>32</v>
      </c>
      <c r="K41" s="27" t="str">
        <f t="shared" si="4"/>
        <v>TIDAK TUNTAS</v>
      </c>
      <c r="L41" s="13" t="str">
        <f t="shared" si="5"/>
        <v xml:space="preserve"> </v>
      </c>
      <c r="M41" s="1"/>
      <c r="N41" s="2">
        <f t="shared" si="6"/>
        <v>5.9</v>
      </c>
    </row>
    <row r="42" spans="1:14" ht="15.95" customHeight="1" x14ac:dyDescent="0.25">
      <c r="A42" s="13">
        <v>35</v>
      </c>
      <c r="B42" s="9" t="s">
        <v>395</v>
      </c>
      <c r="C42" s="10" t="s">
        <v>213</v>
      </c>
      <c r="D42" s="11" t="s">
        <v>138</v>
      </c>
      <c r="E42" s="27">
        <v>23</v>
      </c>
      <c r="F42" s="27">
        <v>1</v>
      </c>
      <c r="G42" s="27">
        <v>6</v>
      </c>
      <c r="H42" s="28">
        <f t="shared" si="3"/>
        <v>138</v>
      </c>
      <c r="I42" s="29">
        <f t="shared" si="0"/>
        <v>46</v>
      </c>
      <c r="J42" s="27">
        <f t="shared" si="1"/>
        <v>42</v>
      </c>
      <c r="K42" s="27" t="str">
        <f t="shared" si="4"/>
        <v>TIDAK TUNTAS</v>
      </c>
      <c r="L42" s="13" t="str">
        <f t="shared" si="5"/>
        <v>TM</v>
      </c>
      <c r="M42" s="1"/>
      <c r="N42" s="2">
        <f t="shared" si="6"/>
        <v>4.5999999999999996</v>
      </c>
    </row>
    <row r="43" spans="1:14" ht="15.95" customHeight="1" x14ac:dyDescent="0.25">
      <c r="A43" s="13">
        <v>36</v>
      </c>
      <c r="B43" s="9" t="s">
        <v>396</v>
      </c>
      <c r="C43" s="10" t="s">
        <v>137</v>
      </c>
      <c r="D43" s="11" t="s">
        <v>138</v>
      </c>
      <c r="E43" s="27">
        <v>32</v>
      </c>
      <c r="F43" s="27">
        <v>32</v>
      </c>
      <c r="G43" s="27">
        <v>5</v>
      </c>
      <c r="H43" s="28">
        <f t="shared" si="3"/>
        <v>33</v>
      </c>
      <c r="I43" s="29">
        <f t="shared" si="0"/>
        <v>11</v>
      </c>
      <c r="J43" s="27">
        <f t="shared" si="1"/>
        <v>50</v>
      </c>
      <c r="K43" s="27" t="str">
        <f t="shared" si="4"/>
        <v>TIDAK HADIR</v>
      </c>
      <c r="L43" s="13" t="s">
        <v>3264</v>
      </c>
      <c r="M43" s="1"/>
      <c r="N43" s="2">
        <f t="shared" si="6"/>
        <v>1.1000000000000001</v>
      </c>
    </row>
    <row r="44" spans="1:14" ht="15.95" customHeight="1" x14ac:dyDescent="0.25">
      <c r="A44" s="13">
        <v>37</v>
      </c>
      <c r="B44" s="9" t="s">
        <v>397</v>
      </c>
      <c r="C44" s="10" t="s">
        <v>2924</v>
      </c>
      <c r="D44" s="11" t="s">
        <v>58</v>
      </c>
      <c r="E44" s="27">
        <v>12</v>
      </c>
      <c r="F44" s="27">
        <v>9</v>
      </c>
      <c r="G44" s="27">
        <v>2</v>
      </c>
      <c r="H44" s="28">
        <f t="shared" si="3"/>
        <v>207</v>
      </c>
      <c r="I44" s="29">
        <f t="shared" si="0"/>
        <v>69</v>
      </c>
      <c r="J44" s="27">
        <f t="shared" si="1"/>
        <v>25</v>
      </c>
      <c r="K44" s="27" t="str">
        <f t="shared" si="4"/>
        <v>TUNTAS</v>
      </c>
      <c r="L44" s="13" t="str">
        <f t="shared" si="5"/>
        <v xml:space="preserve"> </v>
      </c>
      <c r="M44" s="1"/>
      <c r="N44" s="2">
        <f t="shared" si="6"/>
        <v>6.9</v>
      </c>
    </row>
    <row r="45" spans="1:14" ht="15.95" customHeight="1" x14ac:dyDescent="0.25">
      <c r="A45" s="13">
        <v>38</v>
      </c>
      <c r="B45" s="9" t="s">
        <v>399</v>
      </c>
      <c r="C45" s="10" t="s">
        <v>2925</v>
      </c>
      <c r="D45" s="11" t="s">
        <v>60</v>
      </c>
      <c r="E45" s="27">
        <v>10</v>
      </c>
      <c r="F45" s="27">
        <v>8</v>
      </c>
      <c r="G45" s="27">
        <v>3</v>
      </c>
      <c r="H45" s="28">
        <f t="shared" si="3"/>
        <v>201</v>
      </c>
      <c r="I45" s="29">
        <f t="shared" si="0"/>
        <v>67</v>
      </c>
      <c r="J45" s="27">
        <f t="shared" si="1"/>
        <v>26</v>
      </c>
      <c r="K45" s="27" t="str">
        <f t="shared" si="4"/>
        <v>TUNTAS</v>
      </c>
      <c r="L45" s="13" t="str">
        <f t="shared" si="5"/>
        <v xml:space="preserve"> </v>
      </c>
      <c r="M45" s="1"/>
      <c r="N45" s="2">
        <f t="shared" si="6"/>
        <v>6.7</v>
      </c>
    </row>
    <row r="46" spans="1:14" ht="15.95" customHeight="1" x14ac:dyDescent="0.25">
      <c r="A46" s="13">
        <v>39</v>
      </c>
      <c r="B46" s="9" t="s">
        <v>401</v>
      </c>
      <c r="C46" s="10" t="s">
        <v>2926</v>
      </c>
      <c r="D46" s="11" t="s">
        <v>61</v>
      </c>
      <c r="E46" s="27">
        <v>13</v>
      </c>
      <c r="F46" s="27">
        <v>7</v>
      </c>
      <c r="G46" s="27">
        <v>4</v>
      </c>
      <c r="H46" s="28">
        <f t="shared" si="3"/>
        <v>180</v>
      </c>
      <c r="I46" s="29">
        <f t="shared" si="0"/>
        <v>60</v>
      </c>
      <c r="J46" s="27">
        <f t="shared" si="1"/>
        <v>31</v>
      </c>
      <c r="K46" s="27" t="str">
        <f t="shared" si="4"/>
        <v>TUNTAS</v>
      </c>
      <c r="L46" s="13" t="str">
        <f t="shared" si="5"/>
        <v xml:space="preserve"> </v>
      </c>
      <c r="M46" s="1"/>
      <c r="N46" s="2">
        <f t="shared" si="6"/>
        <v>6</v>
      </c>
    </row>
    <row r="47" spans="1:14" ht="15.95" customHeight="1" x14ac:dyDescent="0.25">
      <c r="A47" s="13">
        <v>40</v>
      </c>
      <c r="B47" s="9" t="s">
        <v>403</v>
      </c>
      <c r="C47" s="10" t="s">
        <v>2927</v>
      </c>
      <c r="D47" s="11" t="s">
        <v>86</v>
      </c>
      <c r="E47" s="27">
        <v>9</v>
      </c>
      <c r="F47" s="27">
        <v>5</v>
      </c>
      <c r="G47" s="27">
        <v>1</v>
      </c>
      <c r="H47" s="28">
        <f t="shared" si="3"/>
        <v>243</v>
      </c>
      <c r="I47" s="29">
        <f t="shared" si="0"/>
        <v>81</v>
      </c>
      <c r="J47" s="27">
        <f t="shared" si="1"/>
        <v>17</v>
      </c>
      <c r="K47" s="27" t="str">
        <f t="shared" si="4"/>
        <v>TUNTAS</v>
      </c>
      <c r="L47" s="13" t="str">
        <f t="shared" si="5"/>
        <v xml:space="preserve"> </v>
      </c>
      <c r="M47" s="1"/>
      <c r="N47" s="2">
        <f t="shared" si="6"/>
        <v>8.1</v>
      </c>
    </row>
    <row r="48" spans="1:14" ht="15.95" customHeight="1" x14ac:dyDescent="0.25">
      <c r="A48" s="13">
        <v>41</v>
      </c>
      <c r="B48" s="9" t="s">
        <v>405</v>
      </c>
      <c r="C48" s="10" t="s">
        <v>2928</v>
      </c>
      <c r="D48" s="11" t="s">
        <v>64</v>
      </c>
      <c r="E48" s="27">
        <v>0</v>
      </c>
      <c r="F48" s="27">
        <v>0</v>
      </c>
      <c r="G48" s="27">
        <v>0</v>
      </c>
      <c r="H48" s="28">
        <f t="shared" si="3"/>
        <v>300</v>
      </c>
      <c r="I48" s="29">
        <f t="shared" si="0"/>
        <v>100</v>
      </c>
      <c r="J48" s="27">
        <f t="shared" si="1"/>
        <v>1</v>
      </c>
      <c r="K48" s="27" t="str">
        <f t="shared" si="4"/>
        <v>TUNTAS</v>
      </c>
      <c r="L48" s="13" t="str">
        <f t="shared" si="5"/>
        <v xml:space="preserve"> </v>
      </c>
      <c r="M48" s="1"/>
      <c r="N48" s="2">
        <f t="shared" si="6"/>
        <v>10</v>
      </c>
    </row>
    <row r="49" spans="1:14" ht="15.95" customHeight="1" x14ac:dyDescent="0.25">
      <c r="A49" s="13">
        <v>42</v>
      </c>
      <c r="B49" s="9" t="s">
        <v>407</v>
      </c>
      <c r="C49" s="10" t="s">
        <v>2929</v>
      </c>
      <c r="D49" s="11" t="s">
        <v>65</v>
      </c>
      <c r="E49" s="27">
        <v>7</v>
      </c>
      <c r="F49" s="27">
        <v>5</v>
      </c>
      <c r="G49" s="27">
        <v>1</v>
      </c>
      <c r="H49" s="28">
        <f t="shared" si="3"/>
        <v>249</v>
      </c>
      <c r="I49" s="29">
        <f t="shared" si="0"/>
        <v>83</v>
      </c>
      <c r="J49" s="27">
        <f t="shared" si="1"/>
        <v>14</v>
      </c>
      <c r="K49" s="27" t="str">
        <f t="shared" si="4"/>
        <v>TUNTAS</v>
      </c>
      <c r="L49" s="13" t="str">
        <f t="shared" si="5"/>
        <v xml:space="preserve"> </v>
      </c>
      <c r="M49" s="1"/>
      <c r="N49" s="2">
        <f t="shared" si="6"/>
        <v>8.3000000000000007</v>
      </c>
    </row>
    <row r="50" spans="1:14" ht="15.95" customHeight="1" x14ac:dyDescent="0.25">
      <c r="A50" s="13">
        <v>43</v>
      </c>
      <c r="B50" s="9" t="s">
        <v>408</v>
      </c>
      <c r="C50" s="10" t="s">
        <v>2930</v>
      </c>
      <c r="D50" s="11" t="s">
        <v>66</v>
      </c>
      <c r="E50" s="27">
        <v>16</v>
      </c>
      <c r="F50" s="27">
        <v>12</v>
      </c>
      <c r="G50" s="27">
        <v>5</v>
      </c>
      <c r="H50" s="28">
        <f t="shared" si="3"/>
        <v>141</v>
      </c>
      <c r="I50" s="29">
        <f t="shared" si="0"/>
        <v>47</v>
      </c>
      <c r="J50" s="27">
        <f t="shared" si="1"/>
        <v>41</v>
      </c>
      <c r="K50" s="27" t="str">
        <f t="shared" si="4"/>
        <v>TIDAK TUNTAS</v>
      </c>
      <c r="L50" s="13" t="str">
        <f t="shared" si="5"/>
        <v xml:space="preserve"> </v>
      </c>
      <c r="M50" s="1"/>
      <c r="N50" s="2">
        <f t="shared" si="6"/>
        <v>4.7</v>
      </c>
    </row>
    <row r="51" spans="1:14" ht="15.95" customHeight="1" x14ac:dyDescent="0.25">
      <c r="A51" s="13">
        <v>44</v>
      </c>
      <c r="B51" s="9" t="s">
        <v>410</v>
      </c>
      <c r="C51" s="10" t="s">
        <v>433</v>
      </c>
      <c r="D51" s="11" t="s">
        <v>98</v>
      </c>
      <c r="E51" s="27">
        <v>4</v>
      </c>
      <c r="F51" s="27">
        <v>6</v>
      </c>
      <c r="G51" s="27">
        <v>5</v>
      </c>
      <c r="H51" s="28">
        <f t="shared" si="3"/>
        <v>195</v>
      </c>
      <c r="I51" s="29">
        <f t="shared" si="0"/>
        <v>65</v>
      </c>
      <c r="J51" s="27">
        <f t="shared" si="1"/>
        <v>28</v>
      </c>
      <c r="K51" s="27" t="str">
        <f t="shared" si="4"/>
        <v>TUNTAS</v>
      </c>
      <c r="L51" s="13" t="str">
        <f t="shared" si="5"/>
        <v xml:space="preserve"> </v>
      </c>
      <c r="M51" s="1"/>
      <c r="N51" s="2">
        <f t="shared" si="6"/>
        <v>6.5</v>
      </c>
    </row>
    <row r="52" spans="1:14" ht="15.95" customHeight="1" x14ac:dyDescent="0.25">
      <c r="A52" s="13">
        <v>45</v>
      </c>
      <c r="B52" s="9" t="s">
        <v>412</v>
      </c>
      <c r="C52" s="10" t="s">
        <v>2931</v>
      </c>
      <c r="D52" s="11" t="s">
        <v>67</v>
      </c>
      <c r="E52" s="27">
        <v>12</v>
      </c>
      <c r="F52" s="27">
        <v>4</v>
      </c>
      <c r="G52" s="27">
        <v>4</v>
      </c>
      <c r="H52" s="28">
        <f t="shared" si="3"/>
        <v>192</v>
      </c>
      <c r="I52" s="29">
        <f t="shared" si="0"/>
        <v>64</v>
      </c>
      <c r="J52" s="27">
        <f t="shared" si="1"/>
        <v>30</v>
      </c>
      <c r="K52" s="27" t="str">
        <f t="shared" si="4"/>
        <v>TUNTAS</v>
      </c>
      <c r="L52" s="13" t="str">
        <f t="shared" si="5"/>
        <v xml:space="preserve"> </v>
      </c>
      <c r="M52" s="1"/>
      <c r="N52" s="2">
        <f t="shared" si="6"/>
        <v>6.4</v>
      </c>
    </row>
    <row r="53" spans="1:14" ht="15.95" customHeight="1" x14ac:dyDescent="0.25">
      <c r="A53" s="13">
        <v>46</v>
      </c>
      <c r="B53" s="9" t="s">
        <v>414</v>
      </c>
      <c r="C53" s="10" t="s">
        <v>2932</v>
      </c>
      <c r="D53" s="11" t="s">
        <v>87</v>
      </c>
      <c r="E53" s="27">
        <v>10</v>
      </c>
      <c r="F53" s="27">
        <v>7</v>
      </c>
      <c r="G53" s="27">
        <v>5</v>
      </c>
      <c r="H53" s="28">
        <f t="shared" si="3"/>
        <v>174</v>
      </c>
      <c r="I53" s="29">
        <f t="shared" si="0"/>
        <v>58</v>
      </c>
      <c r="J53" s="27">
        <f t="shared" si="1"/>
        <v>34</v>
      </c>
      <c r="K53" s="27" t="str">
        <f t="shared" si="4"/>
        <v>TIDAK TUNTAS</v>
      </c>
      <c r="L53" s="13" t="str">
        <f t="shared" si="5"/>
        <v xml:space="preserve"> </v>
      </c>
      <c r="M53" s="1"/>
      <c r="N53" s="2">
        <f t="shared" si="6"/>
        <v>5.8</v>
      </c>
    </row>
    <row r="54" spans="1:14" x14ac:dyDescent="0.25">
      <c r="A54" s="13">
        <v>47</v>
      </c>
      <c r="B54" s="9" t="s">
        <v>415</v>
      </c>
      <c r="C54" s="10" t="s">
        <v>2933</v>
      </c>
      <c r="D54" s="11" t="s">
        <v>68</v>
      </c>
      <c r="E54" s="27">
        <v>5</v>
      </c>
      <c r="F54" s="27">
        <v>0</v>
      </c>
      <c r="G54" s="27">
        <v>1</v>
      </c>
      <c r="H54" s="28">
        <f t="shared" si="3"/>
        <v>270</v>
      </c>
      <c r="I54" s="29">
        <f t="shared" si="0"/>
        <v>90</v>
      </c>
      <c r="J54" s="27">
        <f t="shared" si="1"/>
        <v>8</v>
      </c>
      <c r="K54" s="27" t="str">
        <f t="shared" si="4"/>
        <v>TUNTAS</v>
      </c>
      <c r="L54" s="13" t="str">
        <f t="shared" si="5"/>
        <v xml:space="preserve"> </v>
      </c>
      <c r="M54" s="1"/>
      <c r="N54" s="2">
        <f t="shared" si="6"/>
        <v>9</v>
      </c>
    </row>
    <row r="55" spans="1:14" x14ac:dyDescent="0.25">
      <c r="A55" s="13">
        <v>48</v>
      </c>
      <c r="B55" s="9" t="s">
        <v>417</v>
      </c>
      <c r="C55" s="10" t="s">
        <v>2934</v>
      </c>
      <c r="D55" s="11" t="s">
        <v>99</v>
      </c>
      <c r="E55" s="27">
        <v>7</v>
      </c>
      <c r="F55" s="27">
        <v>5</v>
      </c>
      <c r="G55" s="27">
        <v>2</v>
      </c>
      <c r="H55" s="28">
        <f t="shared" si="3"/>
        <v>234</v>
      </c>
      <c r="I55" s="29">
        <f t="shared" si="0"/>
        <v>78</v>
      </c>
      <c r="J55" s="27">
        <f t="shared" si="1"/>
        <v>21</v>
      </c>
      <c r="K55" s="27" t="str">
        <f t="shared" si="4"/>
        <v>TUNTAS</v>
      </c>
      <c r="L55" s="13" t="str">
        <f t="shared" si="5"/>
        <v xml:space="preserve"> </v>
      </c>
      <c r="M55" s="1"/>
      <c r="N55" s="2">
        <f>I55/10</f>
        <v>7.8</v>
      </c>
    </row>
    <row r="56" spans="1:14" x14ac:dyDescent="0.25">
      <c r="A56" s="13">
        <v>49</v>
      </c>
      <c r="B56" s="9" t="s">
        <v>418</v>
      </c>
      <c r="C56" s="10" t="s">
        <v>635</v>
      </c>
      <c r="D56" s="11" t="s">
        <v>70</v>
      </c>
      <c r="E56" s="27">
        <v>3</v>
      </c>
      <c r="F56" s="27">
        <v>1</v>
      </c>
      <c r="G56" s="27">
        <v>1</v>
      </c>
      <c r="H56" s="28">
        <f t="shared" si="3"/>
        <v>273</v>
      </c>
      <c r="I56" s="29">
        <f t="shared" si="0"/>
        <v>91</v>
      </c>
      <c r="J56" s="27">
        <f t="shared" si="1"/>
        <v>7</v>
      </c>
      <c r="K56" s="27" t="str">
        <f t="shared" si="4"/>
        <v>TUNTAS</v>
      </c>
      <c r="L56" s="13" t="str">
        <f t="shared" si="5"/>
        <v xml:space="preserve"> </v>
      </c>
      <c r="M56" s="1"/>
      <c r="N56" s="2">
        <f t="shared" si="6"/>
        <v>9.1</v>
      </c>
    </row>
    <row r="57" spans="1:14" x14ac:dyDescent="0.25">
      <c r="A57" s="13">
        <v>50</v>
      </c>
      <c r="B57" s="9" t="s">
        <v>420</v>
      </c>
      <c r="C57" s="10" t="s">
        <v>2935</v>
      </c>
      <c r="D57" s="11" t="s">
        <v>131</v>
      </c>
      <c r="E57" s="27">
        <v>5</v>
      </c>
      <c r="F57" s="27">
        <v>6</v>
      </c>
      <c r="G57" s="27">
        <v>1</v>
      </c>
      <c r="H57" s="28">
        <f t="shared" si="3"/>
        <v>252</v>
      </c>
      <c r="I57" s="29">
        <f t="shared" si="0"/>
        <v>84</v>
      </c>
      <c r="J57" s="27">
        <f t="shared" si="1"/>
        <v>13</v>
      </c>
      <c r="K57" s="27" t="str">
        <f t="shared" si="4"/>
        <v>TUNTAS</v>
      </c>
      <c r="L57" s="13" t="str">
        <f t="shared" si="5"/>
        <v xml:space="preserve"> </v>
      </c>
      <c r="M57" s="1"/>
      <c r="N57" s="2">
        <f t="shared" si="6"/>
        <v>8.4</v>
      </c>
    </row>
    <row r="58" spans="1:14" x14ac:dyDescent="0.25">
      <c r="A58" s="13">
        <v>51</v>
      </c>
      <c r="B58" s="9" t="s">
        <v>422</v>
      </c>
      <c r="C58" s="10" t="s">
        <v>2936</v>
      </c>
      <c r="D58" s="11" t="s">
        <v>72</v>
      </c>
      <c r="E58" s="27">
        <v>2</v>
      </c>
      <c r="F58" s="27">
        <v>1</v>
      </c>
      <c r="G58" s="27">
        <v>0</v>
      </c>
      <c r="H58" s="28">
        <f t="shared" si="3"/>
        <v>291</v>
      </c>
      <c r="I58" s="29">
        <f t="shared" si="0"/>
        <v>97</v>
      </c>
      <c r="J58" s="27">
        <f t="shared" si="1"/>
        <v>4</v>
      </c>
      <c r="K58" s="27" t="str">
        <f t="shared" si="4"/>
        <v>TUNTAS</v>
      </c>
      <c r="L58" s="13" t="str">
        <f t="shared" si="5"/>
        <v xml:space="preserve"> </v>
      </c>
      <c r="M58" s="1"/>
      <c r="N58" s="2">
        <f t="shared" si="6"/>
        <v>9.6999999999999993</v>
      </c>
    </row>
    <row r="59" spans="1:14" x14ac:dyDescent="0.25">
      <c r="L59" s="2"/>
    </row>
    <row r="60" spans="1:14" x14ac:dyDescent="0.25">
      <c r="L60" s="2"/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conditionalFormatting sqref="D8:D10">
    <cfRule type="cellIs" dxfId="161" priority="9" operator="equal">
      <formula>0</formula>
    </cfRule>
  </conditionalFormatting>
  <conditionalFormatting sqref="I8:I58">
    <cfRule type="cellIs" dxfId="160" priority="3" operator="lessThan">
      <formula>60</formula>
    </cfRule>
    <cfRule type="cellIs" dxfId="159" priority="4" operator="lessThan">
      <formula>60</formula>
    </cfRule>
    <cfRule type="cellIs" dxfId="158" priority="5" operator="lessThan">
      <formula>50</formula>
    </cfRule>
  </conditionalFormatting>
  <conditionalFormatting sqref="K8:K58">
    <cfRule type="cellIs" dxfId="157" priority="1" operator="equal">
      <formula>"TIDAK BACA"</formula>
    </cfRule>
    <cfRule type="cellIs" dxfId="156" priority="2" operator="equal">
      <formula>"TIDAK TUNTAS"</formula>
    </cfRule>
    <cfRule type="cellIs" dxfId="155" priority="6" operator="equal">
      <formula>"TUNTAS"</formula>
    </cfRule>
    <cfRule type="cellIs" dxfId="154" priority="7" operator="equal">
      <formula>"TIDAK HADIR"</formula>
    </cfRule>
    <cfRule type="cellIs" dxfId="153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EFEF74CB-1390-4C4F-9B5E-DF40D562DDFF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A361-F2C2-403E-AE12-F29C0ABD9E8C}">
  <sheetPr>
    <tabColor theme="6" tint="0.39997558519241921"/>
  </sheetPr>
  <dimension ref="A1:N60"/>
  <sheetViews>
    <sheetView zoomScaleNormal="100" workbookViewId="0">
      <pane xSplit="1" ySplit="7" topLeftCell="B8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P21" sqref="P21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3292</v>
      </c>
      <c r="B4" s="51"/>
      <c r="C4" s="51"/>
      <c r="D4" s="51"/>
      <c r="E4" s="51"/>
      <c r="F4" s="51"/>
      <c r="G4" s="51"/>
      <c r="H4" s="51"/>
      <c r="I4" s="51"/>
      <c r="K4" s="33" t="s">
        <v>3280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424</v>
      </c>
      <c r="C8" s="10" t="s">
        <v>2937</v>
      </c>
      <c r="D8" s="11" t="s">
        <v>100</v>
      </c>
      <c r="E8" s="27">
        <v>12</v>
      </c>
      <c r="F8" s="27">
        <v>5</v>
      </c>
      <c r="G8" s="27">
        <v>3</v>
      </c>
      <c r="H8" s="28">
        <f>100-E8*3+100-F8*3+100-G8*15</f>
        <v>204</v>
      </c>
      <c r="I8" s="29">
        <f t="shared" ref="I8:I58" si="0">H8/3</f>
        <v>68</v>
      </c>
      <c r="J8" s="27">
        <f t="shared" ref="J8:J58" si="1">RANK(H8,$H$8:$H$97)</f>
        <v>33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6.8</v>
      </c>
    </row>
    <row r="9" spans="1:14" ht="15.95" customHeight="1" x14ac:dyDescent="0.25">
      <c r="A9" s="13">
        <v>2</v>
      </c>
      <c r="B9" s="9" t="s">
        <v>425</v>
      </c>
      <c r="C9" s="10" t="s">
        <v>2938</v>
      </c>
      <c r="D9" s="11" t="s">
        <v>15</v>
      </c>
      <c r="E9" s="27">
        <v>5</v>
      </c>
      <c r="F9" s="27">
        <v>0</v>
      </c>
      <c r="G9" s="27">
        <v>0</v>
      </c>
      <c r="H9" s="28">
        <f t="shared" ref="H9:H60" si="3">100-E9*3+100-F9*3+100-G9*15</f>
        <v>285</v>
      </c>
      <c r="I9" s="29">
        <f t="shared" si="0"/>
        <v>95</v>
      </c>
      <c r="J9" s="27">
        <f t="shared" si="1"/>
        <v>9</v>
      </c>
      <c r="K9" s="27" t="str">
        <f t="shared" ref="K9:K60" si="4">IF(I9&lt;11.1,"TIDAK HADIR",IF(I9&lt;13.1,"TIDAK BACA",IF(I9&lt;$K$7,"TIDAK TUNTAS","TUNTAS")))</f>
        <v>TUNTAS</v>
      </c>
      <c r="L9" s="13" t="str">
        <f t="shared" ref="L9:L60" si="5">IF(G9&gt;5,"TM", " ")</f>
        <v xml:space="preserve"> </v>
      </c>
      <c r="M9" s="1"/>
      <c r="N9" s="2">
        <f t="shared" si="2"/>
        <v>9.5</v>
      </c>
    </row>
    <row r="10" spans="1:14" ht="15.95" customHeight="1" x14ac:dyDescent="0.25">
      <c r="A10" s="13">
        <v>3</v>
      </c>
      <c r="B10" s="9" t="s">
        <v>427</v>
      </c>
      <c r="C10" s="10" t="s">
        <v>2939</v>
      </c>
      <c r="D10" s="11" t="s">
        <v>17</v>
      </c>
      <c r="E10" s="27">
        <v>5</v>
      </c>
      <c r="F10" s="27">
        <v>0</v>
      </c>
      <c r="G10" s="27">
        <v>0</v>
      </c>
      <c r="H10" s="28">
        <f t="shared" si="3"/>
        <v>285</v>
      </c>
      <c r="I10" s="29">
        <f>H10/3</f>
        <v>95</v>
      </c>
      <c r="J10" s="27">
        <f t="shared" si="1"/>
        <v>9</v>
      </c>
      <c r="K10" s="27" t="str">
        <f t="shared" si="4"/>
        <v>TUNTAS</v>
      </c>
      <c r="L10" s="13" t="str">
        <f t="shared" si="5"/>
        <v xml:space="preserve"> </v>
      </c>
      <c r="M10" s="1"/>
      <c r="N10" s="2">
        <f t="shared" si="2"/>
        <v>9.5</v>
      </c>
    </row>
    <row r="11" spans="1:14" ht="15.95" customHeight="1" x14ac:dyDescent="0.25">
      <c r="A11" s="13">
        <v>4</v>
      </c>
      <c r="B11" s="9" t="s">
        <v>429</v>
      </c>
      <c r="C11" s="10" t="s">
        <v>2940</v>
      </c>
      <c r="D11" s="11" t="s">
        <v>18</v>
      </c>
      <c r="E11" s="27">
        <v>6</v>
      </c>
      <c r="F11" s="27">
        <v>0</v>
      </c>
      <c r="G11" s="27">
        <v>2</v>
      </c>
      <c r="H11" s="28">
        <f t="shared" si="3"/>
        <v>252</v>
      </c>
      <c r="I11" s="29">
        <f t="shared" si="0"/>
        <v>84</v>
      </c>
      <c r="J11" s="27">
        <f t="shared" si="1"/>
        <v>20</v>
      </c>
      <c r="K11" s="27" t="str">
        <f t="shared" si="4"/>
        <v>TUNTAS</v>
      </c>
      <c r="L11" s="13" t="str">
        <f t="shared" si="5"/>
        <v xml:space="preserve"> </v>
      </c>
      <c r="M11" s="1"/>
      <c r="N11" s="2">
        <f t="shared" si="2"/>
        <v>8.4</v>
      </c>
    </row>
    <row r="12" spans="1:14" ht="15.95" customHeight="1" x14ac:dyDescent="0.25">
      <c r="A12" s="13">
        <v>5</v>
      </c>
      <c r="B12" s="9" t="s">
        <v>431</v>
      </c>
      <c r="C12" s="10" t="s">
        <v>2941</v>
      </c>
      <c r="D12" s="11" t="s">
        <v>18</v>
      </c>
      <c r="E12" s="27">
        <v>25</v>
      </c>
      <c r="F12" s="27">
        <v>18</v>
      </c>
      <c r="G12" s="27">
        <v>5</v>
      </c>
      <c r="H12" s="28">
        <f t="shared" si="3"/>
        <v>96</v>
      </c>
      <c r="I12" s="29">
        <f t="shared" si="0"/>
        <v>32</v>
      </c>
      <c r="J12" s="27">
        <f t="shared" si="1"/>
        <v>49</v>
      </c>
      <c r="K12" s="27" t="str">
        <f t="shared" si="4"/>
        <v>TIDAK TUNTAS</v>
      </c>
      <c r="L12" s="13" t="str">
        <f t="shared" si="5"/>
        <v xml:space="preserve"> </v>
      </c>
      <c r="M12" s="1"/>
      <c r="N12" s="2">
        <f t="shared" si="2"/>
        <v>3.2</v>
      </c>
    </row>
    <row r="13" spans="1:14" ht="15.95" customHeight="1" x14ac:dyDescent="0.25">
      <c r="A13" s="13">
        <v>6</v>
      </c>
      <c r="B13" s="9" t="s">
        <v>432</v>
      </c>
      <c r="C13" s="10" t="s">
        <v>2942</v>
      </c>
      <c r="D13" s="11" t="s">
        <v>19</v>
      </c>
      <c r="E13" s="27">
        <v>1</v>
      </c>
      <c r="F13" s="27">
        <v>1</v>
      </c>
      <c r="G13" s="27">
        <v>3</v>
      </c>
      <c r="H13" s="28">
        <f t="shared" si="3"/>
        <v>249</v>
      </c>
      <c r="I13" s="29">
        <f t="shared" si="0"/>
        <v>83</v>
      </c>
      <c r="J13" s="27">
        <f t="shared" si="1"/>
        <v>23</v>
      </c>
      <c r="K13" s="27" t="str">
        <f t="shared" si="4"/>
        <v>TUNTAS</v>
      </c>
      <c r="L13" s="13" t="str">
        <f t="shared" si="5"/>
        <v xml:space="preserve"> </v>
      </c>
      <c r="M13" s="1"/>
      <c r="N13" s="2">
        <f t="shared" si="2"/>
        <v>8.3000000000000007</v>
      </c>
    </row>
    <row r="14" spans="1:14" ht="15.95" customHeight="1" x14ac:dyDescent="0.25">
      <c r="A14" s="13">
        <v>7</v>
      </c>
      <c r="B14" s="9" t="s">
        <v>434</v>
      </c>
      <c r="C14" s="10" t="s">
        <v>2943</v>
      </c>
      <c r="D14" s="11" t="s">
        <v>20</v>
      </c>
      <c r="E14" s="27">
        <v>7</v>
      </c>
      <c r="F14" s="27">
        <v>0</v>
      </c>
      <c r="G14" s="27">
        <v>2</v>
      </c>
      <c r="H14" s="28">
        <f t="shared" si="3"/>
        <v>249</v>
      </c>
      <c r="I14" s="29">
        <f t="shared" si="0"/>
        <v>83</v>
      </c>
      <c r="J14" s="27">
        <f t="shared" si="1"/>
        <v>23</v>
      </c>
      <c r="K14" s="27" t="str">
        <f t="shared" si="4"/>
        <v>TUNTAS</v>
      </c>
      <c r="L14" s="13" t="str">
        <f t="shared" si="5"/>
        <v xml:space="preserve"> </v>
      </c>
      <c r="M14" s="1"/>
      <c r="N14" s="2">
        <f t="shared" si="2"/>
        <v>8.3000000000000007</v>
      </c>
    </row>
    <row r="15" spans="1:14" ht="15.95" customHeight="1" x14ac:dyDescent="0.25">
      <c r="A15" s="13">
        <v>8</v>
      </c>
      <c r="B15" s="9" t="s">
        <v>436</v>
      </c>
      <c r="C15" s="17" t="s">
        <v>656</v>
      </c>
      <c r="D15" s="18" t="s">
        <v>23</v>
      </c>
      <c r="E15" s="27">
        <v>18</v>
      </c>
      <c r="F15" s="27">
        <v>15</v>
      </c>
      <c r="G15" s="27">
        <v>6</v>
      </c>
      <c r="H15" s="28">
        <f t="shared" si="3"/>
        <v>111</v>
      </c>
      <c r="I15" s="29">
        <f t="shared" si="0"/>
        <v>37</v>
      </c>
      <c r="J15" s="27">
        <f t="shared" si="1"/>
        <v>46</v>
      </c>
      <c r="K15" s="27" t="str">
        <f t="shared" si="4"/>
        <v>TIDAK TUNTAS</v>
      </c>
      <c r="L15" s="13" t="str">
        <f t="shared" si="5"/>
        <v>TM</v>
      </c>
      <c r="M15" s="1"/>
      <c r="N15" s="2">
        <f t="shared" si="2"/>
        <v>3.7</v>
      </c>
    </row>
    <row r="16" spans="1:14" ht="15.95" customHeight="1" x14ac:dyDescent="0.25">
      <c r="A16" s="13">
        <v>9</v>
      </c>
      <c r="B16" s="9" t="s">
        <v>437</v>
      </c>
      <c r="C16" s="10" t="s">
        <v>2944</v>
      </c>
      <c r="D16" s="11" t="s">
        <v>23</v>
      </c>
      <c r="E16" s="27">
        <v>1</v>
      </c>
      <c r="F16" s="27">
        <v>0</v>
      </c>
      <c r="G16" s="27">
        <v>0</v>
      </c>
      <c r="H16" s="28">
        <f t="shared" si="3"/>
        <v>297</v>
      </c>
      <c r="I16" s="29">
        <f t="shared" si="0"/>
        <v>99</v>
      </c>
      <c r="J16" s="27">
        <f t="shared" si="1"/>
        <v>5</v>
      </c>
      <c r="K16" s="27" t="str">
        <f t="shared" si="4"/>
        <v>TUNTAS</v>
      </c>
      <c r="L16" s="13" t="str">
        <f t="shared" si="5"/>
        <v xml:space="preserve"> </v>
      </c>
      <c r="M16" s="1"/>
      <c r="N16" s="2">
        <f t="shared" si="2"/>
        <v>9.9</v>
      </c>
    </row>
    <row r="17" spans="1:14" ht="15.95" customHeight="1" x14ac:dyDescent="0.25">
      <c r="A17" s="13">
        <v>10</v>
      </c>
      <c r="B17" s="9" t="s">
        <v>438</v>
      </c>
      <c r="C17" s="10" t="s">
        <v>2945</v>
      </c>
      <c r="D17" s="11" t="s">
        <v>24</v>
      </c>
      <c r="E17" s="27">
        <v>1</v>
      </c>
      <c r="F17" s="27">
        <v>2</v>
      </c>
      <c r="G17" s="27">
        <v>0</v>
      </c>
      <c r="H17" s="28">
        <f t="shared" si="3"/>
        <v>291</v>
      </c>
      <c r="I17" s="29">
        <f t="shared" si="0"/>
        <v>97</v>
      </c>
      <c r="J17" s="27">
        <f t="shared" si="1"/>
        <v>6</v>
      </c>
      <c r="K17" s="27" t="str">
        <f t="shared" si="4"/>
        <v>TUNTAS</v>
      </c>
      <c r="L17" s="13" t="str">
        <f t="shared" si="5"/>
        <v xml:space="preserve"> </v>
      </c>
      <c r="M17" s="1"/>
      <c r="N17" s="2">
        <f t="shared" si="2"/>
        <v>9.6999999999999993</v>
      </c>
    </row>
    <row r="18" spans="1:14" ht="15.95" customHeight="1" x14ac:dyDescent="0.25">
      <c r="A18" s="13">
        <v>11</v>
      </c>
      <c r="B18" s="9" t="s">
        <v>440</v>
      </c>
      <c r="C18" s="17" t="s">
        <v>2946</v>
      </c>
      <c r="D18" s="18" t="s">
        <v>26</v>
      </c>
      <c r="E18" s="27">
        <v>15</v>
      </c>
      <c r="F18" s="27">
        <v>14</v>
      </c>
      <c r="G18" s="27">
        <v>5</v>
      </c>
      <c r="H18" s="28">
        <f t="shared" si="3"/>
        <v>138</v>
      </c>
      <c r="I18" s="29">
        <f t="shared" si="0"/>
        <v>46</v>
      </c>
      <c r="J18" s="27">
        <f t="shared" si="1"/>
        <v>42</v>
      </c>
      <c r="K18" s="27" t="str">
        <f t="shared" si="4"/>
        <v>TIDAK TUNTAS</v>
      </c>
      <c r="L18" s="13" t="str">
        <f t="shared" si="5"/>
        <v xml:space="preserve"> </v>
      </c>
      <c r="M18" s="1"/>
      <c r="N18" s="2">
        <f t="shared" si="2"/>
        <v>4.5999999999999996</v>
      </c>
    </row>
    <row r="19" spans="1:14" ht="15.95" customHeight="1" x14ac:dyDescent="0.25">
      <c r="A19" s="13">
        <v>12</v>
      </c>
      <c r="B19" s="9" t="s">
        <v>441</v>
      </c>
      <c r="C19" s="17" t="s">
        <v>2828</v>
      </c>
      <c r="D19" s="18" t="s">
        <v>75</v>
      </c>
      <c r="E19" s="27">
        <v>5</v>
      </c>
      <c r="F19" s="27">
        <v>7</v>
      </c>
      <c r="G19" s="27">
        <v>0</v>
      </c>
      <c r="H19" s="28">
        <f t="shared" si="3"/>
        <v>264</v>
      </c>
      <c r="I19" s="29">
        <f t="shared" si="0"/>
        <v>88</v>
      </c>
      <c r="J19" s="27">
        <f t="shared" si="1"/>
        <v>15</v>
      </c>
      <c r="K19" s="27" t="str">
        <f t="shared" si="4"/>
        <v>TUNTAS</v>
      </c>
      <c r="L19" s="13" t="str">
        <f t="shared" si="5"/>
        <v xml:space="preserve"> </v>
      </c>
      <c r="M19" s="1"/>
      <c r="N19" s="2">
        <f t="shared" si="2"/>
        <v>8.8000000000000007</v>
      </c>
    </row>
    <row r="20" spans="1:14" ht="15.95" customHeight="1" x14ac:dyDescent="0.25">
      <c r="A20" s="13">
        <v>13</v>
      </c>
      <c r="B20" s="9" t="s">
        <v>443</v>
      </c>
      <c r="C20" s="10" t="s">
        <v>2947</v>
      </c>
      <c r="D20" s="11" t="s">
        <v>76</v>
      </c>
      <c r="E20" s="27">
        <v>8</v>
      </c>
      <c r="F20" s="27">
        <v>3</v>
      </c>
      <c r="G20" s="27">
        <v>4</v>
      </c>
      <c r="H20" s="28">
        <f t="shared" si="3"/>
        <v>207</v>
      </c>
      <c r="I20" s="29">
        <f t="shared" si="0"/>
        <v>69</v>
      </c>
      <c r="J20" s="27">
        <f t="shared" si="1"/>
        <v>30</v>
      </c>
      <c r="K20" s="27" t="str">
        <f t="shared" si="4"/>
        <v>TUNTAS</v>
      </c>
      <c r="L20" s="13" t="str">
        <f t="shared" si="5"/>
        <v xml:space="preserve"> </v>
      </c>
      <c r="M20" s="1"/>
      <c r="N20" s="2">
        <f t="shared" si="2"/>
        <v>6.9</v>
      </c>
    </row>
    <row r="21" spans="1:14" ht="15.95" customHeight="1" x14ac:dyDescent="0.25">
      <c r="A21" s="13">
        <v>14</v>
      </c>
      <c r="B21" s="9" t="s">
        <v>445</v>
      </c>
      <c r="C21" s="10" t="s">
        <v>2948</v>
      </c>
      <c r="D21" s="11" t="s">
        <v>29</v>
      </c>
      <c r="E21" s="27">
        <v>6</v>
      </c>
      <c r="F21" s="27">
        <v>1</v>
      </c>
      <c r="G21" s="27">
        <v>0</v>
      </c>
      <c r="H21" s="28">
        <f t="shared" si="3"/>
        <v>279</v>
      </c>
      <c r="I21" s="29">
        <f t="shared" si="0"/>
        <v>93</v>
      </c>
      <c r="J21" s="27">
        <f t="shared" si="1"/>
        <v>11</v>
      </c>
      <c r="K21" s="27" t="str">
        <f t="shared" si="4"/>
        <v>TUNTAS</v>
      </c>
      <c r="L21" s="13" t="str">
        <f t="shared" si="5"/>
        <v xml:space="preserve"> </v>
      </c>
      <c r="M21" s="1"/>
      <c r="N21" s="2">
        <f t="shared" si="2"/>
        <v>9.3000000000000007</v>
      </c>
    </row>
    <row r="22" spans="1:14" ht="15.95" customHeight="1" x14ac:dyDescent="0.25">
      <c r="A22" s="13">
        <v>15</v>
      </c>
      <c r="B22" s="9" t="s">
        <v>447</v>
      </c>
      <c r="C22" s="10" t="s">
        <v>2949</v>
      </c>
      <c r="D22" s="11" t="s">
        <v>30</v>
      </c>
      <c r="E22" s="27">
        <v>32</v>
      </c>
      <c r="F22" s="27">
        <v>32</v>
      </c>
      <c r="G22" s="27">
        <v>5</v>
      </c>
      <c r="H22" s="28">
        <f t="shared" si="3"/>
        <v>33</v>
      </c>
      <c r="I22" s="29">
        <f t="shared" si="0"/>
        <v>11</v>
      </c>
      <c r="J22" s="27">
        <f t="shared" si="1"/>
        <v>51</v>
      </c>
      <c r="K22" s="27" t="str">
        <f t="shared" si="4"/>
        <v>TIDAK HADIR</v>
      </c>
      <c r="L22" s="13" t="s">
        <v>3264</v>
      </c>
      <c r="M22" s="1"/>
      <c r="N22" s="2">
        <f t="shared" si="2"/>
        <v>1.1000000000000001</v>
      </c>
    </row>
    <row r="23" spans="1:14" ht="15.95" customHeight="1" x14ac:dyDescent="0.25">
      <c r="A23" s="13">
        <v>16</v>
      </c>
      <c r="B23" s="9" t="s">
        <v>449</v>
      </c>
      <c r="C23" s="10" t="s">
        <v>2950</v>
      </c>
      <c r="D23" s="11" t="s">
        <v>77</v>
      </c>
      <c r="E23" s="27">
        <v>5</v>
      </c>
      <c r="F23" s="27">
        <v>0</v>
      </c>
      <c r="G23" s="27">
        <v>1</v>
      </c>
      <c r="H23" s="28">
        <f t="shared" si="3"/>
        <v>270</v>
      </c>
      <c r="I23" s="29">
        <f t="shared" si="0"/>
        <v>90</v>
      </c>
      <c r="J23" s="27">
        <f t="shared" si="1"/>
        <v>14</v>
      </c>
      <c r="K23" s="27" t="str">
        <f t="shared" si="4"/>
        <v>TUNTAS</v>
      </c>
      <c r="L23" s="13" t="str">
        <f t="shared" si="5"/>
        <v xml:space="preserve"> </v>
      </c>
      <c r="M23" s="1"/>
      <c r="N23" s="2">
        <f t="shared" si="2"/>
        <v>9</v>
      </c>
    </row>
    <row r="24" spans="1:14" ht="15.95" customHeight="1" x14ac:dyDescent="0.25">
      <c r="A24" s="13">
        <v>17</v>
      </c>
      <c r="B24" s="9" t="s">
        <v>450</v>
      </c>
      <c r="C24" s="10" t="s">
        <v>2951</v>
      </c>
      <c r="D24" s="11" t="s">
        <v>91</v>
      </c>
      <c r="E24" s="27">
        <v>3</v>
      </c>
      <c r="F24" s="27">
        <v>1</v>
      </c>
      <c r="G24" s="27">
        <v>0</v>
      </c>
      <c r="H24" s="28">
        <f t="shared" si="3"/>
        <v>288</v>
      </c>
      <c r="I24" s="29">
        <f t="shared" si="0"/>
        <v>96</v>
      </c>
      <c r="J24" s="27">
        <f t="shared" si="1"/>
        <v>8</v>
      </c>
      <c r="K24" s="27" t="str">
        <f t="shared" si="4"/>
        <v>TUNTAS</v>
      </c>
      <c r="L24" s="13" t="str">
        <f t="shared" si="5"/>
        <v xml:space="preserve"> </v>
      </c>
      <c r="M24" s="1"/>
      <c r="N24" s="2">
        <f>I24/10</f>
        <v>9.6</v>
      </c>
    </row>
    <row r="25" spans="1:14" ht="15.95" customHeight="1" x14ac:dyDescent="0.25">
      <c r="A25" s="30">
        <v>18</v>
      </c>
      <c r="B25" s="9" t="s">
        <v>452</v>
      </c>
      <c r="C25" s="10" t="s">
        <v>2952</v>
      </c>
      <c r="D25" s="11" t="s">
        <v>79</v>
      </c>
      <c r="E25" s="27">
        <v>0</v>
      </c>
      <c r="F25" s="27">
        <v>0</v>
      </c>
      <c r="G25" s="27">
        <v>0</v>
      </c>
      <c r="H25" s="28">
        <f t="shared" si="3"/>
        <v>300</v>
      </c>
      <c r="I25" s="29">
        <f t="shared" si="0"/>
        <v>100</v>
      </c>
      <c r="J25" s="27">
        <f t="shared" si="1"/>
        <v>1</v>
      </c>
      <c r="K25" s="27" t="str">
        <f t="shared" si="4"/>
        <v>TUNTAS</v>
      </c>
      <c r="L25" s="13" t="str">
        <f t="shared" si="5"/>
        <v xml:space="preserve"> </v>
      </c>
      <c r="M25" s="1"/>
      <c r="N25" s="2">
        <f t="shared" ref="N25:N60" si="6">I25/10</f>
        <v>10</v>
      </c>
    </row>
    <row r="26" spans="1:14" ht="15.95" customHeight="1" x14ac:dyDescent="0.25">
      <c r="A26" s="13">
        <v>19</v>
      </c>
      <c r="B26" s="9" t="s">
        <v>454</v>
      </c>
      <c r="C26" s="10" t="s">
        <v>2953</v>
      </c>
      <c r="D26" s="11" t="s">
        <v>103</v>
      </c>
      <c r="E26" s="27">
        <v>17</v>
      </c>
      <c r="F26" s="27">
        <v>4</v>
      </c>
      <c r="G26" s="27">
        <v>2</v>
      </c>
      <c r="H26" s="28">
        <f t="shared" si="3"/>
        <v>207</v>
      </c>
      <c r="I26" s="29">
        <f t="shared" si="0"/>
        <v>69</v>
      </c>
      <c r="J26" s="27">
        <f t="shared" si="1"/>
        <v>30</v>
      </c>
      <c r="K26" s="27" t="str">
        <f t="shared" si="4"/>
        <v>TUNTAS</v>
      </c>
      <c r="L26" s="13" t="str">
        <f t="shared" si="5"/>
        <v xml:space="preserve"> </v>
      </c>
      <c r="M26" s="1"/>
      <c r="N26" s="2">
        <f t="shared" si="6"/>
        <v>6.9</v>
      </c>
    </row>
    <row r="27" spans="1:14" ht="15.95" customHeight="1" x14ac:dyDescent="0.25">
      <c r="A27" s="13">
        <v>20</v>
      </c>
      <c r="B27" s="9" t="s">
        <v>455</v>
      </c>
      <c r="C27" s="10" t="s">
        <v>2954</v>
      </c>
      <c r="D27" s="11" t="s">
        <v>93</v>
      </c>
      <c r="E27" s="27">
        <v>32</v>
      </c>
      <c r="F27" s="27">
        <v>32</v>
      </c>
      <c r="G27" s="27">
        <v>5</v>
      </c>
      <c r="H27" s="28">
        <f t="shared" si="3"/>
        <v>33</v>
      </c>
      <c r="I27" s="29">
        <f t="shared" si="0"/>
        <v>11</v>
      </c>
      <c r="J27" s="27">
        <f t="shared" si="1"/>
        <v>51</v>
      </c>
      <c r="K27" s="27" t="str">
        <f t="shared" si="4"/>
        <v>TIDAK HADIR</v>
      </c>
      <c r="L27" s="13" t="s">
        <v>3265</v>
      </c>
      <c r="M27" s="1"/>
      <c r="N27" s="2">
        <f t="shared" si="6"/>
        <v>1.1000000000000001</v>
      </c>
    </row>
    <row r="28" spans="1:14" ht="15.95" customHeight="1" x14ac:dyDescent="0.25">
      <c r="A28" s="13">
        <v>21</v>
      </c>
      <c r="B28" s="9" t="s">
        <v>457</v>
      </c>
      <c r="C28" s="10" t="s">
        <v>2955</v>
      </c>
      <c r="D28" s="11" t="s">
        <v>93</v>
      </c>
      <c r="E28" s="27">
        <v>6</v>
      </c>
      <c r="F28" s="27">
        <v>3</v>
      </c>
      <c r="G28" s="27">
        <v>2</v>
      </c>
      <c r="H28" s="28">
        <f t="shared" si="3"/>
        <v>243</v>
      </c>
      <c r="I28" s="29">
        <f t="shared" si="0"/>
        <v>81</v>
      </c>
      <c r="J28" s="27">
        <f t="shared" si="1"/>
        <v>25</v>
      </c>
      <c r="K28" s="27" t="str">
        <f t="shared" si="4"/>
        <v>TUNTAS</v>
      </c>
      <c r="L28" s="13" t="str">
        <f t="shared" si="5"/>
        <v xml:space="preserve"> </v>
      </c>
      <c r="M28" s="1"/>
      <c r="N28" s="2">
        <f t="shared" si="6"/>
        <v>8.1</v>
      </c>
    </row>
    <row r="29" spans="1:14" ht="15.95" customHeight="1" x14ac:dyDescent="0.25">
      <c r="A29" s="13">
        <v>22</v>
      </c>
      <c r="B29" s="9" t="s">
        <v>459</v>
      </c>
      <c r="C29" s="10" t="s">
        <v>2956</v>
      </c>
      <c r="D29" s="11" t="s">
        <v>36</v>
      </c>
      <c r="E29" s="27">
        <v>24</v>
      </c>
      <c r="F29" s="27">
        <v>13</v>
      </c>
      <c r="G29" s="27">
        <v>6</v>
      </c>
      <c r="H29" s="28">
        <f t="shared" si="3"/>
        <v>99</v>
      </c>
      <c r="I29" s="29">
        <f t="shared" si="0"/>
        <v>33</v>
      </c>
      <c r="J29" s="27">
        <f t="shared" si="1"/>
        <v>48</v>
      </c>
      <c r="K29" s="27" t="str">
        <f t="shared" si="4"/>
        <v>TIDAK TUNTAS</v>
      </c>
      <c r="L29" s="13" t="str">
        <f t="shared" si="5"/>
        <v>TM</v>
      </c>
      <c r="M29" s="1"/>
      <c r="N29" s="2">
        <f t="shared" si="6"/>
        <v>3.3</v>
      </c>
    </row>
    <row r="30" spans="1:14" ht="15.95" customHeight="1" x14ac:dyDescent="0.25">
      <c r="A30" s="13">
        <v>23</v>
      </c>
      <c r="B30" s="9" t="s">
        <v>460</v>
      </c>
      <c r="C30" s="10" t="s">
        <v>2957</v>
      </c>
      <c r="D30" s="11" t="s">
        <v>37</v>
      </c>
      <c r="E30" s="27">
        <v>7</v>
      </c>
      <c r="F30" s="27">
        <v>2</v>
      </c>
      <c r="G30" s="27">
        <v>3</v>
      </c>
      <c r="H30" s="28">
        <f t="shared" si="3"/>
        <v>228</v>
      </c>
      <c r="I30" s="29">
        <f t="shared" si="0"/>
        <v>76</v>
      </c>
      <c r="J30" s="27">
        <f t="shared" si="1"/>
        <v>27</v>
      </c>
      <c r="K30" s="27" t="str">
        <f t="shared" si="4"/>
        <v>TUNTAS</v>
      </c>
      <c r="L30" s="13" t="str">
        <f t="shared" si="5"/>
        <v xml:space="preserve"> </v>
      </c>
      <c r="M30" s="1"/>
      <c r="N30" s="2">
        <f t="shared" si="6"/>
        <v>7.6</v>
      </c>
    </row>
    <row r="31" spans="1:14" ht="15.95" customHeight="1" x14ac:dyDescent="0.25">
      <c r="A31" s="13">
        <v>24</v>
      </c>
      <c r="B31" s="9" t="s">
        <v>462</v>
      </c>
      <c r="C31" s="10" t="s">
        <v>578</v>
      </c>
      <c r="D31" s="11" t="s">
        <v>37</v>
      </c>
      <c r="E31" s="27">
        <v>19</v>
      </c>
      <c r="F31" s="27">
        <v>12</v>
      </c>
      <c r="G31" s="27">
        <v>5</v>
      </c>
      <c r="H31" s="28">
        <f t="shared" si="3"/>
        <v>132</v>
      </c>
      <c r="I31" s="29">
        <f t="shared" si="0"/>
        <v>44</v>
      </c>
      <c r="J31" s="27">
        <f t="shared" si="1"/>
        <v>44</v>
      </c>
      <c r="K31" s="27" t="str">
        <f t="shared" si="4"/>
        <v>TIDAK TUNTAS</v>
      </c>
      <c r="L31" s="13" t="str">
        <f t="shared" si="5"/>
        <v xml:space="preserve"> </v>
      </c>
      <c r="M31" s="1"/>
      <c r="N31" s="2">
        <f t="shared" si="6"/>
        <v>4.4000000000000004</v>
      </c>
    </row>
    <row r="32" spans="1:14" ht="15.95" customHeight="1" x14ac:dyDescent="0.25">
      <c r="A32" s="13">
        <v>25</v>
      </c>
      <c r="B32" s="9" t="s">
        <v>464</v>
      </c>
      <c r="C32" s="10" t="s">
        <v>2958</v>
      </c>
      <c r="D32" s="11" t="s">
        <v>41</v>
      </c>
      <c r="E32" s="27">
        <v>13</v>
      </c>
      <c r="F32" s="27">
        <v>5</v>
      </c>
      <c r="G32" s="27">
        <v>3</v>
      </c>
      <c r="H32" s="28">
        <f t="shared" si="3"/>
        <v>201</v>
      </c>
      <c r="I32" s="29">
        <f t="shared" si="0"/>
        <v>67</v>
      </c>
      <c r="J32" s="27">
        <f t="shared" si="1"/>
        <v>34</v>
      </c>
      <c r="K32" s="27" t="str">
        <f t="shared" si="4"/>
        <v>TUNTAS</v>
      </c>
      <c r="L32" s="13" t="str">
        <f t="shared" si="5"/>
        <v xml:space="preserve"> </v>
      </c>
      <c r="M32" s="1"/>
      <c r="N32" s="2">
        <f t="shared" si="6"/>
        <v>6.7</v>
      </c>
    </row>
    <row r="33" spans="1:14" ht="15.95" customHeight="1" x14ac:dyDescent="0.25">
      <c r="A33" s="13">
        <v>26</v>
      </c>
      <c r="B33" s="9" t="s">
        <v>466</v>
      </c>
      <c r="C33" s="10" t="s">
        <v>2959</v>
      </c>
      <c r="D33" s="11" t="s">
        <v>144</v>
      </c>
      <c r="E33" s="27">
        <v>10</v>
      </c>
      <c r="F33" s="27">
        <v>7</v>
      </c>
      <c r="G33" s="27">
        <v>4</v>
      </c>
      <c r="H33" s="28">
        <f t="shared" si="3"/>
        <v>189</v>
      </c>
      <c r="I33" s="29">
        <f t="shared" si="0"/>
        <v>63</v>
      </c>
      <c r="J33" s="27">
        <f t="shared" si="1"/>
        <v>36</v>
      </c>
      <c r="K33" s="27" t="str">
        <f t="shared" si="4"/>
        <v>TUNTAS</v>
      </c>
      <c r="L33" s="13" t="str">
        <f t="shared" si="5"/>
        <v xml:space="preserve"> </v>
      </c>
      <c r="M33" s="1"/>
      <c r="N33" s="2">
        <f t="shared" si="6"/>
        <v>6.3</v>
      </c>
    </row>
    <row r="34" spans="1:14" ht="15.95" customHeight="1" x14ac:dyDescent="0.25">
      <c r="A34" s="13">
        <v>27</v>
      </c>
      <c r="B34" s="9" t="s">
        <v>468</v>
      </c>
      <c r="C34" s="10" t="s">
        <v>1969</v>
      </c>
      <c r="D34" s="11" t="s">
        <v>43</v>
      </c>
      <c r="E34" s="27">
        <v>4</v>
      </c>
      <c r="F34" s="27">
        <v>1</v>
      </c>
      <c r="G34" s="27">
        <v>2</v>
      </c>
      <c r="H34" s="28">
        <f t="shared" si="3"/>
        <v>255</v>
      </c>
      <c r="I34" s="29">
        <f t="shared" si="0"/>
        <v>85</v>
      </c>
      <c r="J34" s="27">
        <f t="shared" si="1"/>
        <v>19</v>
      </c>
      <c r="K34" s="27" t="str">
        <f t="shared" si="4"/>
        <v>TUNTAS</v>
      </c>
      <c r="L34" s="13" t="str">
        <f t="shared" si="5"/>
        <v xml:space="preserve"> </v>
      </c>
      <c r="M34" s="1"/>
      <c r="N34" s="2">
        <f t="shared" si="6"/>
        <v>8.5</v>
      </c>
    </row>
    <row r="35" spans="1:14" ht="15.95" customHeight="1" x14ac:dyDescent="0.25">
      <c r="A35" s="13">
        <v>28</v>
      </c>
      <c r="B35" s="9" t="s">
        <v>470</v>
      </c>
      <c r="C35" s="10" t="s">
        <v>2960</v>
      </c>
      <c r="D35" s="11" t="s">
        <v>44</v>
      </c>
      <c r="E35" s="27">
        <v>5</v>
      </c>
      <c r="F35" s="27">
        <v>6</v>
      </c>
      <c r="G35" s="27">
        <v>4</v>
      </c>
      <c r="H35" s="28">
        <f t="shared" si="3"/>
        <v>207</v>
      </c>
      <c r="I35" s="29">
        <f t="shared" si="0"/>
        <v>69</v>
      </c>
      <c r="J35" s="27">
        <f t="shared" si="1"/>
        <v>30</v>
      </c>
      <c r="K35" s="27" t="str">
        <f t="shared" si="4"/>
        <v>TUNTAS</v>
      </c>
      <c r="L35" s="13" t="str">
        <f t="shared" si="5"/>
        <v xml:space="preserve"> </v>
      </c>
      <c r="M35" s="1"/>
      <c r="N35" s="2">
        <f t="shared" si="6"/>
        <v>6.9</v>
      </c>
    </row>
    <row r="36" spans="1:14" ht="15.95" customHeight="1" x14ac:dyDescent="0.25">
      <c r="A36" s="13">
        <v>29</v>
      </c>
      <c r="B36" s="9" t="s">
        <v>472</v>
      </c>
      <c r="C36" s="10" t="s">
        <v>2961</v>
      </c>
      <c r="D36" s="11" t="s">
        <v>136</v>
      </c>
      <c r="E36" s="27">
        <v>4</v>
      </c>
      <c r="F36" s="27">
        <v>8</v>
      </c>
      <c r="G36" s="27">
        <v>5</v>
      </c>
      <c r="H36" s="28">
        <f t="shared" si="3"/>
        <v>189</v>
      </c>
      <c r="I36" s="29">
        <f t="shared" si="0"/>
        <v>63</v>
      </c>
      <c r="J36" s="27">
        <f t="shared" si="1"/>
        <v>36</v>
      </c>
      <c r="K36" s="27" t="str">
        <f t="shared" si="4"/>
        <v>TUNTAS</v>
      </c>
      <c r="L36" s="13" t="str">
        <f t="shared" si="5"/>
        <v xml:space="preserve"> </v>
      </c>
      <c r="M36" s="1"/>
      <c r="N36" s="2">
        <f t="shared" si="6"/>
        <v>6.3</v>
      </c>
    </row>
    <row r="37" spans="1:14" ht="15.95" customHeight="1" x14ac:dyDescent="0.25">
      <c r="A37" s="13">
        <v>30</v>
      </c>
      <c r="B37" s="9" t="s">
        <v>474</v>
      </c>
      <c r="C37" s="10" t="s">
        <v>2962</v>
      </c>
      <c r="D37" s="11" t="s">
        <v>2963</v>
      </c>
      <c r="E37" s="27">
        <v>2</v>
      </c>
      <c r="F37" s="27">
        <v>2</v>
      </c>
      <c r="G37" s="27">
        <v>1</v>
      </c>
      <c r="H37" s="28">
        <f t="shared" si="3"/>
        <v>273</v>
      </c>
      <c r="I37" s="29">
        <f t="shared" si="0"/>
        <v>91</v>
      </c>
      <c r="J37" s="27">
        <f t="shared" si="1"/>
        <v>13</v>
      </c>
      <c r="K37" s="27" t="str">
        <f t="shared" si="4"/>
        <v>TUNTAS</v>
      </c>
      <c r="L37" s="13" t="str">
        <f t="shared" si="5"/>
        <v xml:space="preserve"> </v>
      </c>
      <c r="M37" s="1"/>
      <c r="N37" s="2">
        <f t="shared" si="6"/>
        <v>9.1</v>
      </c>
    </row>
    <row r="38" spans="1:14" ht="15.95" customHeight="1" x14ac:dyDescent="0.25">
      <c r="A38" s="13">
        <v>31</v>
      </c>
      <c r="B38" s="9" t="s">
        <v>476</v>
      </c>
      <c r="C38" s="10" t="s">
        <v>2964</v>
      </c>
      <c r="D38" s="11" t="s">
        <v>48</v>
      </c>
      <c r="E38" s="27">
        <v>9</v>
      </c>
      <c r="F38" s="27">
        <v>2</v>
      </c>
      <c r="G38" s="27">
        <v>1</v>
      </c>
      <c r="H38" s="28">
        <f t="shared" si="3"/>
        <v>252</v>
      </c>
      <c r="I38" s="29">
        <f t="shared" si="0"/>
        <v>84</v>
      </c>
      <c r="J38" s="27">
        <f t="shared" si="1"/>
        <v>20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8.4</v>
      </c>
    </row>
    <row r="39" spans="1:14" ht="15.95" customHeight="1" x14ac:dyDescent="0.25">
      <c r="A39" s="13">
        <v>32</v>
      </c>
      <c r="B39" s="9" t="s">
        <v>478</v>
      </c>
      <c r="C39" s="10" t="s">
        <v>2965</v>
      </c>
      <c r="D39" s="11" t="s">
        <v>108</v>
      </c>
      <c r="E39" s="27">
        <v>14</v>
      </c>
      <c r="F39" s="27">
        <v>11</v>
      </c>
      <c r="G39" s="27">
        <v>3</v>
      </c>
      <c r="H39" s="28">
        <f t="shared" si="3"/>
        <v>180</v>
      </c>
      <c r="I39" s="29">
        <f t="shared" si="0"/>
        <v>60</v>
      </c>
      <c r="J39" s="27">
        <f t="shared" si="1"/>
        <v>38</v>
      </c>
      <c r="K39" s="27" t="str">
        <f t="shared" si="4"/>
        <v>TUNTAS</v>
      </c>
      <c r="L39" s="13" t="str">
        <f t="shared" si="5"/>
        <v xml:space="preserve"> </v>
      </c>
      <c r="M39" s="1"/>
      <c r="N39" s="2">
        <f t="shared" si="6"/>
        <v>6</v>
      </c>
    </row>
    <row r="40" spans="1:14" ht="15.95" customHeight="1" x14ac:dyDescent="0.25">
      <c r="A40" s="13">
        <v>33</v>
      </c>
      <c r="B40" s="9" t="s">
        <v>480</v>
      </c>
      <c r="C40" s="10" t="s">
        <v>2966</v>
      </c>
      <c r="D40" s="11" t="s">
        <v>51</v>
      </c>
      <c r="E40" s="27">
        <v>6</v>
      </c>
      <c r="F40" s="27">
        <v>2</v>
      </c>
      <c r="G40" s="27">
        <v>1</v>
      </c>
      <c r="H40" s="28">
        <f t="shared" si="3"/>
        <v>261</v>
      </c>
      <c r="I40" s="29">
        <f t="shared" si="0"/>
        <v>87</v>
      </c>
      <c r="J40" s="27">
        <f t="shared" si="1"/>
        <v>17</v>
      </c>
      <c r="K40" s="27" t="str">
        <f t="shared" si="4"/>
        <v>TUNTAS</v>
      </c>
      <c r="L40" s="13" t="str">
        <f t="shared" si="5"/>
        <v xml:space="preserve"> </v>
      </c>
      <c r="M40" s="1"/>
      <c r="N40" s="2">
        <f t="shared" si="6"/>
        <v>8.6999999999999993</v>
      </c>
    </row>
    <row r="41" spans="1:14" ht="15.95" customHeight="1" x14ac:dyDescent="0.25">
      <c r="A41" s="13">
        <v>34</v>
      </c>
      <c r="B41" s="9" t="s">
        <v>482</v>
      </c>
      <c r="C41" s="10" t="s">
        <v>2967</v>
      </c>
      <c r="D41" s="11" t="s">
        <v>110</v>
      </c>
      <c r="E41" s="27">
        <v>0</v>
      </c>
      <c r="F41" s="27">
        <v>0</v>
      </c>
      <c r="G41" s="27">
        <v>0</v>
      </c>
      <c r="H41" s="28">
        <f t="shared" si="3"/>
        <v>300</v>
      </c>
      <c r="I41" s="29">
        <f t="shared" si="0"/>
        <v>100</v>
      </c>
      <c r="J41" s="27">
        <f t="shared" si="1"/>
        <v>1</v>
      </c>
      <c r="K41" s="27" t="str">
        <f t="shared" si="4"/>
        <v>TUNTAS</v>
      </c>
      <c r="L41" s="13" t="str">
        <f t="shared" si="5"/>
        <v xml:space="preserve"> </v>
      </c>
      <c r="M41" s="1"/>
      <c r="N41" s="2">
        <f t="shared" si="6"/>
        <v>10</v>
      </c>
    </row>
    <row r="42" spans="1:14" ht="15.95" customHeight="1" x14ac:dyDescent="0.25">
      <c r="A42" s="13">
        <v>35</v>
      </c>
      <c r="B42" s="9" t="s">
        <v>484</v>
      </c>
      <c r="C42" s="10" t="s">
        <v>2968</v>
      </c>
      <c r="D42" s="11" t="s">
        <v>138</v>
      </c>
      <c r="E42" s="27">
        <v>32</v>
      </c>
      <c r="F42" s="27">
        <v>32</v>
      </c>
      <c r="G42" s="27">
        <v>5</v>
      </c>
      <c r="H42" s="28">
        <f t="shared" si="3"/>
        <v>33</v>
      </c>
      <c r="I42" s="29">
        <f t="shared" si="0"/>
        <v>11</v>
      </c>
      <c r="J42" s="27">
        <f t="shared" si="1"/>
        <v>51</v>
      </c>
      <c r="K42" s="27" t="str">
        <f t="shared" si="4"/>
        <v>TIDAK HADIR</v>
      </c>
      <c r="L42" s="13" t="s">
        <v>3264</v>
      </c>
      <c r="M42" s="1"/>
      <c r="N42" s="2">
        <f t="shared" si="6"/>
        <v>1.1000000000000001</v>
      </c>
    </row>
    <row r="43" spans="1:14" ht="15.95" customHeight="1" x14ac:dyDescent="0.25">
      <c r="A43" s="13">
        <v>36</v>
      </c>
      <c r="B43" s="9" t="s">
        <v>486</v>
      </c>
      <c r="C43" s="10" t="s">
        <v>2969</v>
      </c>
      <c r="D43" s="11" t="s">
        <v>129</v>
      </c>
      <c r="E43" s="27">
        <v>0</v>
      </c>
      <c r="F43" s="27">
        <v>0</v>
      </c>
      <c r="G43" s="27">
        <v>0</v>
      </c>
      <c r="H43" s="28">
        <f t="shared" si="3"/>
        <v>300</v>
      </c>
      <c r="I43" s="29">
        <f t="shared" si="0"/>
        <v>100</v>
      </c>
      <c r="J43" s="27">
        <f t="shared" si="1"/>
        <v>1</v>
      </c>
      <c r="K43" s="27" t="str">
        <f t="shared" si="4"/>
        <v>TUNTAS</v>
      </c>
      <c r="L43" s="13" t="str">
        <f t="shared" si="5"/>
        <v xml:space="preserve"> </v>
      </c>
      <c r="M43" s="1"/>
      <c r="N43" s="2">
        <f t="shared" si="6"/>
        <v>10</v>
      </c>
    </row>
    <row r="44" spans="1:14" ht="15.95" customHeight="1" x14ac:dyDescent="0.25">
      <c r="A44" s="13">
        <v>37</v>
      </c>
      <c r="B44" s="9" t="s">
        <v>488</v>
      </c>
      <c r="C44" s="10" t="s">
        <v>2970</v>
      </c>
      <c r="D44" s="11" t="s">
        <v>95</v>
      </c>
      <c r="E44" s="27">
        <v>3</v>
      </c>
      <c r="F44" s="27">
        <v>0</v>
      </c>
      <c r="G44" s="27">
        <v>0</v>
      </c>
      <c r="H44" s="28">
        <f t="shared" si="3"/>
        <v>291</v>
      </c>
      <c r="I44" s="29">
        <f t="shared" si="0"/>
        <v>97</v>
      </c>
      <c r="J44" s="27">
        <f t="shared" si="1"/>
        <v>6</v>
      </c>
      <c r="K44" s="27" t="str">
        <f t="shared" si="4"/>
        <v>TUNTAS</v>
      </c>
      <c r="L44" s="13" t="str">
        <f t="shared" si="5"/>
        <v xml:space="preserve"> </v>
      </c>
      <c r="M44" s="1"/>
      <c r="N44" s="2">
        <f t="shared" si="6"/>
        <v>9.6999999999999993</v>
      </c>
    </row>
    <row r="45" spans="1:14" ht="15.95" customHeight="1" x14ac:dyDescent="0.25">
      <c r="A45" s="13">
        <v>38</v>
      </c>
      <c r="B45" s="9" t="s">
        <v>489</v>
      </c>
      <c r="C45" s="10" t="s">
        <v>2709</v>
      </c>
      <c r="D45" s="11" t="s">
        <v>96</v>
      </c>
      <c r="E45" s="27">
        <v>3</v>
      </c>
      <c r="F45" s="27">
        <v>5</v>
      </c>
      <c r="G45" s="27">
        <v>0</v>
      </c>
      <c r="H45" s="28">
        <f t="shared" si="3"/>
        <v>276</v>
      </c>
      <c r="I45" s="29">
        <f t="shared" si="0"/>
        <v>92</v>
      </c>
      <c r="J45" s="27">
        <f t="shared" si="1"/>
        <v>12</v>
      </c>
      <c r="K45" s="27" t="str">
        <f t="shared" si="4"/>
        <v>TUNTAS</v>
      </c>
      <c r="L45" s="13" t="str">
        <f t="shared" si="5"/>
        <v xml:space="preserve"> </v>
      </c>
      <c r="M45" s="1"/>
      <c r="N45" s="2">
        <f t="shared" si="6"/>
        <v>9.1999999999999993</v>
      </c>
    </row>
    <row r="46" spans="1:14" ht="15.95" customHeight="1" x14ac:dyDescent="0.25">
      <c r="A46" s="13">
        <v>39</v>
      </c>
      <c r="B46" s="9" t="s">
        <v>490</v>
      </c>
      <c r="C46" s="10" t="s">
        <v>2376</v>
      </c>
      <c r="D46" s="11" t="s">
        <v>97</v>
      </c>
      <c r="E46" s="27">
        <v>8</v>
      </c>
      <c r="F46" s="27">
        <v>7</v>
      </c>
      <c r="G46" s="27">
        <v>1</v>
      </c>
      <c r="H46" s="28">
        <f t="shared" si="3"/>
        <v>240</v>
      </c>
      <c r="I46" s="29">
        <f t="shared" si="0"/>
        <v>80</v>
      </c>
      <c r="J46" s="27">
        <f t="shared" si="1"/>
        <v>26</v>
      </c>
      <c r="K46" s="27" t="str">
        <f t="shared" si="4"/>
        <v>TUNTAS</v>
      </c>
      <c r="L46" s="13" t="str">
        <f t="shared" si="5"/>
        <v xml:space="preserve"> </v>
      </c>
      <c r="M46" s="1"/>
      <c r="N46" s="2">
        <f t="shared" si="6"/>
        <v>8</v>
      </c>
    </row>
    <row r="47" spans="1:14" ht="15.95" customHeight="1" x14ac:dyDescent="0.25">
      <c r="A47" s="13">
        <v>40</v>
      </c>
      <c r="B47" s="9" t="s">
        <v>491</v>
      </c>
      <c r="C47" s="10" t="s">
        <v>2971</v>
      </c>
      <c r="D47" s="11" t="s">
        <v>61</v>
      </c>
      <c r="E47" s="27">
        <v>26</v>
      </c>
      <c r="F47" s="27">
        <v>18</v>
      </c>
      <c r="G47" s="27">
        <v>6</v>
      </c>
      <c r="H47" s="28">
        <f t="shared" si="3"/>
        <v>78</v>
      </c>
      <c r="I47" s="29">
        <f t="shared" si="0"/>
        <v>26</v>
      </c>
      <c r="J47" s="27">
        <f t="shared" si="1"/>
        <v>50</v>
      </c>
      <c r="K47" s="27" t="str">
        <f t="shared" si="4"/>
        <v>TIDAK TUNTAS</v>
      </c>
      <c r="L47" s="13" t="str">
        <f t="shared" si="5"/>
        <v>TM</v>
      </c>
      <c r="M47" s="1"/>
      <c r="N47" s="2">
        <f t="shared" si="6"/>
        <v>2.6</v>
      </c>
    </row>
    <row r="48" spans="1:14" ht="15.95" customHeight="1" x14ac:dyDescent="0.25">
      <c r="A48" s="13">
        <v>41</v>
      </c>
      <c r="B48" s="9" t="s">
        <v>493</v>
      </c>
      <c r="C48" s="10" t="s">
        <v>2972</v>
      </c>
      <c r="D48" s="11" t="s">
        <v>86</v>
      </c>
      <c r="E48" s="27">
        <v>23</v>
      </c>
      <c r="F48" s="27">
        <v>17</v>
      </c>
      <c r="G48" s="27">
        <v>4</v>
      </c>
      <c r="H48" s="28">
        <f t="shared" si="3"/>
        <v>120</v>
      </c>
      <c r="I48" s="29">
        <f t="shared" si="0"/>
        <v>40</v>
      </c>
      <c r="J48" s="27">
        <f t="shared" si="1"/>
        <v>45</v>
      </c>
      <c r="K48" s="27" t="str">
        <f t="shared" si="4"/>
        <v>TIDAK TUNTAS</v>
      </c>
      <c r="L48" s="13" t="str">
        <f t="shared" si="5"/>
        <v xml:space="preserve"> </v>
      </c>
      <c r="M48" s="1"/>
      <c r="N48" s="2">
        <f t="shared" si="6"/>
        <v>4</v>
      </c>
    </row>
    <row r="49" spans="1:14" ht="15.95" customHeight="1" x14ac:dyDescent="0.25">
      <c r="A49" s="13">
        <v>42</v>
      </c>
      <c r="B49" s="9" t="s">
        <v>495</v>
      </c>
      <c r="C49" s="10" t="s">
        <v>2973</v>
      </c>
      <c r="D49" s="11" t="s">
        <v>64</v>
      </c>
      <c r="E49" s="27">
        <v>3</v>
      </c>
      <c r="F49" s="27">
        <v>1</v>
      </c>
      <c r="G49" s="27">
        <v>4</v>
      </c>
      <c r="H49" s="28">
        <f t="shared" si="3"/>
        <v>228</v>
      </c>
      <c r="I49" s="29">
        <f t="shared" si="0"/>
        <v>76</v>
      </c>
      <c r="J49" s="27">
        <f t="shared" si="1"/>
        <v>27</v>
      </c>
      <c r="K49" s="27" t="str">
        <f t="shared" si="4"/>
        <v>TUNTAS</v>
      </c>
      <c r="L49" s="13" t="str">
        <f t="shared" si="5"/>
        <v xml:space="preserve"> </v>
      </c>
      <c r="M49" s="1"/>
      <c r="N49" s="2">
        <f t="shared" si="6"/>
        <v>7.6</v>
      </c>
    </row>
    <row r="50" spans="1:14" ht="15.95" customHeight="1" x14ac:dyDescent="0.25">
      <c r="A50" s="13">
        <v>43</v>
      </c>
      <c r="B50" s="9" t="s">
        <v>496</v>
      </c>
      <c r="C50" s="10" t="s">
        <v>2974</v>
      </c>
      <c r="D50" s="11" t="s">
        <v>65</v>
      </c>
      <c r="E50" s="27">
        <v>8</v>
      </c>
      <c r="F50" s="27">
        <v>3</v>
      </c>
      <c r="G50" s="27">
        <v>1</v>
      </c>
      <c r="H50" s="28">
        <f t="shared" si="3"/>
        <v>252</v>
      </c>
      <c r="I50" s="29">
        <f t="shared" si="0"/>
        <v>84</v>
      </c>
      <c r="J50" s="27">
        <f t="shared" si="1"/>
        <v>20</v>
      </c>
      <c r="K50" s="27" t="str">
        <f t="shared" si="4"/>
        <v>TUNTAS</v>
      </c>
      <c r="L50" s="13" t="str">
        <f t="shared" si="5"/>
        <v xml:space="preserve"> </v>
      </c>
      <c r="M50" s="1"/>
      <c r="N50" s="2">
        <f t="shared" si="6"/>
        <v>8.4</v>
      </c>
    </row>
    <row r="51" spans="1:14" ht="15.95" customHeight="1" x14ac:dyDescent="0.25">
      <c r="A51" s="13">
        <v>44</v>
      </c>
      <c r="B51" s="9" t="s">
        <v>497</v>
      </c>
      <c r="C51" s="10" t="s">
        <v>2975</v>
      </c>
      <c r="D51" s="11" t="s">
        <v>65</v>
      </c>
      <c r="E51" s="27">
        <v>14</v>
      </c>
      <c r="F51" s="27">
        <v>7</v>
      </c>
      <c r="G51" s="27">
        <v>5</v>
      </c>
      <c r="H51" s="28">
        <f t="shared" si="3"/>
        <v>162</v>
      </c>
      <c r="I51" s="29">
        <f t="shared" si="0"/>
        <v>54</v>
      </c>
      <c r="J51" s="27">
        <f t="shared" si="1"/>
        <v>41</v>
      </c>
      <c r="K51" s="27" t="str">
        <f t="shared" si="4"/>
        <v>TIDAK TUNTAS</v>
      </c>
      <c r="L51" s="13" t="str">
        <f t="shared" si="5"/>
        <v xml:space="preserve"> </v>
      </c>
      <c r="M51" s="1"/>
      <c r="N51" s="2">
        <f t="shared" si="6"/>
        <v>5.4</v>
      </c>
    </row>
    <row r="52" spans="1:14" ht="15.95" customHeight="1" x14ac:dyDescent="0.25">
      <c r="A52" s="13">
        <v>45</v>
      </c>
      <c r="B52" s="9" t="s">
        <v>499</v>
      </c>
      <c r="C52" s="10" t="s">
        <v>2976</v>
      </c>
      <c r="D52" s="11" t="s">
        <v>98</v>
      </c>
      <c r="E52" s="27">
        <v>20</v>
      </c>
      <c r="F52" s="27">
        <v>19</v>
      </c>
      <c r="G52" s="27">
        <v>5</v>
      </c>
      <c r="H52" s="28">
        <f t="shared" si="3"/>
        <v>108</v>
      </c>
      <c r="I52" s="29">
        <f t="shared" si="0"/>
        <v>36</v>
      </c>
      <c r="J52" s="27">
        <f t="shared" si="1"/>
        <v>47</v>
      </c>
      <c r="K52" s="27" t="str">
        <f t="shared" si="4"/>
        <v>TIDAK TUNTAS</v>
      </c>
      <c r="L52" s="13" t="str">
        <f t="shared" si="5"/>
        <v xml:space="preserve"> </v>
      </c>
      <c r="M52" s="1"/>
      <c r="N52" s="2">
        <f t="shared" si="6"/>
        <v>3.6</v>
      </c>
    </row>
    <row r="53" spans="1:14" ht="15.95" customHeight="1" x14ac:dyDescent="0.25">
      <c r="A53" s="13">
        <v>46</v>
      </c>
      <c r="B53" s="9" t="s">
        <v>500</v>
      </c>
      <c r="C53" s="10" t="s">
        <v>2977</v>
      </c>
      <c r="D53" s="11" t="s">
        <v>87</v>
      </c>
      <c r="E53" s="27">
        <v>14</v>
      </c>
      <c r="F53" s="27">
        <v>4</v>
      </c>
      <c r="G53" s="27">
        <v>5</v>
      </c>
      <c r="H53" s="28">
        <f t="shared" si="3"/>
        <v>171</v>
      </c>
      <c r="I53" s="29">
        <f t="shared" si="0"/>
        <v>57</v>
      </c>
      <c r="J53" s="27">
        <f t="shared" si="1"/>
        <v>40</v>
      </c>
      <c r="K53" s="27" t="str">
        <f t="shared" si="4"/>
        <v>TIDAK TUNTAS</v>
      </c>
      <c r="L53" s="13" t="str">
        <f t="shared" si="5"/>
        <v xml:space="preserve"> </v>
      </c>
      <c r="M53" s="1"/>
      <c r="N53" s="2">
        <f t="shared" si="6"/>
        <v>5.7</v>
      </c>
    </row>
    <row r="54" spans="1:14" x14ac:dyDescent="0.25">
      <c r="A54" s="13">
        <v>47</v>
      </c>
      <c r="B54" s="9" t="s">
        <v>502</v>
      </c>
      <c r="C54" s="10" t="s">
        <v>2978</v>
      </c>
      <c r="D54" s="11" t="s">
        <v>130</v>
      </c>
      <c r="E54" s="27">
        <v>9</v>
      </c>
      <c r="F54" s="27">
        <v>5</v>
      </c>
      <c r="G54" s="27">
        <v>4</v>
      </c>
      <c r="H54" s="28">
        <f t="shared" si="3"/>
        <v>198</v>
      </c>
      <c r="I54" s="29">
        <f t="shared" si="0"/>
        <v>66</v>
      </c>
      <c r="J54" s="27">
        <f t="shared" si="1"/>
        <v>35</v>
      </c>
      <c r="K54" s="27" t="str">
        <f t="shared" si="4"/>
        <v>TUNTAS</v>
      </c>
      <c r="L54" s="13" t="str">
        <f t="shared" si="5"/>
        <v xml:space="preserve"> </v>
      </c>
      <c r="M54" s="1"/>
      <c r="N54" s="2">
        <f t="shared" si="6"/>
        <v>6.6</v>
      </c>
    </row>
    <row r="55" spans="1:14" x14ac:dyDescent="0.25">
      <c r="A55" s="13">
        <v>48</v>
      </c>
      <c r="B55" s="9" t="s">
        <v>504</v>
      </c>
      <c r="C55" s="10" t="s">
        <v>2979</v>
      </c>
      <c r="D55" s="11" t="s">
        <v>68</v>
      </c>
      <c r="E55" s="27">
        <v>3</v>
      </c>
      <c r="F55" s="27">
        <v>0</v>
      </c>
      <c r="G55" s="27">
        <v>2</v>
      </c>
      <c r="H55" s="28">
        <f t="shared" si="3"/>
        <v>261</v>
      </c>
      <c r="I55" s="29">
        <f t="shared" si="0"/>
        <v>87</v>
      </c>
      <c r="J55" s="27">
        <f t="shared" si="1"/>
        <v>17</v>
      </c>
      <c r="K55" s="27" t="str">
        <f t="shared" si="4"/>
        <v>TUNTAS</v>
      </c>
      <c r="L55" s="13" t="str">
        <f t="shared" si="5"/>
        <v xml:space="preserve"> </v>
      </c>
      <c r="M55" s="1"/>
      <c r="N55" s="2">
        <f t="shared" si="6"/>
        <v>8.6999999999999993</v>
      </c>
    </row>
    <row r="56" spans="1:14" x14ac:dyDescent="0.25">
      <c r="A56" s="13">
        <v>49</v>
      </c>
      <c r="B56" s="9" t="s">
        <v>505</v>
      </c>
      <c r="C56" s="10" t="s">
        <v>2980</v>
      </c>
      <c r="D56" s="11" t="s">
        <v>131</v>
      </c>
      <c r="E56" s="27">
        <v>0</v>
      </c>
      <c r="F56" s="27">
        <v>0</v>
      </c>
      <c r="G56" s="27">
        <v>0</v>
      </c>
      <c r="H56" s="28">
        <f t="shared" si="3"/>
        <v>300</v>
      </c>
      <c r="I56" s="29">
        <f t="shared" si="0"/>
        <v>100</v>
      </c>
      <c r="J56" s="27">
        <f t="shared" si="1"/>
        <v>1</v>
      </c>
      <c r="K56" s="27" t="str">
        <f t="shared" si="4"/>
        <v>TUNTAS</v>
      </c>
      <c r="L56" s="13" t="str">
        <f t="shared" si="5"/>
        <v xml:space="preserve"> </v>
      </c>
      <c r="M56" s="1"/>
      <c r="N56" s="2">
        <f t="shared" si="6"/>
        <v>10</v>
      </c>
    </row>
    <row r="57" spans="1:14" x14ac:dyDescent="0.25">
      <c r="A57" s="13">
        <v>50</v>
      </c>
      <c r="B57" s="9" t="s">
        <v>506</v>
      </c>
      <c r="C57" s="10" t="s">
        <v>446</v>
      </c>
      <c r="D57" s="11" t="s">
        <v>71</v>
      </c>
      <c r="E57" s="27">
        <v>7</v>
      </c>
      <c r="F57" s="27">
        <v>1</v>
      </c>
      <c r="G57" s="27">
        <v>4</v>
      </c>
      <c r="H57" s="28">
        <f t="shared" si="3"/>
        <v>216</v>
      </c>
      <c r="I57" s="29">
        <f t="shared" si="0"/>
        <v>72</v>
      </c>
      <c r="J57" s="27">
        <f t="shared" si="1"/>
        <v>29</v>
      </c>
      <c r="K57" s="27" t="str">
        <f t="shared" si="4"/>
        <v>TUNTAS</v>
      </c>
      <c r="L57" s="13" t="str">
        <f t="shared" si="5"/>
        <v xml:space="preserve"> </v>
      </c>
      <c r="M57" s="1"/>
      <c r="N57" s="2">
        <f t="shared" si="6"/>
        <v>7.2</v>
      </c>
    </row>
    <row r="58" spans="1:14" x14ac:dyDescent="0.25">
      <c r="A58" s="13">
        <v>51</v>
      </c>
      <c r="B58" s="9" t="s">
        <v>508</v>
      </c>
      <c r="C58" s="10" t="s">
        <v>2981</v>
      </c>
      <c r="D58" s="11" t="s">
        <v>71</v>
      </c>
      <c r="E58" s="27">
        <v>1</v>
      </c>
      <c r="F58" s="27">
        <v>1</v>
      </c>
      <c r="G58" s="27">
        <v>2</v>
      </c>
      <c r="H58" s="28">
        <f t="shared" si="3"/>
        <v>264</v>
      </c>
      <c r="I58" s="29">
        <f t="shared" si="0"/>
        <v>88</v>
      </c>
      <c r="J58" s="27">
        <f t="shared" si="1"/>
        <v>15</v>
      </c>
      <c r="K58" s="27" t="str">
        <f t="shared" si="4"/>
        <v>TUNTAS</v>
      </c>
      <c r="L58" s="13" t="str">
        <f t="shared" si="5"/>
        <v xml:space="preserve"> </v>
      </c>
      <c r="M58" s="1"/>
      <c r="N58" s="2">
        <f t="shared" si="6"/>
        <v>8.8000000000000007</v>
      </c>
    </row>
    <row r="59" spans="1:14" x14ac:dyDescent="0.25">
      <c r="A59" s="13">
        <v>51</v>
      </c>
      <c r="B59" s="9" t="s">
        <v>510</v>
      </c>
      <c r="C59" s="10" t="s">
        <v>2982</v>
      </c>
      <c r="D59" s="11" t="s">
        <v>72</v>
      </c>
      <c r="E59" s="27">
        <v>10</v>
      </c>
      <c r="F59" s="27">
        <v>5</v>
      </c>
      <c r="G59" s="27">
        <v>5</v>
      </c>
      <c r="H59" s="28">
        <f t="shared" si="3"/>
        <v>180</v>
      </c>
      <c r="I59" s="29">
        <f t="shared" ref="I59:I60" si="7">H59/3</f>
        <v>60</v>
      </c>
      <c r="J59" s="27">
        <f t="shared" ref="J59:J60" si="8">RANK(H59,$H$8:$H$97)</f>
        <v>38</v>
      </c>
      <c r="K59" s="27" t="str">
        <f t="shared" si="4"/>
        <v>TUNTAS</v>
      </c>
      <c r="L59" s="13" t="str">
        <f>IF(G59&gt;5,"TM", " ")</f>
        <v xml:space="preserve"> </v>
      </c>
      <c r="N59" s="2">
        <f t="shared" si="6"/>
        <v>6</v>
      </c>
    </row>
    <row r="60" spans="1:14" x14ac:dyDescent="0.25">
      <c r="A60" s="13">
        <v>51</v>
      </c>
      <c r="B60" s="9" t="s">
        <v>512</v>
      </c>
      <c r="C60" s="10" t="s">
        <v>2983</v>
      </c>
      <c r="D60" s="11" t="s">
        <v>89</v>
      </c>
      <c r="E60" s="27">
        <v>22</v>
      </c>
      <c r="F60" s="27">
        <v>8</v>
      </c>
      <c r="G60" s="27">
        <v>5</v>
      </c>
      <c r="H60" s="28">
        <f t="shared" si="3"/>
        <v>135</v>
      </c>
      <c r="I60" s="29">
        <f t="shared" si="7"/>
        <v>45</v>
      </c>
      <c r="J60" s="27">
        <f t="shared" si="8"/>
        <v>43</v>
      </c>
      <c r="K60" s="27" t="str">
        <f t="shared" si="4"/>
        <v>TIDAK TUNTAS</v>
      </c>
      <c r="L60" s="13" t="str">
        <f t="shared" si="5"/>
        <v xml:space="preserve"> </v>
      </c>
      <c r="N60" s="2">
        <f t="shared" si="6"/>
        <v>4.5</v>
      </c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phoneticPr fontId="13" type="noConversion"/>
  <conditionalFormatting sqref="D8:D10">
    <cfRule type="cellIs" dxfId="152" priority="9" operator="equal">
      <formula>0</formula>
    </cfRule>
  </conditionalFormatting>
  <conditionalFormatting sqref="I8:I60">
    <cfRule type="cellIs" dxfId="151" priority="3" operator="lessThan">
      <formula>60</formula>
    </cfRule>
    <cfRule type="cellIs" dxfId="150" priority="4" operator="lessThan">
      <formula>60</formula>
    </cfRule>
    <cfRule type="cellIs" dxfId="149" priority="5" operator="lessThan">
      <formula>50</formula>
    </cfRule>
  </conditionalFormatting>
  <conditionalFormatting sqref="K8:K60">
    <cfRule type="cellIs" dxfId="148" priority="1" operator="equal">
      <formula>"TIDAK BACA"</formula>
    </cfRule>
    <cfRule type="cellIs" dxfId="147" priority="2" operator="equal">
      <formula>"TIDAK TUNTAS"</formula>
    </cfRule>
    <cfRule type="cellIs" dxfId="146" priority="6" operator="equal">
      <formula>"TUNTAS"</formula>
    </cfRule>
    <cfRule type="cellIs" dxfId="145" priority="7" operator="equal">
      <formula>"TIDAK HADIR"</formula>
    </cfRule>
    <cfRule type="cellIs" dxfId="144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56344C22-60B6-47D5-8F6B-9952B33467A9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722F-4844-43D6-909F-78BDA5B1BCE7}">
  <sheetPr>
    <tabColor theme="6" tint="0.39997558519241921"/>
  </sheetPr>
  <dimension ref="A1:N60"/>
  <sheetViews>
    <sheetView zoomScaleNormal="100" workbookViewId="0">
      <pane xSplit="1" ySplit="7" topLeftCell="B41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N8" sqref="N8:N56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3293</v>
      </c>
      <c r="B4" s="51"/>
      <c r="C4" s="51"/>
      <c r="D4" s="51"/>
      <c r="E4" s="51"/>
      <c r="F4" s="51"/>
      <c r="G4" s="51"/>
      <c r="H4" s="51"/>
      <c r="I4" s="51"/>
      <c r="K4" s="33" t="s">
        <v>3281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514</v>
      </c>
      <c r="C8" s="10" t="s">
        <v>2984</v>
      </c>
      <c r="D8" s="11" t="s">
        <v>17</v>
      </c>
      <c r="E8" s="27">
        <v>7</v>
      </c>
      <c r="F8" s="27">
        <v>3</v>
      </c>
      <c r="G8" s="27">
        <v>2</v>
      </c>
      <c r="H8" s="28">
        <f>100-E8*3+100-F8*3+100-G8*15</f>
        <v>240</v>
      </c>
      <c r="I8" s="29">
        <f t="shared" ref="I8:I56" si="0">H8/3</f>
        <v>80</v>
      </c>
      <c r="J8" s="27">
        <f t="shared" ref="J8:J39" si="1">RANK(H8,$H$8:$H$93)</f>
        <v>16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8</v>
      </c>
    </row>
    <row r="9" spans="1:14" ht="15.95" customHeight="1" x14ac:dyDescent="0.25">
      <c r="A9" s="13">
        <v>2</v>
      </c>
      <c r="B9" s="9" t="s">
        <v>516</v>
      </c>
      <c r="C9" s="10" t="s">
        <v>2985</v>
      </c>
      <c r="D9" s="11" t="s">
        <v>19</v>
      </c>
      <c r="E9" s="27">
        <v>5</v>
      </c>
      <c r="F9" s="27">
        <v>0</v>
      </c>
      <c r="G9" s="27">
        <v>0</v>
      </c>
      <c r="H9" s="28">
        <f t="shared" ref="H9:H56" si="3">100-E9*3+100-F9*3+100-G9*15</f>
        <v>285</v>
      </c>
      <c r="I9" s="29">
        <f t="shared" si="0"/>
        <v>95</v>
      </c>
      <c r="J9" s="27">
        <f t="shared" si="1"/>
        <v>5</v>
      </c>
      <c r="K9" s="27" t="str">
        <f t="shared" ref="K9:K56" si="4">IF(I9&lt;11.1,"TIDAK HADIR",IF(I9&lt;13.1,"TIDAK BACA",IF(I9&lt;$K$7,"TIDAK TUNTAS","TUNTAS")))</f>
        <v>TUNTAS</v>
      </c>
      <c r="L9" s="13" t="str">
        <f t="shared" ref="L9:L56" si="5">IF(G9&gt;5,"TM", " ")</f>
        <v xml:space="preserve"> </v>
      </c>
      <c r="M9" s="1"/>
      <c r="N9" s="2">
        <f t="shared" si="2"/>
        <v>9.5</v>
      </c>
    </row>
    <row r="10" spans="1:14" ht="15.95" customHeight="1" x14ac:dyDescent="0.25">
      <c r="A10" s="13">
        <v>3</v>
      </c>
      <c r="B10" s="9" t="s">
        <v>518</v>
      </c>
      <c r="C10" s="10" t="s">
        <v>2986</v>
      </c>
      <c r="D10" s="11" t="s">
        <v>90</v>
      </c>
      <c r="E10" s="27">
        <v>4</v>
      </c>
      <c r="F10" s="27">
        <v>0</v>
      </c>
      <c r="G10" s="27">
        <v>1</v>
      </c>
      <c r="H10" s="28">
        <f t="shared" si="3"/>
        <v>273</v>
      </c>
      <c r="I10" s="29">
        <f>H10/3</f>
        <v>91</v>
      </c>
      <c r="J10" s="27">
        <f t="shared" si="1"/>
        <v>8</v>
      </c>
      <c r="K10" s="27" t="str">
        <f t="shared" si="4"/>
        <v>TUNTAS</v>
      </c>
      <c r="L10" s="13" t="str">
        <f t="shared" si="5"/>
        <v xml:space="preserve"> </v>
      </c>
      <c r="M10" s="1"/>
      <c r="N10" s="2">
        <f t="shared" si="2"/>
        <v>9.1</v>
      </c>
    </row>
    <row r="11" spans="1:14" ht="15.95" customHeight="1" x14ac:dyDescent="0.25">
      <c r="A11" s="13">
        <v>4</v>
      </c>
      <c r="B11" s="9" t="s">
        <v>520</v>
      </c>
      <c r="C11" s="10" t="s">
        <v>458</v>
      </c>
      <c r="D11" s="11" t="s">
        <v>23</v>
      </c>
      <c r="E11" s="27">
        <v>12</v>
      </c>
      <c r="F11" s="27">
        <v>5</v>
      </c>
      <c r="G11" s="27">
        <v>6</v>
      </c>
      <c r="H11" s="28">
        <f t="shared" si="3"/>
        <v>159</v>
      </c>
      <c r="I11" s="29">
        <f t="shared" si="0"/>
        <v>53</v>
      </c>
      <c r="J11" s="27">
        <f t="shared" si="1"/>
        <v>37</v>
      </c>
      <c r="K11" s="27" t="str">
        <f t="shared" si="4"/>
        <v>TIDAK TUNTAS</v>
      </c>
      <c r="L11" s="13" t="str">
        <f t="shared" si="5"/>
        <v>TM</v>
      </c>
      <c r="M11" s="1"/>
      <c r="N11" s="2">
        <f t="shared" si="2"/>
        <v>5.3</v>
      </c>
    </row>
    <row r="12" spans="1:14" ht="15.95" customHeight="1" x14ac:dyDescent="0.25">
      <c r="A12" s="13">
        <v>5</v>
      </c>
      <c r="B12" s="9" t="s">
        <v>522</v>
      </c>
      <c r="C12" s="10" t="s">
        <v>2987</v>
      </c>
      <c r="D12" s="11" t="s">
        <v>23</v>
      </c>
      <c r="E12" s="27">
        <v>5</v>
      </c>
      <c r="F12" s="27">
        <v>4</v>
      </c>
      <c r="G12" s="27">
        <v>2</v>
      </c>
      <c r="H12" s="28">
        <f t="shared" si="3"/>
        <v>243</v>
      </c>
      <c r="I12" s="29">
        <f t="shared" si="0"/>
        <v>81</v>
      </c>
      <c r="J12" s="27">
        <f t="shared" si="1"/>
        <v>15</v>
      </c>
      <c r="K12" s="27" t="str">
        <f t="shared" si="4"/>
        <v>TUNTAS</v>
      </c>
      <c r="L12" s="13" t="str">
        <f t="shared" si="5"/>
        <v xml:space="preserve"> </v>
      </c>
      <c r="M12" s="1"/>
      <c r="N12" s="2">
        <f t="shared" si="2"/>
        <v>8.1</v>
      </c>
    </row>
    <row r="13" spans="1:14" ht="15.95" customHeight="1" x14ac:dyDescent="0.25">
      <c r="A13" s="13">
        <v>6</v>
      </c>
      <c r="B13" s="9" t="s">
        <v>524</v>
      </c>
      <c r="C13" s="10" t="s">
        <v>2988</v>
      </c>
      <c r="D13" s="11" t="s">
        <v>24</v>
      </c>
      <c r="E13" s="27">
        <v>22</v>
      </c>
      <c r="F13" s="27">
        <v>17</v>
      </c>
      <c r="G13" s="27">
        <v>5</v>
      </c>
      <c r="H13" s="28">
        <f t="shared" si="3"/>
        <v>108</v>
      </c>
      <c r="I13" s="29">
        <f t="shared" si="0"/>
        <v>36</v>
      </c>
      <c r="J13" s="27">
        <f t="shared" si="1"/>
        <v>44</v>
      </c>
      <c r="K13" s="27" t="str">
        <f t="shared" si="4"/>
        <v>TIDAK TUNTAS</v>
      </c>
      <c r="L13" s="13" t="str">
        <f t="shared" si="5"/>
        <v xml:space="preserve"> </v>
      </c>
      <c r="M13" s="1"/>
      <c r="N13" s="2">
        <f t="shared" si="2"/>
        <v>3.6</v>
      </c>
    </row>
    <row r="14" spans="1:14" ht="15.95" customHeight="1" x14ac:dyDescent="0.25">
      <c r="A14" s="13">
        <v>7</v>
      </c>
      <c r="B14" s="9" t="s">
        <v>526</v>
      </c>
      <c r="C14" s="10" t="s">
        <v>2989</v>
      </c>
      <c r="D14" s="11" t="s">
        <v>26</v>
      </c>
      <c r="E14" s="27">
        <v>2</v>
      </c>
      <c r="F14" s="27">
        <v>1</v>
      </c>
      <c r="G14" s="27">
        <v>1</v>
      </c>
      <c r="H14" s="28">
        <f t="shared" si="3"/>
        <v>276</v>
      </c>
      <c r="I14" s="29">
        <f t="shared" si="0"/>
        <v>92</v>
      </c>
      <c r="J14" s="27">
        <f t="shared" si="1"/>
        <v>6</v>
      </c>
      <c r="K14" s="27" t="str">
        <f t="shared" si="4"/>
        <v>TUNTAS</v>
      </c>
      <c r="L14" s="13" t="str">
        <f t="shared" si="5"/>
        <v xml:space="preserve"> </v>
      </c>
      <c r="M14" s="1"/>
      <c r="N14" s="2">
        <f t="shared" si="2"/>
        <v>9.1999999999999993</v>
      </c>
    </row>
    <row r="15" spans="1:14" ht="15.95" customHeight="1" x14ac:dyDescent="0.25">
      <c r="A15" s="13">
        <v>8</v>
      </c>
      <c r="B15" s="9" t="s">
        <v>527</v>
      </c>
      <c r="C15" s="17" t="s">
        <v>2990</v>
      </c>
      <c r="D15" s="18" t="s">
        <v>75</v>
      </c>
      <c r="E15" s="27">
        <v>10</v>
      </c>
      <c r="F15" s="27">
        <v>1</v>
      </c>
      <c r="G15" s="27">
        <v>3</v>
      </c>
      <c r="H15" s="28">
        <f t="shared" si="3"/>
        <v>222</v>
      </c>
      <c r="I15" s="29">
        <f t="shared" si="0"/>
        <v>74</v>
      </c>
      <c r="J15" s="27">
        <f t="shared" si="1"/>
        <v>19</v>
      </c>
      <c r="K15" s="27" t="str">
        <f t="shared" si="4"/>
        <v>TUNTAS</v>
      </c>
      <c r="L15" s="13" t="str">
        <f t="shared" si="5"/>
        <v xml:space="preserve"> </v>
      </c>
      <c r="M15" s="1"/>
      <c r="N15" s="2">
        <f t="shared" si="2"/>
        <v>7.4</v>
      </c>
    </row>
    <row r="16" spans="1:14" ht="15.95" customHeight="1" x14ac:dyDescent="0.25">
      <c r="A16" s="13">
        <v>9</v>
      </c>
      <c r="B16" s="9" t="s">
        <v>529</v>
      </c>
      <c r="C16" s="10" t="s">
        <v>2991</v>
      </c>
      <c r="D16" s="11" t="s">
        <v>29</v>
      </c>
      <c r="E16" s="27">
        <v>19</v>
      </c>
      <c r="F16" s="27">
        <v>14</v>
      </c>
      <c r="G16" s="27">
        <v>6</v>
      </c>
      <c r="H16" s="28">
        <f t="shared" si="3"/>
        <v>111</v>
      </c>
      <c r="I16" s="29">
        <f t="shared" si="0"/>
        <v>37</v>
      </c>
      <c r="J16" s="27">
        <f t="shared" si="1"/>
        <v>43</v>
      </c>
      <c r="K16" s="27" t="str">
        <f t="shared" si="4"/>
        <v>TIDAK TUNTAS</v>
      </c>
      <c r="L16" s="13" t="str">
        <f t="shared" si="5"/>
        <v>TM</v>
      </c>
      <c r="M16" s="1"/>
      <c r="N16" s="2">
        <f t="shared" si="2"/>
        <v>3.7</v>
      </c>
    </row>
    <row r="17" spans="1:14" ht="15.95" customHeight="1" x14ac:dyDescent="0.25">
      <c r="A17" s="13">
        <v>10</v>
      </c>
      <c r="B17" s="9" t="s">
        <v>531</v>
      </c>
      <c r="C17" s="10" t="s">
        <v>2992</v>
      </c>
      <c r="D17" s="11" t="s">
        <v>29</v>
      </c>
      <c r="E17" s="27">
        <v>12</v>
      </c>
      <c r="F17" s="27">
        <v>8</v>
      </c>
      <c r="G17" s="27">
        <v>3</v>
      </c>
      <c r="H17" s="28">
        <f t="shared" si="3"/>
        <v>195</v>
      </c>
      <c r="I17" s="29">
        <f t="shared" si="0"/>
        <v>65</v>
      </c>
      <c r="J17" s="27">
        <f t="shared" si="1"/>
        <v>28</v>
      </c>
      <c r="K17" s="27" t="str">
        <f t="shared" si="4"/>
        <v>TUNTAS</v>
      </c>
      <c r="L17" s="13" t="str">
        <f t="shared" si="5"/>
        <v xml:space="preserve"> </v>
      </c>
      <c r="M17" s="1"/>
      <c r="N17" s="2">
        <f t="shared" si="2"/>
        <v>6.5</v>
      </c>
    </row>
    <row r="18" spans="1:14" ht="15.95" customHeight="1" x14ac:dyDescent="0.25">
      <c r="A18" s="13">
        <v>11</v>
      </c>
      <c r="B18" s="9" t="s">
        <v>533</v>
      </c>
      <c r="C18" s="17" t="s">
        <v>2548</v>
      </c>
      <c r="D18" s="18" t="s">
        <v>77</v>
      </c>
      <c r="E18" s="27">
        <v>16</v>
      </c>
      <c r="F18" s="27">
        <v>16</v>
      </c>
      <c r="G18" s="27">
        <v>4</v>
      </c>
      <c r="H18" s="28">
        <f t="shared" si="3"/>
        <v>144</v>
      </c>
      <c r="I18" s="29">
        <f t="shared" si="0"/>
        <v>48</v>
      </c>
      <c r="J18" s="27">
        <f t="shared" si="1"/>
        <v>39</v>
      </c>
      <c r="K18" s="27" t="str">
        <f t="shared" si="4"/>
        <v>TIDAK TUNTAS</v>
      </c>
      <c r="L18" s="13" t="str">
        <f t="shared" si="5"/>
        <v xml:space="preserve"> </v>
      </c>
      <c r="M18" s="1"/>
      <c r="N18" s="2">
        <f t="shared" si="2"/>
        <v>4.8</v>
      </c>
    </row>
    <row r="19" spans="1:14" ht="15.95" customHeight="1" x14ac:dyDescent="0.25">
      <c r="A19" s="13">
        <v>12</v>
      </c>
      <c r="B19" s="9" t="s">
        <v>535</v>
      </c>
      <c r="C19" s="17" t="s">
        <v>2993</v>
      </c>
      <c r="D19" s="18" t="s">
        <v>114</v>
      </c>
      <c r="E19" s="27">
        <v>5</v>
      </c>
      <c r="F19" s="27">
        <v>13</v>
      </c>
      <c r="G19" s="27">
        <v>4</v>
      </c>
      <c r="H19" s="28">
        <f t="shared" si="3"/>
        <v>186</v>
      </c>
      <c r="I19" s="29">
        <f t="shared" si="0"/>
        <v>62</v>
      </c>
      <c r="J19" s="27">
        <f t="shared" si="1"/>
        <v>30</v>
      </c>
      <c r="K19" s="27" t="str">
        <f t="shared" si="4"/>
        <v>TUNTAS</v>
      </c>
      <c r="L19" s="13" t="str">
        <f t="shared" si="5"/>
        <v xml:space="preserve"> </v>
      </c>
      <c r="M19" s="1"/>
      <c r="N19" s="2">
        <f t="shared" si="2"/>
        <v>6.2</v>
      </c>
    </row>
    <row r="20" spans="1:14" ht="15.95" customHeight="1" x14ac:dyDescent="0.25">
      <c r="A20" s="13">
        <v>13</v>
      </c>
      <c r="B20" s="9" t="s">
        <v>536</v>
      </c>
      <c r="C20" s="10" t="s">
        <v>132</v>
      </c>
      <c r="D20" s="11" t="s">
        <v>133</v>
      </c>
      <c r="E20" s="27">
        <v>32</v>
      </c>
      <c r="F20" s="27">
        <v>32</v>
      </c>
      <c r="G20" s="27">
        <v>5</v>
      </c>
      <c r="H20" s="28">
        <f t="shared" si="3"/>
        <v>33</v>
      </c>
      <c r="I20" s="29">
        <f t="shared" si="0"/>
        <v>11</v>
      </c>
      <c r="J20" s="27">
        <f t="shared" si="1"/>
        <v>46</v>
      </c>
      <c r="K20" s="27" t="str">
        <f t="shared" si="4"/>
        <v>TIDAK HADIR</v>
      </c>
      <c r="L20" s="13" t="s">
        <v>3267</v>
      </c>
      <c r="M20" s="1"/>
      <c r="N20" s="2">
        <f t="shared" si="2"/>
        <v>1.1000000000000001</v>
      </c>
    </row>
    <row r="21" spans="1:14" ht="15.95" customHeight="1" x14ac:dyDescent="0.25">
      <c r="A21" s="13">
        <v>14</v>
      </c>
      <c r="B21" s="9" t="s">
        <v>538</v>
      </c>
      <c r="C21" s="10" t="s">
        <v>2994</v>
      </c>
      <c r="D21" s="11" t="s">
        <v>79</v>
      </c>
      <c r="E21" s="27">
        <v>8</v>
      </c>
      <c r="F21" s="27">
        <v>4</v>
      </c>
      <c r="G21" s="27">
        <v>4</v>
      </c>
      <c r="H21" s="28">
        <f t="shared" si="3"/>
        <v>204</v>
      </c>
      <c r="I21" s="29">
        <f t="shared" si="0"/>
        <v>68</v>
      </c>
      <c r="J21" s="27">
        <f t="shared" si="1"/>
        <v>24</v>
      </c>
      <c r="K21" s="27" t="str">
        <f t="shared" si="4"/>
        <v>TUNTAS</v>
      </c>
      <c r="L21" s="13" t="str">
        <f t="shared" si="5"/>
        <v xml:space="preserve"> </v>
      </c>
      <c r="M21" s="1"/>
      <c r="N21" s="2">
        <f t="shared" si="2"/>
        <v>6.8</v>
      </c>
    </row>
    <row r="22" spans="1:14" ht="15.95" customHeight="1" x14ac:dyDescent="0.25">
      <c r="A22" s="13">
        <v>15</v>
      </c>
      <c r="B22" s="9" t="s">
        <v>539</v>
      </c>
      <c r="C22" s="10" t="s">
        <v>2995</v>
      </c>
      <c r="D22" s="11" t="s">
        <v>103</v>
      </c>
      <c r="E22" s="27">
        <v>11</v>
      </c>
      <c r="F22" s="27">
        <v>2</v>
      </c>
      <c r="G22" s="27">
        <v>4</v>
      </c>
      <c r="H22" s="28">
        <f t="shared" si="3"/>
        <v>201</v>
      </c>
      <c r="I22" s="29">
        <f t="shared" si="0"/>
        <v>67</v>
      </c>
      <c r="J22" s="27">
        <f t="shared" si="1"/>
        <v>26</v>
      </c>
      <c r="K22" s="27" t="str">
        <f t="shared" si="4"/>
        <v>TUNTAS</v>
      </c>
      <c r="L22" s="13" t="str">
        <f t="shared" si="5"/>
        <v xml:space="preserve"> </v>
      </c>
      <c r="M22" s="1"/>
      <c r="N22" s="2">
        <f t="shared" si="2"/>
        <v>6.7</v>
      </c>
    </row>
    <row r="23" spans="1:14" ht="15.95" customHeight="1" x14ac:dyDescent="0.25">
      <c r="A23" s="13">
        <v>16</v>
      </c>
      <c r="B23" s="9" t="s">
        <v>541</v>
      </c>
      <c r="C23" s="10" t="s">
        <v>2996</v>
      </c>
      <c r="D23" s="11" t="s">
        <v>93</v>
      </c>
      <c r="E23" s="27">
        <v>14</v>
      </c>
      <c r="F23" s="27">
        <v>8</v>
      </c>
      <c r="G23" s="27">
        <v>3</v>
      </c>
      <c r="H23" s="28">
        <f t="shared" si="3"/>
        <v>189</v>
      </c>
      <c r="I23" s="29">
        <f t="shared" si="0"/>
        <v>63</v>
      </c>
      <c r="J23" s="27">
        <f t="shared" si="1"/>
        <v>29</v>
      </c>
      <c r="K23" s="27" t="str">
        <f t="shared" si="4"/>
        <v>TUNTAS</v>
      </c>
      <c r="L23" s="13" t="str">
        <f t="shared" si="5"/>
        <v xml:space="preserve"> </v>
      </c>
      <c r="M23" s="1"/>
      <c r="N23" s="2">
        <f t="shared" si="2"/>
        <v>6.3</v>
      </c>
    </row>
    <row r="24" spans="1:14" ht="15.95" customHeight="1" x14ac:dyDescent="0.25">
      <c r="A24" s="13">
        <v>17</v>
      </c>
      <c r="B24" s="9" t="s">
        <v>543</v>
      </c>
      <c r="C24" s="10" t="s">
        <v>2997</v>
      </c>
      <c r="D24" s="11" t="s">
        <v>36</v>
      </c>
      <c r="E24" s="27">
        <v>7</v>
      </c>
      <c r="F24" s="27">
        <v>4</v>
      </c>
      <c r="G24" s="27">
        <v>3</v>
      </c>
      <c r="H24" s="28">
        <f t="shared" si="3"/>
        <v>222</v>
      </c>
      <c r="I24" s="29">
        <f t="shared" si="0"/>
        <v>74</v>
      </c>
      <c r="J24" s="27">
        <f t="shared" si="1"/>
        <v>19</v>
      </c>
      <c r="K24" s="27" t="str">
        <f t="shared" si="4"/>
        <v>TUNTAS</v>
      </c>
      <c r="L24" s="13" t="str">
        <f t="shared" si="5"/>
        <v xml:space="preserve"> </v>
      </c>
      <c r="M24" s="1"/>
      <c r="N24" s="2">
        <f>I24/10</f>
        <v>7.4</v>
      </c>
    </row>
    <row r="25" spans="1:14" ht="15.95" customHeight="1" x14ac:dyDescent="0.25">
      <c r="A25" s="30">
        <v>18</v>
      </c>
      <c r="B25" s="9" t="s">
        <v>545</v>
      </c>
      <c r="C25" s="10" t="s">
        <v>2998</v>
      </c>
      <c r="D25" s="11" t="s">
        <v>37</v>
      </c>
      <c r="E25" s="27">
        <v>32</v>
      </c>
      <c r="F25" s="27">
        <v>32</v>
      </c>
      <c r="G25" s="27">
        <v>5</v>
      </c>
      <c r="H25" s="28">
        <f t="shared" si="3"/>
        <v>33</v>
      </c>
      <c r="I25" s="29">
        <f t="shared" si="0"/>
        <v>11</v>
      </c>
      <c r="J25" s="27">
        <f t="shared" si="1"/>
        <v>46</v>
      </c>
      <c r="K25" s="27" t="str">
        <f t="shared" si="4"/>
        <v>TIDAK HADIR</v>
      </c>
      <c r="L25" s="13" t="s">
        <v>3264</v>
      </c>
      <c r="M25" s="1"/>
      <c r="N25" s="2">
        <f t="shared" ref="N25:N56" si="6">I25/10</f>
        <v>1.1000000000000001</v>
      </c>
    </row>
    <row r="26" spans="1:14" ht="15.95" customHeight="1" x14ac:dyDescent="0.25">
      <c r="A26" s="13">
        <v>19</v>
      </c>
      <c r="B26" s="9" t="s">
        <v>547</v>
      </c>
      <c r="C26" s="10" t="s">
        <v>104</v>
      </c>
      <c r="D26" s="11" t="s">
        <v>37</v>
      </c>
      <c r="E26" s="27">
        <v>6</v>
      </c>
      <c r="F26" s="27">
        <v>8</v>
      </c>
      <c r="G26" s="27">
        <v>4</v>
      </c>
      <c r="H26" s="28">
        <f t="shared" si="3"/>
        <v>198</v>
      </c>
      <c r="I26" s="29">
        <f t="shared" si="0"/>
        <v>66</v>
      </c>
      <c r="J26" s="27">
        <f t="shared" si="1"/>
        <v>27</v>
      </c>
      <c r="K26" s="27" t="str">
        <f t="shared" si="4"/>
        <v>TUNTAS</v>
      </c>
      <c r="L26" s="13" t="str">
        <f t="shared" si="5"/>
        <v xml:space="preserve"> </v>
      </c>
      <c r="M26" s="1"/>
      <c r="N26" s="2">
        <f t="shared" si="6"/>
        <v>6.6</v>
      </c>
    </row>
    <row r="27" spans="1:14" ht="15.95" customHeight="1" x14ac:dyDescent="0.25">
      <c r="A27" s="13">
        <v>20</v>
      </c>
      <c r="B27" s="9" t="s">
        <v>549</v>
      </c>
      <c r="C27" s="10" t="s">
        <v>683</v>
      </c>
      <c r="D27" s="11" t="s">
        <v>39</v>
      </c>
      <c r="E27" s="27">
        <v>27</v>
      </c>
      <c r="F27" s="27">
        <v>17</v>
      </c>
      <c r="G27" s="27">
        <v>5</v>
      </c>
      <c r="H27" s="28">
        <f t="shared" si="3"/>
        <v>93</v>
      </c>
      <c r="I27" s="29">
        <f t="shared" si="0"/>
        <v>31</v>
      </c>
      <c r="J27" s="27">
        <f t="shared" si="1"/>
        <v>45</v>
      </c>
      <c r="K27" s="27" t="str">
        <f t="shared" si="4"/>
        <v>TIDAK TUNTAS</v>
      </c>
      <c r="L27" s="13" t="str">
        <f t="shared" si="5"/>
        <v xml:space="preserve"> </v>
      </c>
      <c r="M27" s="1"/>
      <c r="N27" s="2">
        <f t="shared" si="6"/>
        <v>3.1</v>
      </c>
    </row>
    <row r="28" spans="1:14" ht="15.95" customHeight="1" x14ac:dyDescent="0.25">
      <c r="A28" s="13">
        <v>21</v>
      </c>
      <c r="B28" s="9" t="s">
        <v>551</v>
      </c>
      <c r="C28" s="10" t="s">
        <v>2999</v>
      </c>
      <c r="D28" s="11" t="s">
        <v>80</v>
      </c>
      <c r="E28" s="27">
        <v>7</v>
      </c>
      <c r="F28" s="27">
        <v>0</v>
      </c>
      <c r="G28" s="27">
        <v>3</v>
      </c>
      <c r="H28" s="28">
        <f t="shared" si="3"/>
        <v>234</v>
      </c>
      <c r="I28" s="29">
        <f t="shared" si="0"/>
        <v>78</v>
      </c>
      <c r="J28" s="27">
        <f t="shared" si="1"/>
        <v>17</v>
      </c>
      <c r="K28" s="27" t="str">
        <f t="shared" si="4"/>
        <v>TUNTAS</v>
      </c>
      <c r="L28" s="13" t="str">
        <f t="shared" si="5"/>
        <v xml:space="preserve"> </v>
      </c>
      <c r="M28" s="1"/>
      <c r="N28" s="2">
        <f t="shared" si="6"/>
        <v>7.8</v>
      </c>
    </row>
    <row r="29" spans="1:14" ht="15.95" customHeight="1" x14ac:dyDescent="0.25">
      <c r="A29" s="13">
        <v>22</v>
      </c>
      <c r="B29" s="9" t="s">
        <v>553</v>
      </c>
      <c r="C29" s="10" t="s">
        <v>3000</v>
      </c>
      <c r="D29" s="11" t="s">
        <v>40</v>
      </c>
      <c r="E29" s="27">
        <v>9</v>
      </c>
      <c r="F29" s="27">
        <v>2</v>
      </c>
      <c r="G29" s="27">
        <v>3</v>
      </c>
      <c r="H29" s="28">
        <f>100-E29*3+100-F29*3+100-G29*15</f>
        <v>222</v>
      </c>
      <c r="I29" s="29">
        <f t="shared" si="0"/>
        <v>74</v>
      </c>
      <c r="J29" s="27">
        <f t="shared" si="1"/>
        <v>19</v>
      </c>
      <c r="K29" s="27" t="str">
        <f t="shared" si="4"/>
        <v>TUNTAS</v>
      </c>
      <c r="L29" s="13" t="str">
        <f t="shared" si="5"/>
        <v xml:space="preserve"> </v>
      </c>
      <c r="M29" s="1"/>
      <c r="N29" s="2">
        <f t="shared" si="6"/>
        <v>7.4</v>
      </c>
    </row>
    <row r="30" spans="1:14" ht="15.95" customHeight="1" x14ac:dyDescent="0.25">
      <c r="A30" s="13">
        <v>23</v>
      </c>
      <c r="B30" s="9" t="s">
        <v>555</v>
      </c>
      <c r="C30" s="10" t="s">
        <v>3001</v>
      </c>
      <c r="D30" s="11" t="s">
        <v>81</v>
      </c>
      <c r="E30" s="27">
        <v>20</v>
      </c>
      <c r="F30" s="27">
        <v>10</v>
      </c>
      <c r="G30" s="27">
        <v>5</v>
      </c>
      <c r="H30" s="28">
        <f>100-E30*3+100-F30*3+100-G30*15</f>
        <v>135</v>
      </c>
      <c r="I30" s="29">
        <f t="shared" si="0"/>
        <v>45</v>
      </c>
      <c r="J30" s="27">
        <f t="shared" si="1"/>
        <v>40</v>
      </c>
      <c r="K30" s="27" t="str">
        <f t="shared" si="4"/>
        <v>TIDAK TUNTAS</v>
      </c>
      <c r="L30" s="13" t="str">
        <f t="shared" si="5"/>
        <v xml:space="preserve"> </v>
      </c>
      <c r="M30" s="1"/>
      <c r="N30" s="2">
        <f t="shared" si="6"/>
        <v>4.5</v>
      </c>
    </row>
    <row r="31" spans="1:14" ht="15.95" customHeight="1" x14ac:dyDescent="0.25">
      <c r="A31" s="13">
        <v>24</v>
      </c>
      <c r="B31" s="9" t="s">
        <v>557</v>
      </c>
      <c r="C31" s="10" t="s">
        <v>3002</v>
      </c>
      <c r="D31" s="11" t="s">
        <v>144</v>
      </c>
      <c r="E31" s="27">
        <v>19</v>
      </c>
      <c r="F31" s="27">
        <v>2</v>
      </c>
      <c r="G31" s="27">
        <v>5</v>
      </c>
      <c r="H31" s="28">
        <f t="shared" si="3"/>
        <v>162</v>
      </c>
      <c r="I31" s="29">
        <f t="shared" si="0"/>
        <v>54</v>
      </c>
      <c r="J31" s="27">
        <f t="shared" si="1"/>
        <v>35</v>
      </c>
      <c r="K31" s="27" t="str">
        <f t="shared" si="4"/>
        <v>TIDAK TUNTAS</v>
      </c>
      <c r="L31" s="13" t="str">
        <f t="shared" si="5"/>
        <v xml:space="preserve"> </v>
      </c>
      <c r="M31" s="1"/>
      <c r="N31" s="2">
        <f t="shared" si="6"/>
        <v>5.4</v>
      </c>
    </row>
    <row r="32" spans="1:14" ht="15.95" customHeight="1" x14ac:dyDescent="0.25">
      <c r="A32" s="13">
        <v>25</v>
      </c>
      <c r="B32" s="9" t="s">
        <v>559</v>
      </c>
      <c r="C32" s="10" t="s">
        <v>3003</v>
      </c>
      <c r="D32" s="11" t="s">
        <v>43</v>
      </c>
      <c r="E32" s="27">
        <v>2</v>
      </c>
      <c r="F32" s="27">
        <v>4</v>
      </c>
      <c r="G32" s="27">
        <v>2</v>
      </c>
      <c r="H32" s="28">
        <f t="shared" si="3"/>
        <v>252</v>
      </c>
      <c r="I32" s="29">
        <f t="shared" si="0"/>
        <v>84</v>
      </c>
      <c r="J32" s="27">
        <f t="shared" si="1"/>
        <v>13</v>
      </c>
      <c r="K32" s="27" t="str">
        <f t="shared" si="4"/>
        <v>TUNTAS</v>
      </c>
      <c r="L32" s="13" t="str">
        <f t="shared" si="5"/>
        <v xml:space="preserve"> </v>
      </c>
      <c r="M32" s="1"/>
      <c r="N32" s="2">
        <f t="shared" si="6"/>
        <v>8.4</v>
      </c>
    </row>
    <row r="33" spans="1:14" ht="15.95" customHeight="1" x14ac:dyDescent="0.25">
      <c r="A33" s="13">
        <v>26</v>
      </c>
      <c r="B33" s="9" t="s">
        <v>561</v>
      </c>
      <c r="C33" s="10" t="s">
        <v>3004</v>
      </c>
      <c r="D33" s="11" t="s">
        <v>84</v>
      </c>
      <c r="E33" s="27">
        <v>5</v>
      </c>
      <c r="F33" s="27">
        <v>2</v>
      </c>
      <c r="G33" s="27">
        <v>2</v>
      </c>
      <c r="H33" s="28">
        <f t="shared" si="3"/>
        <v>249</v>
      </c>
      <c r="I33" s="29">
        <f t="shared" si="0"/>
        <v>83</v>
      </c>
      <c r="J33" s="27">
        <f t="shared" si="1"/>
        <v>14</v>
      </c>
      <c r="K33" s="27" t="str">
        <f t="shared" si="4"/>
        <v>TUNTAS</v>
      </c>
      <c r="L33" s="13" t="str">
        <f t="shared" si="5"/>
        <v xml:space="preserve"> </v>
      </c>
      <c r="M33" s="1"/>
      <c r="N33" s="2">
        <f t="shared" si="6"/>
        <v>8.3000000000000007</v>
      </c>
    </row>
    <row r="34" spans="1:14" ht="15.95" customHeight="1" x14ac:dyDescent="0.25">
      <c r="A34" s="13">
        <v>27</v>
      </c>
      <c r="B34" s="9" t="s">
        <v>563</v>
      </c>
      <c r="C34" s="10" t="s">
        <v>3005</v>
      </c>
      <c r="D34" s="11" t="s">
        <v>45</v>
      </c>
      <c r="E34" s="27">
        <v>10</v>
      </c>
      <c r="F34" s="27">
        <v>5</v>
      </c>
      <c r="G34" s="27">
        <v>5</v>
      </c>
      <c r="H34" s="28">
        <f t="shared" si="3"/>
        <v>180</v>
      </c>
      <c r="I34" s="29">
        <f t="shared" si="0"/>
        <v>60</v>
      </c>
      <c r="J34" s="27">
        <f t="shared" si="1"/>
        <v>31</v>
      </c>
      <c r="K34" s="27" t="str">
        <f t="shared" si="4"/>
        <v>TUNTAS</v>
      </c>
      <c r="L34" s="13" t="str">
        <f t="shared" si="5"/>
        <v xml:space="preserve"> </v>
      </c>
      <c r="M34" s="1"/>
      <c r="N34" s="2">
        <f t="shared" si="6"/>
        <v>6</v>
      </c>
    </row>
    <row r="35" spans="1:14" ht="15.95" customHeight="1" x14ac:dyDescent="0.25">
      <c r="A35" s="13">
        <v>28</v>
      </c>
      <c r="B35" s="9" t="s">
        <v>565</v>
      </c>
      <c r="C35" s="10" t="s">
        <v>3006</v>
      </c>
      <c r="D35" s="11" t="s">
        <v>46</v>
      </c>
      <c r="E35" s="27">
        <v>5</v>
      </c>
      <c r="F35" s="27">
        <v>6</v>
      </c>
      <c r="G35" s="27">
        <v>3</v>
      </c>
      <c r="H35" s="28">
        <f t="shared" si="3"/>
        <v>222</v>
      </c>
      <c r="I35" s="29">
        <f t="shared" si="0"/>
        <v>74</v>
      </c>
      <c r="J35" s="27">
        <f t="shared" si="1"/>
        <v>19</v>
      </c>
      <c r="K35" s="27" t="str">
        <f t="shared" si="4"/>
        <v>TUNTAS</v>
      </c>
      <c r="L35" s="13" t="str">
        <f t="shared" si="5"/>
        <v xml:space="preserve"> </v>
      </c>
      <c r="M35" s="1"/>
      <c r="N35" s="2">
        <f t="shared" si="6"/>
        <v>7.4</v>
      </c>
    </row>
    <row r="36" spans="1:14" ht="15.95" customHeight="1" x14ac:dyDescent="0.25">
      <c r="A36" s="13">
        <v>29</v>
      </c>
      <c r="B36" s="9" t="s">
        <v>567</v>
      </c>
      <c r="C36" s="10" t="s">
        <v>3007</v>
      </c>
      <c r="D36" s="11" t="s">
        <v>48</v>
      </c>
      <c r="E36" s="27">
        <v>32</v>
      </c>
      <c r="F36" s="27">
        <v>32</v>
      </c>
      <c r="G36" s="27">
        <v>5</v>
      </c>
      <c r="H36" s="28">
        <f t="shared" si="3"/>
        <v>33</v>
      </c>
      <c r="I36" s="29">
        <f t="shared" si="0"/>
        <v>11</v>
      </c>
      <c r="J36" s="27">
        <f t="shared" si="1"/>
        <v>46</v>
      </c>
      <c r="K36" s="27" t="str">
        <f t="shared" si="4"/>
        <v>TIDAK HADIR</v>
      </c>
      <c r="L36" s="13" t="s">
        <v>3265</v>
      </c>
      <c r="M36" s="1"/>
      <c r="N36" s="2">
        <f t="shared" si="6"/>
        <v>1.1000000000000001</v>
      </c>
    </row>
    <row r="37" spans="1:14" ht="15.95" customHeight="1" x14ac:dyDescent="0.25">
      <c r="A37" s="13">
        <v>30</v>
      </c>
      <c r="B37" s="9" t="s">
        <v>570</v>
      </c>
      <c r="C37" s="10" t="s">
        <v>3008</v>
      </c>
      <c r="D37" s="11" t="s">
        <v>48</v>
      </c>
      <c r="E37" s="27">
        <v>3</v>
      </c>
      <c r="F37" s="27">
        <v>0</v>
      </c>
      <c r="G37" s="27">
        <v>2</v>
      </c>
      <c r="H37" s="28">
        <f t="shared" si="3"/>
        <v>261</v>
      </c>
      <c r="I37" s="29">
        <f t="shared" si="0"/>
        <v>87</v>
      </c>
      <c r="J37" s="27">
        <f t="shared" si="1"/>
        <v>10</v>
      </c>
      <c r="K37" s="27" t="str">
        <f t="shared" si="4"/>
        <v>TUNTAS</v>
      </c>
      <c r="L37" s="13" t="str">
        <f t="shared" si="5"/>
        <v xml:space="preserve"> </v>
      </c>
      <c r="M37" s="1"/>
      <c r="N37" s="2">
        <f t="shared" si="6"/>
        <v>8.6999999999999993</v>
      </c>
    </row>
    <row r="38" spans="1:14" ht="15.95" customHeight="1" x14ac:dyDescent="0.25">
      <c r="A38" s="13">
        <v>31</v>
      </c>
      <c r="B38" s="9" t="s">
        <v>571</v>
      </c>
      <c r="C38" s="10" t="s">
        <v>3009</v>
      </c>
      <c r="D38" s="11" t="s">
        <v>51</v>
      </c>
      <c r="E38" s="27">
        <v>6</v>
      </c>
      <c r="F38" s="27">
        <v>1</v>
      </c>
      <c r="G38" s="27">
        <v>1</v>
      </c>
      <c r="H38" s="28">
        <f t="shared" si="3"/>
        <v>264</v>
      </c>
      <c r="I38" s="29">
        <f t="shared" si="0"/>
        <v>88</v>
      </c>
      <c r="J38" s="27">
        <f t="shared" si="1"/>
        <v>9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8.8000000000000007</v>
      </c>
    </row>
    <row r="39" spans="1:14" ht="15.95" customHeight="1" x14ac:dyDescent="0.25">
      <c r="A39" s="13">
        <v>32</v>
      </c>
      <c r="B39" s="9" t="s">
        <v>573</v>
      </c>
      <c r="C39" s="10" t="s">
        <v>3010</v>
      </c>
      <c r="D39" s="11" t="s">
        <v>52</v>
      </c>
      <c r="E39" s="27">
        <v>2</v>
      </c>
      <c r="F39" s="27">
        <v>0</v>
      </c>
      <c r="G39" s="27">
        <v>0</v>
      </c>
      <c r="H39" s="28">
        <f t="shared" si="3"/>
        <v>294</v>
      </c>
      <c r="I39" s="29">
        <f t="shared" si="0"/>
        <v>98</v>
      </c>
      <c r="J39" s="27">
        <f t="shared" si="1"/>
        <v>1</v>
      </c>
      <c r="K39" s="27" t="str">
        <f t="shared" si="4"/>
        <v>TUNTAS</v>
      </c>
      <c r="L39" s="13" t="str">
        <f t="shared" si="5"/>
        <v xml:space="preserve"> </v>
      </c>
      <c r="M39" s="1"/>
      <c r="N39" s="2">
        <f t="shared" si="6"/>
        <v>9.8000000000000007</v>
      </c>
    </row>
    <row r="40" spans="1:14" ht="15.95" customHeight="1" x14ac:dyDescent="0.25">
      <c r="A40" s="13">
        <v>33</v>
      </c>
      <c r="B40" s="9" t="s">
        <v>575</v>
      </c>
      <c r="C40" s="10" t="s">
        <v>2415</v>
      </c>
      <c r="D40" s="11" t="s">
        <v>53</v>
      </c>
      <c r="E40" s="27">
        <v>3</v>
      </c>
      <c r="F40" s="27">
        <v>0</v>
      </c>
      <c r="G40" s="27">
        <v>0</v>
      </c>
      <c r="H40" s="28">
        <f t="shared" si="3"/>
        <v>291</v>
      </c>
      <c r="I40" s="29">
        <f t="shared" si="0"/>
        <v>97</v>
      </c>
      <c r="J40" s="27">
        <f t="shared" ref="J40:J56" si="7">RANK(H40,$H$8:$H$93)</f>
        <v>3</v>
      </c>
      <c r="K40" s="27" t="str">
        <f t="shared" si="4"/>
        <v>TUNTAS</v>
      </c>
      <c r="L40" s="13" t="str">
        <f t="shared" si="5"/>
        <v xml:space="preserve"> </v>
      </c>
      <c r="M40" s="1"/>
      <c r="N40" s="2">
        <f t="shared" si="6"/>
        <v>9.6999999999999993</v>
      </c>
    </row>
    <row r="41" spans="1:14" ht="15.95" customHeight="1" x14ac:dyDescent="0.25">
      <c r="A41" s="13">
        <v>34</v>
      </c>
      <c r="B41" s="9" t="s">
        <v>577</v>
      </c>
      <c r="C41" s="10" t="s">
        <v>804</v>
      </c>
      <c r="D41" s="11" t="s">
        <v>138</v>
      </c>
      <c r="E41" s="27">
        <v>20</v>
      </c>
      <c r="F41" s="27">
        <v>10</v>
      </c>
      <c r="G41" s="27">
        <v>3</v>
      </c>
      <c r="H41" s="28">
        <f t="shared" si="3"/>
        <v>165</v>
      </c>
      <c r="I41" s="29">
        <f t="shared" si="0"/>
        <v>55</v>
      </c>
      <c r="J41" s="27">
        <f t="shared" si="7"/>
        <v>33</v>
      </c>
      <c r="K41" s="27" t="str">
        <f t="shared" si="4"/>
        <v>TIDAK TUNTAS</v>
      </c>
      <c r="L41" s="13" t="str">
        <f t="shared" si="5"/>
        <v xml:space="preserve"> </v>
      </c>
      <c r="M41" s="1"/>
      <c r="N41" s="2">
        <f t="shared" si="6"/>
        <v>5.5</v>
      </c>
    </row>
    <row r="42" spans="1:14" ht="15.95" customHeight="1" x14ac:dyDescent="0.25">
      <c r="A42" s="13">
        <v>35</v>
      </c>
      <c r="B42" s="9" t="s">
        <v>579</v>
      </c>
      <c r="C42" s="10" t="s">
        <v>3011</v>
      </c>
      <c r="D42" s="11" t="s">
        <v>57</v>
      </c>
      <c r="E42" s="27">
        <v>7</v>
      </c>
      <c r="F42" s="27">
        <v>3</v>
      </c>
      <c r="G42" s="27">
        <v>1</v>
      </c>
      <c r="H42" s="28">
        <f t="shared" si="3"/>
        <v>255</v>
      </c>
      <c r="I42" s="29">
        <f t="shared" si="0"/>
        <v>85</v>
      </c>
      <c r="J42" s="27">
        <f t="shared" si="7"/>
        <v>12</v>
      </c>
      <c r="K42" s="27" t="str">
        <f t="shared" si="4"/>
        <v>TUNTAS</v>
      </c>
      <c r="L42" s="13" t="str">
        <f t="shared" si="5"/>
        <v xml:space="preserve"> </v>
      </c>
      <c r="M42" s="1"/>
      <c r="N42" s="2">
        <f t="shared" si="6"/>
        <v>8.5</v>
      </c>
    </row>
    <row r="43" spans="1:14" ht="15.95" customHeight="1" x14ac:dyDescent="0.25">
      <c r="A43" s="13">
        <v>36</v>
      </c>
      <c r="B43" s="9" t="s">
        <v>581</v>
      </c>
      <c r="C43" s="10" t="s">
        <v>3012</v>
      </c>
      <c r="D43" s="11" t="s">
        <v>96</v>
      </c>
      <c r="E43" s="27">
        <v>2</v>
      </c>
      <c r="F43" s="27">
        <v>0</v>
      </c>
      <c r="G43" s="27">
        <v>0</v>
      </c>
      <c r="H43" s="28">
        <f t="shared" si="3"/>
        <v>294</v>
      </c>
      <c r="I43" s="29">
        <f t="shared" si="0"/>
        <v>98</v>
      </c>
      <c r="J43" s="27">
        <f t="shared" si="7"/>
        <v>1</v>
      </c>
      <c r="K43" s="27" t="str">
        <f t="shared" si="4"/>
        <v>TUNTAS</v>
      </c>
      <c r="L43" s="13" t="str">
        <f t="shared" si="5"/>
        <v xml:space="preserve"> </v>
      </c>
      <c r="M43" s="1"/>
      <c r="N43" s="2">
        <f t="shared" si="6"/>
        <v>9.8000000000000007</v>
      </c>
    </row>
    <row r="44" spans="1:14" ht="15.95" customHeight="1" x14ac:dyDescent="0.25">
      <c r="A44" s="13">
        <v>37</v>
      </c>
      <c r="B44" s="9" t="s">
        <v>583</v>
      </c>
      <c r="C44" s="10" t="s">
        <v>3013</v>
      </c>
      <c r="D44" s="11" t="s">
        <v>2046</v>
      </c>
      <c r="E44" s="27">
        <v>18</v>
      </c>
      <c r="F44" s="27">
        <v>13</v>
      </c>
      <c r="G44" s="27">
        <v>5</v>
      </c>
      <c r="H44" s="28">
        <f t="shared" si="3"/>
        <v>132</v>
      </c>
      <c r="I44" s="29">
        <f t="shared" si="0"/>
        <v>44</v>
      </c>
      <c r="J44" s="27">
        <f t="shared" si="7"/>
        <v>41</v>
      </c>
      <c r="K44" s="27" t="str">
        <f t="shared" si="4"/>
        <v>TIDAK TUNTAS</v>
      </c>
      <c r="L44" s="13" t="str">
        <f t="shared" si="5"/>
        <v xml:space="preserve"> </v>
      </c>
      <c r="M44" s="1"/>
      <c r="N44" s="2">
        <f t="shared" si="6"/>
        <v>4.4000000000000004</v>
      </c>
    </row>
    <row r="45" spans="1:14" ht="15.95" customHeight="1" x14ac:dyDescent="0.25">
      <c r="A45" s="13">
        <v>38</v>
      </c>
      <c r="B45" s="9" t="s">
        <v>585</v>
      </c>
      <c r="C45" s="10" t="s">
        <v>3014</v>
      </c>
      <c r="D45" s="11" t="s">
        <v>97</v>
      </c>
      <c r="E45" s="27">
        <v>12</v>
      </c>
      <c r="F45" s="27">
        <v>8</v>
      </c>
      <c r="G45" s="27">
        <v>5</v>
      </c>
      <c r="H45" s="28">
        <f t="shared" si="3"/>
        <v>165</v>
      </c>
      <c r="I45" s="29">
        <f t="shared" si="0"/>
        <v>55</v>
      </c>
      <c r="J45" s="27">
        <f t="shared" si="7"/>
        <v>33</v>
      </c>
      <c r="K45" s="27" t="str">
        <f t="shared" si="4"/>
        <v>TIDAK TUNTAS</v>
      </c>
      <c r="L45" s="13" t="str">
        <f t="shared" si="5"/>
        <v xml:space="preserve"> </v>
      </c>
      <c r="M45" s="1"/>
      <c r="N45" s="2">
        <f t="shared" si="6"/>
        <v>5.5</v>
      </c>
    </row>
    <row r="46" spans="1:14" ht="15.95" customHeight="1" x14ac:dyDescent="0.25">
      <c r="A46" s="13">
        <v>39</v>
      </c>
      <c r="B46" s="9" t="s">
        <v>587</v>
      </c>
      <c r="C46" s="10" t="s">
        <v>3015</v>
      </c>
      <c r="D46" s="11" t="s">
        <v>63</v>
      </c>
      <c r="E46" s="27">
        <v>17</v>
      </c>
      <c r="F46" s="27">
        <v>4</v>
      </c>
      <c r="G46" s="27">
        <v>5</v>
      </c>
      <c r="H46" s="28">
        <f t="shared" si="3"/>
        <v>162</v>
      </c>
      <c r="I46" s="29">
        <f t="shared" si="0"/>
        <v>54</v>
      </c>
      <c r="J46" s="27">
        <f t="shared" si="7"/>
        <v>35</v>
      </c>
      <c r="K46" s="27" t="str">
        <f t="shared" si="4"/>
        <v>TIDAK TUNTAS</v>
      </c>
      <c r="L46" s="13" t="str">
        <f t="shared" si="5"/>
        <v xml:space="preserve"> </v>
      </c>
      <c r="M46" s="1"/>
      <c r="N46" s="2">
        <f t="shared" si="6"/>
        <v>5.4</v>
      </c>
    </row>
    <row r="47" spans="1:14" ht="15.95" customHeight="1" x14ac:dyDescent="0.25">
      <c r="A47" s="13">
        <v>40</v>
      </c>
      <c r="B47" s="9" t="s">
        <v>589</v>
      </c>
      <c r="C47" s="10" t="s">
        <v>3016</v>
      </c>
      <c r="D47" s="11" t="s">
        <v>65</v>
      </c>
      <c r="E47" s="27">
        <v>9</v>
      </c>
      <c r="F47" s="27">
        <v>5</v>
      </c>
      <c r="G47" s="27">
        <v>3</v>
      </c>
      <c r="H47" s="28">
        <f t="shared" si="3"/>
        <v>213</v>
      </c>
      <c r="I47" s="29">
        <f t="shared" si="0"/>
        <v>71</v>
      </c>
      <c r="J47" s="27">
        <f t="shared" si="7"/>
        <v>23</v>
      </c>
      <c r="K47" s="27" t="str">
        <f t="shared" si="4"/>
        <v>TUNTAS</v>
      </c>
      <c r="L47" s="13" t="str">
        <f t="shared" si="5"/>
        <v xml:space="preserve"> </v>
      </c>
      <c r="M47" s="1"/>
      <c r="N47" s="2">
        <f t="shared" si="6"/>
        <v>7.1</v>
      </c>
    </row>
    <row r="48" spans="1:14" ht="15.95" customHeight="1" x14ac:dyDescent="0.25">
      <c r="A48" s="13">
        <v>41</v>
      </c>
      <c r="B48" s="9" t="s">
        <v>591</v>
      </c>
      <c r="C48" s="10" t="s">
        <v>3017</v>
      </c>
      <c r="D48" s="11" t="s">
        <v>67</v>
      </c>
      <c r="E48" s="27">
        <v>9</v>
      </c>
      <c r="F48" s="27">
        <v>6</v>
      </c>
      <c r="G48" s="27">
        <v>5</v>
      </c>
      <c r="H48" s="28">
        <f t="shared" si="3"/>
        <v>180</v>
      </c>
      <c r="I48" s="29">
        <f t="shared" si="0"/>
        <v>60</v>
      </c>
      <c r="J48" s="27">
        <f t="shared" si="7"/>
        <v>31</v>
      </c>
      <c r="K48" s="27" t="str">
        <f t="shared" si="4"/>
        <v>TUNTAS</v>
      </c>
      <c r="L48" s="13" t="str">
        <f t="shared" si="5"/>
        <v xml:space="preserve"> </v>
      </c>
      <c r="M48" s="1"/>
      <c r="N48" s="2">
        <f t="shared" si="6"/>
        <v>6</v>
      </c>
    </row>
    <row r="49" spans="1:14" ht="15.95" customHeight="1" x14ac:dyDescent="0.25">
      <c r="A49" s="13">
        <v>42</v>
      </c>
      <c r="B49" s="9" t="s">
        <v>592</v>
      </c>
      <c r="C49" s="10" t="s">
        <v>3018</v>
      </c>
      <c r="D49" s="11" t="s">
        <v>120</v>
      </c>
      <c r="E49" s="27">
        <v>3</v>
      </c>
      <c r="F49" s="27">
        <v>0</v>
      </c>
      <c r="G49" s="27">
        <v>0</v>
      </c>
      <c r="H49" s="28">
        <f t="shared" si="3"/>
        <v>291</v>
      </c>
      <c r="I49" s="29">
        <f t="shared" si="0"/>
        <v>97</v>
      </c>
      <c r="J49" s="27">
        <f t="shared" si="7"/>
        <v>3</v>
      </c>
      <c r="K49" s="27" t="str">
        <f t="shared" si="4"/>
        <v>TUNTAS</v>
      </c>
      <c r="L49" s="13" t="str">
        <f t="shared" si="5"/>
        <v xml:space="preserve"> </v>
      </c>
      <c r="M49" s="1"/>
      <c r="N49" s="2">
        <f t="shared" si="6"/>
        <v>9.6999999999999993</v>
      </c>
    </row>
    <row r="50" spans="1:14" ht="15.95" customHeight="1" x14ac:dyDescent="0.25">
      <c r="A50" s="13">
        <v>43</v>
      </c>
      <c r="B50" s="9" t="s">
        <v>594</v>
      </c>
      <c r="C50" s="10" t="s">
        <v>3019</v>
      </c>
      <c r="D50" s="11" t="s">
        <v>121</v>
      </c>
      <c r="E50" s="27">
        <v>8</v>
      </c>
      <c r="F50" s="27">
        <v>1</v>
      </c>
      <c r="G50" s="27">
        <v>1</v>
      </c>
      <c r="H50" s="28">
        <f t="shared" si="3"/>
        <v>258</v>
      </c>
      <c r="I50" s="29">
        <f t="shared" si="0"/>
        <v>86</v>
      </c>
      <c r="J50" s="27">
        <f t="shared" si="7"/>
        <v>11</v>
      </c>
      <c r="K50" s="27" t="str">
        <f t="shared" si="4"/>
        <v>TUNTAS</v>
      </c>
      <c r="L50" s="13" t="str">
        <f t="shared" si="5"/>
        <v xml:space="preserve"> </v>
      </c>
      <c r="M50" s="1"/>
      <c r="N50" s="2">
        <f t="shared" si="6"/>
        <v>8.6</v>
      </c>
    </row>
    <row r="51" spans="1:14" ht="15.95" customHeight="1" x14ac:dyDescent="0.25">
      <c r="A51" s="13">
        <v>44</v>
      </c>
      <c r="B51" s="9" t="s">
        <v>595</v>
      </c>
      <c r="C51" s="10" t="s">
        <v>3020</v>
      </c>
      <c r="D51" s="11" t="s">
        <v>69</v>
      </c>
      <c r="E51" s="27">
        <v>10</v>
      </c>
      <c r="F51" s="27">
        <v>2</v>
      </c>
      <c r="G51" s="27">
        <v>4</v>
      </c>
      <c r="H51" s="28">
        <f t="shared" si="3"/>
        <v>204</v>
      </c>
      <c r="I51" s="29">
        <f t="shared" si="0"/>
        <v>68</v>
      </c>
      <c r="J51" s="27">
        <f t="shared" si="7"/>
        <v>24</v>
      </c>
      <c r="K51" s="27" t="str">
        <f t="shared" si="4"/>
        <v>TUNTAS</v>
      </c>
      <c r="L51" s="13" t="str">
        <f t="shared" si="5"/>
        <v xml:space="preserve"> </v>
      </c>
      <c r="M51" s="1"/>
      <c r="N51" s="2">
        <f t="shared" si="6"/>
        <v>6.8</v>
      </c>
    </row>
    <row r="52" spans="1:14" ht="15.95" customHeight="1" x14ac:dyDescent="0.25">
      <c r="A52" s="13">
        <v>45</v>
      </c>
      <c r="B52" s="9" t="s">
        <v>597</v>
      </c>
      <c r="C52" s="10" t="s">
        <v>3021</v>
      </c>
      <c r="D52" s="11" t="s">
        <v>71</v>
      </c>
      <c r="E52" s="27">
        <v>15</v>
      </c>
      <c r="F52" s="27">
        <v>11</v>
      </c>
      <c r="G52" s="27">
        <v>5</v>
      </c>
      <c r="H52" s="28">
        <f t="shared" si="3"/>
        <v>147</v>
      </c>
      <c r="I52" s="29">
        <f t="shared" si="0"/>
        <v>49</v>
      </c>
      <c r="J52" s="27">
        <f t="shared" si="7"/>
        <v>38</v>
      </c>
      <c r="K52" s="27" t="str">
        <f t="shared" si="4"/>
        <v>TIDAK TUNTAS</v>
      </c>
      <c r="L52" s="13" t="str">
        <f t="shared" si="5"/>
        <v xml:space="preserve"> </v>
      </c>
      <c r="M52" s="1"/>
      <c r="N52" s="2">
        <f t="shared" si="6"/>
        <v>4.9000000000000004</v>
      </c>
    </row>
    <row r="53" spans="1:14" ht="15.95" customHeight="1" x14ac:dyDescent="0.25">
      <c r="A53" s="13">
        <v>46</v>
      </c>
      <c r="B53" s="9" t="s">
        <v>599</v>
      </c>
      <c r="C53" s="10" t="s">
        <v>3022</v>
      </c>
      <c r="D53" s="11" t="s">
        <v>72</v>
      </c>
      <c r="E53" s="27">
        <v>5</v>
      </c>
      <c r="F53" s="27">
        <v>5</v>
      </c>
      <c r="G53" s="27">
        <v>3</v>
      </c>
      <c r="H53" s="28">
        <f t="shared" si="3"/>
        <v>225</v>
      </c>
      <c r="I53" s="29">
        <f t="shared" si="0"/>
        <v>75</v>
      </c>
      <c r="J53" s="27">
        <f t="shared" si="7"/>
        <v>18</v>
      </c>
      <c r="K53" s="27" t="str">
        <f t="shared" si="4"/>
        <v>TUNTAS</v>
      </c>
      <c r="L53" s="13" t="str">
        <f t="shared" si="5"/>
        <v xml:space="preserve"> </v>
      </c>
      <c r="M53" s="1"/>
      <c r="N53" s="2">
        <f t="shared" si="6"/>
        <v>7.5</v>
      </c>
    </row>
    <row r="54" spans="1:14" x14ac:dyDescent="0.25">
      <c r="A54" s="13">
        <v>47</v>
      </c>
      <c r="B54" s="9" t="s">
        <v>601</v>
      </c>
      <c r="C54" s="10" t="s">
        <v>3023</v>
      </c>
      <c r="D54" s="11" t="s">
        <v>72</v>
      </c>
      <c r="E54" s="27">
        <v>32</v>
      </c>
      <c r="F54" s="27">
        <v>32</v>
      </c>
      <c r="G54" s="27">
        <v>5</v>
      </c>
      <c r="H54" s="28">
        <f t="shared" si="3"/>
        <v>33</v>
      </c>
      <c r="I54" s="29">
        <f t="shared" si="0"/>
        <v>11</v>
      </c>
      <c r="J54" s="27">
        <f t="shared" si="7"/>
        <v>46</v>
      </c>
      <c r="K54" s="27" t="str">
        <f t="shared" si="4"/>
        <v>TIDAK HADIR</v>
      </c>
      <c r="L54" s="13" t="s">
        <v>3264</v>
      </c>
      <c r="M54" s="1"/>
      <c r="N54" s="2">
        <f t="shared" si="6"/>
        <v>1.1000000000000001</v>
      </c>
    </row>
    <row r="55" spans="1:14" x14ac:dyDescent="0.25">
      <c r="A55" s="13">
        <v>48</v>
      </c>
      <c r="B55" s="9" t="s">
        <v>603</v>
      </c>
      <c r="C55" s="10" t="s">
        <v>3024</v>
      </c>
      <c r="D55" s="11" t="s">
        <v>89</v>
      </c>
      <c r="E55" s="27">
        <v>2</v>
      </c>
      <c r="F55" s="27">
        <v>1</v>
      </c>
      <c r="G55" s="27">
        <v>1</v>
      </c>
      <c r="H55" s="28">
        <f t="shared" si="3"/>
        <v>276</v>
      </c>
      <c r="I55" s="29">
        <f t="shared" si="0"/>
        <v>92</v>
      </c>
      <c r="J55" s="27">
        <f t="shared" si="7"/>
        <v>6</v>
      </c>
      <c r="K55" s="27" t="str">
        <f t="shared" si="4"/>
        <v>TUNTAS</v>
      </c>
      <c r="L55" s="13" t="str">
        <f t="shared" si="5"/>
        <v xml:space="preserve"> </v>
      </c>
      <c r="M55" s="1"/>
      <c r="N55" s="2">
        <f t="shared" si="6"/>
        <v>9.1999999999999993</v>
      </c>
    </row>
    <row r="56" spans="1:14" x14ac:dyDescent="0.25">
      <c r="A56" s="13">
        <v>49</v>
      </c>
      <c r="B56" s="9" t="s">
        <v>605</v>
      </c>
      <c r="C56" s="10" t="s">
        <v>638</v>
      </c>
      <c r="D56" s="11" t="s">
        <v>89</v>
      </c>
      <c r="E56" s="27">
        <v>17</v>
      </c>
      <c r="F56" s="27">
        <v>15</v>
      </c>
      <c r="G56" s="27">
        <v>6</v>
      </c>
      <c r="H56" s="28">
        <f t="shared" si="3"/>
        <v>114</v>
      </c>
      <c r="I56" s="29">
        <f t="shared" si="0"/>
        <v>38</v>
      </c>
      <c r="J56" s="27">
        <f t="shared" si="7"/>
        <v>42</v>
      </c>
      <c r="K56" s="27" t="str">
        <f t="shared" si="4"/>
        <v>TIDAK TUNTAS</v>
      </c>
      <c r="L56" s="13" t="str">
        <f t="shared" si="5"/>
        <v>TM</v>
      </c>
      <c r="M56" s="1"/>
      <c r="N56" s="2">
        <f t="shared" si="6"/>
        <v>3.8</v>
      </c>
    </row>
    <row r="57" spans="1:14" x14ac:dyDescent="0.25">
      <c r="L57" s="2"/>
    </row>
    <row r="58" spans="1:14" x14ac:dyDescent="0.25">
      <c r="L58" s="2"/>
    </row>
    <row r="59" spans="1:14" x14ac:dyDescent="0.25">
      <c r="L59" s="2"/>
    </row>
    <row r="60" spans="1:14" x14ac:dyDescent="0.25">
      <c r="L60" s="2"/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conditionalFormatting sqref="D8:D10">
    <cfRule type="cellIs" dxfId="143" priority="9" operator="equal">
      <formula>0</formula>
    </cfRule>
  </conditionalFormatting>
  <conditionalFormatting sqref="I8:I56">
    <cfRule type="cellIs" dxfId="142" priority="3" operator="lessThan">
      <formula>60</formula>
    </cfRule>
    <cfRule type="cellIs" dxfId="141" priority="4" operator="lessThan">
      <formula>60</formula>
    </cfRule>
    <cfRule type="cellIs" dxfId="140" priority="5" operator="lessThan">
      <formula>50</formula>
    </cfRule>
  </conditionalFormatting>
  <conditionalFormatting sqref="K8:K56">
    <cfRule type="cellIs" dxfId="139" priority="1" operator="equal">
      <formula>"TIDAK BACA"</formula>
    </cfRule>
    <cfRule type="cellIs" dxfId="138" priority="2" operator="equal">
      <formula>"TIDAK TUNTAS"</formula>
    </cfRule>
    <cfRule type="cellIs" dxfId="137" priority="6" operator="equal">
      <formula>"TUNTAS"</formula>
    </cfRule>
    <cfRule type="cellIs" dxfId="136" priority="7" operator="equal">
      <formula>"TIDAK HADIR"</formula>
    </cfRule>
    <cfRule type="cellIs" dxfId="135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C7BF3D7D-0CE6-4D88-AE85-79015650EECF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E2B2-B7E4-4CCC-8CE9-8EA0201A9227}">
  <sheetPr>
    <tabColor theme="6" tint="0.39997558519241921"/>
  </sheetPr>
  <dimension ref="A1:N61"/>
  <sheetViews>
    <sheetView zoomScaleNormal="100" workbookViewId="0">
      <pane xSplit="1" ySplit="7" topLeftCell="B59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N61" sqref="N8:N61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3294</v>
      </c>
      <c r="B4" s="51"/>
      <c r="C4" s="51"/>
      <c r="D4" s="51"/>
      <c r="E4" s="51"/>
      <c r="F4" s="51"/>
      <c r="G4" s="51"/>
      <c r="H4" s="51"/>
      <c r="I4" s="51"/>
      <c r="K4" s="33" t="s">
        <v>3282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606</v>
      </c>
      <c r="C8" s="10" t="s">
        <v>3025</v>
      </c>
      <c r="D8" s="11" t="s">
        <v>15</v>
      </c>
      <c r="E8" s="27">
        <v>5</v>
      </c>
      <c r="F8" s="27">
        <v>3</v>
      </c>
      <c r="G8" s="27">
        <v>2</v>
      </c>
      <c r="H8" s="28">
        <f>100-E8*3+100-F8*3+100-G8*15</f>
        <v>246</v>
      </c>
      <c r="I8" s="29">
        <f t="shared" ref="I8:I58" si="0">H8/3</f>
        <v>82</v>
      </c>
      <c r="J8" s="27">
        <f t="shared" ref="J8:J58" si="1">RANK(H8,$H$8:$H$97)</f>
        <v>18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8.1999999999999993</v>
      </c>
    </row>
    <row r="9" spans="1:14" ht="15.95" customHeight="1" x14ac:dyDescent="0.25">
      <c r="A9" s="13">
        <v>2</v>
      </c>
      <c r="B9" s="9" t="s">
        <v>608</v>
      </c>
      <c r="C9" s="10" t="s">
        <v>3026</v>
      </c>
      <c r="D9" s="11" t="s">
        <v>16</v>
      </c>
      <c r="E9" s="27">
        <v>5</v>
      </c>
      <c r="F9" s="27">
        <v>0</v>
      </c>
      <c r="G9" s="27">
        <v>1</v>
      </c>
      <c r="H9" s="28">
        <f t="shared" ref="H9:H61" si="3">100-E9*3+100-F9*3+100-G9*15</f>
        <v>270</v>
      </c>
      <c r="I9" s="29">
        <f t="shared" si="0"/>
        <v>90</v>
      </c>
      <c r="J9" s="27">
        <f t="shared" si="1"/>
        <v>12</v>
      </c>
      <c r="K9" s="27" t="str">
        <f t="shared" ref="K9:K61" si="4">IF(I9&lt;11.1,"TIDAK HADIR",IF(I9&lt;13.1,"TIDAK BACA",IF(I9&lt;$K$7,"TIDAK TUNTAS","TUNTAS")))</f>
        <v>TUNTAS</v>
      </c>
      <c r="L9" s="13" t="str">
        <f t="shared" ref="L9:L60" si="5">IF(G9&gt;5,"TM", " ")</f>
        <v xml:space="preserve"> </v>
      </c>
      <c r="M9" s="1"/>
      <c r="N9" s="2">
        <f t="shared" si="2"/>
        <v>9</v>
      </c>
    </row>
    <row r="10" spans="1:14" ht="15.95" customHeight="1" x14ac:dyDescent="0.25">
      <c r="A10" s="13">
        <v>3</v>
      </c>
      <c r="B10" s="9" t="s">
        <v>610</v>
      </c>
      <c r="C10" s="10" t="s">
        <v>3027</v>
      </c>
      <c r="D10" s="11" t="s">
        <v>17</v>
      </c>
      <c r="E10" s="27">
        <v>4</v>
      </c>
      <c r="F10" s="27">
        <v>5</v>
      </c>
      <c r="G10" s="27">
        <v>0</v>
      </c>
      <c r="H10" s="28">
        <f t="shared" si="3"/>
        <v>273</v>
      </c>
      <c r="I10" s="29">
        <f>H10/3</f>
        <v>91</v>
      </c>
      <c r="J10" s="27">
        <f t="shared" si="1"/>
        <v>9</v>
      </c>
      <c r="K10" s="27" t="str">
        <f t="shared" si="4"/>
        <v>TUNTAS</v>
      </c>
      <c r="L10" s="13" t="str">
        <f t="shared" si="5"/>
        <v xml:space="preserve"> </v>
      </c>
      <c r="M10" s="1"/>
      <c r="N10" s="2">
        <f t="shared" si="2"/>
        <v>9.1</v>
      </c>
    </row>
    <row r="11" spans="1:14" ht="15.95" customHeight="1" x14ac:dyDescent="0.25">
      <c r="A11" s="13">
        <v>4</v>
      </c>
      <c r="B11" s="9" t="s">
        <v>611</v>
      </c>
      <c r="C11" s="10" t="s">
        <v>3028</v>
      </c>
      <c r="D11" s="11" t="s">
        <v>18</v>
      </c>
      <c r="E11" s="27">
        <v>16</v>
      </c>
      <c r="F11" s="27">
        <v>4</v>
      </c>
      <c r="G11" s="27">
        <v>3</v>
      </c>
      <c r="H11" s="28">
        <f t="shared" si="3"/>
        <v>195</v>
      </c>
      <c r="I11" s="29">
        <f t="shared" si="0"/>
        <v>65</v>
      </c>
      <c r="J11" s="27">
        <f t="shared" si="1"/>
        <v>39</v>
      </c>
      <c r="K11" s="27" t="str">
        <f t="shared" si="4"/>
        <v>TUNTAS</v>
      </c>
      <c r="L11" s="13" t="str">
        <f t="shared" si="5"/>
        <v xml:space="preserve"> </v>
      </c>
      <c r="M11" s="1"/>
      <c r="N11" s="2">
        <f t="shared" si="2"/>
        <v>6.5</v>
      </c>
    </row>
    <row r="12" spans="1:14" ht="15.95" customHeight="1" x14ac:dyDescent="0.25">
      <c r="A12" s="13">
        <v>5</v>
      </c>
      <c r="B12" s="9" t="s">
        <v>613</v>
      </c>
      <c r="C12" s="10" t="s">
        <v>3029</v>
      </c>
      <c r="D12" s="11" t="s">
        <v>19</v>
      </c>
      <c r="E12" s="27">
        <v>19</v>
      </c>
      <c r="F12" s="27">
        <v>12</v>
      </c>
      <c r="G12" s="27">
        <v>4</v>
      </c>
      <c r="H12" s="28">
        <f t="shared" si="3"/>
        <v>147</v>
      </c>
      <c r="I12" s="29">
        <f t="shared" si="0"/>
        <v>49</v>
      </c>
      <c r="J12" s="27">
        <f t="shared" si="1"/>
        <v>47</v>
      </c>
      <c r="K12" s="27" t="str">
        <f t="shared" si="4"/>
        <v>TIDAK TUNTAS</v>
      </c>
      <c r="L12" s="13" t="str">
        <f t="shared" si="5"/>
        <v xml:space="preserve"> </v>
      </c>
      <c r="M12" s="1"/>
      <c r="N12" s="2">
        <f t="shared" si="2"/>
        <v>4.9000000000000004</v>
      </c>
    </row>
    <row r="13" spans="1:14" ht="15.95" customHeight="1" x14ac:dyDescent="0.25">
      <c r="A13" s="13">
        <v>6</v>
      </c>
      <c r="B13" s="9" t="s">
        <v>615</v>
      </c>
      <c r="C13" s="10" t="s">
        <v>3030</v>
      </c>
      <c r="D13" s="11" t="s">
        <v>22</v>
      </c>
      <c r="E13" s="27">
        <v>8</v>
      </c>
      <c r="F13" s="27">
        <v>3</v>
      </c>
      <c r="G13" s="27">
        <v>3</v>
      </c>
      <c r="H13" s="28">
        <f t="shared" si="3"/>
        <v>222</v>
      </c>
      <c r="I13" s="29">
        <f t="shared" si="0"/>
        <v>74</v>
      </c>
      <c r="J13" s="27">
        <f t="shared" si="1"/>
        <v>30</v>
      </c>
      <c r="K13" s="27" t="str">
        <f t="shared" si="4"/>
        <v>TUNTAS</v>
      </c>
      <c r="L13" s="13" t="str">
        <f t="shared" si="5"/>
        <v xml:space="preserve"> </v>
      </c>
      <c r="M13" s="1"/>
      <c r="N13" s="2">
        <f t="shared" si="2"/>
        <v>7.4</v>
      </c>
    </row>
    <row r="14" spans="1:14" ht="15.95" customHeight="1" x14ac:dyDescent="0.25">
      <c r="A14" s="13">
        <v>7</v>
      </c>
      <c r="B14" s="9" t="s">
        <v>617</v>
      </c>
      <c r="C14" s="10" t="s">
        <v>3031</v>
      </c>
      <c r="D14" s="11" t="s">
        <v>22</v>
      </c>
      <c r="E14" s="27">
        <v>4</v>
      </c>
      <c r="F14" s="27">
        <v>3</v>
      </c>
      <c r="G14" s="27">
        <v>1</v>
      </c>
      <c r="H14" s="28">
        <f t="shared" si="3"/>
        <v>264</v>
      </c>
      <c r="I14" s="29">
        <f t="shared" si="0"/>
        <v>88</v>
      </c>
      <c r="J14" s="27">
        <f t="shared" si="1"/>
        <v>14</v>
      </c>
      <c r="K14" s="27" t="str">
        <f t="shared" si="4"/>
        <v>TUNTAS</v>
      </c>
      <c r="L14" s="13" t="str">
        <f t="shared" si="5"/>
        <v xml:space="preserve"> </v>
      </c>
      <c r="M14" s="1"/>
      <c r="N14" s="2">
        <f t="shared" si="2"/>
        <v>8.8000000000000007</v>
      </c>
    </row>
    <row r="15" spans="1:14" ht="15.95" customHeight="1" x14ac:dyDescent="0.25">
      <c r="A15" s="13">
        <v>8</v>
      </c>
      <c r="B15" s="9" t="s">
        <v>619</v>
      </c>
      <c r="C15" s="17" t="s">
        <v>3032</v>
      </c>
      <c r="D15" s="18" t="s">
        <v>23</v>
      </c>
      <c r="E15" s="27">
        <v>5</v>
      </c>
      <c r="F15" s="27">
        <v>5</v>
      </c>
      <c r="G15" s="27">
        <v>2</v>
      </c>
      <c r="H15" s="28">
        <f t="shared" si="3"/>
        <v>240</v>
      </c>
      <c r="I15" s="29">
        <f t="shared" si="0"/>
        <v>80</v>
      </c>
      <c r="J15" s="27">
        <f t="shared" si="1"/>
        <v>19</v>
      </c>
      <c r="K15" s="27" t="str">
        <f t="shared" si="4"/>
        <v>TUNTAS</v>
      </c>
      <c r="L15" s="13" t="str">
        <f t="shared" si="5"/>
        <v xml:space="preserve"> </v>
      </c>
      <c r="M15" s="1"/>
      <c r="N15" s="2">
        <f t="shared" si="2"/>
        <v>8</v>
      </c>
    </row>
    <row r="16" spans="1:14" ht="15.95" customHeight="1" x14ac:dyDescent="0.25">
      <c r="A16" s="13">
        <v>9</v>
      </c>
      <c r="B16" s="9" t="s">
        <v>621</v>
      </c>
      <c r="C16" s="10" t="s">
        <v>3033</v>
      </c>
      <c r="D16" s="11" t="s">
        <v>24</v>
      </c>
      <c r="E16" s="27">
        <v>6</v>
      </c>
      <c r="F16" s="27">
        <v>6</v>
      </c>
      <c r="G16" s="27">
        <v>3</v>
      </c>
      <c r="H16" s="28">
        <f t="shared" si="3"/>
        <v>219</v>
      </c>
      <c r="I16" s="29">
        <f t="shared" si="0"/>
        <v>73</v>
      </c>
      <c r="J16" s="27">
        <f t="shared" si="1"/>
        <v>31</v>
      </c>
      <c r="K16" s="27" t="str">
        <f t="shared" si="4"/>
        <v>TUNTAS</v>
      </c>
      <c r="L16" s="13" t="str">
        <f t="shared" si="5"/>
        <v xml:space="preserve"> </v>
      </c>
      <c r="M16" s="1"/>
      <c r="N16" s="2">
        <f t="shared" si="2"/>
        <v>7.3</v>
      </c>
    </row>
    <row r="17" spans="1:14" ht="15.95" customHeight="1" x14ac:dyDescent="0.25">
      <c r="A17" s="13">
        <v>10</v>
      </c>
      <c r="B17" s="9" t="s">
        <v>623</v>
      </c>
      <c r="C17" s="10" t="s">
        <v>3034</v>
      </c>
      <c r="D17" s="11" t="s">
        <v>26</v>
      </c>
      <c r="E17" s="27">
        <v>32</v>
      </c>
      <c r="F17" s="27">
        <v>32</v>
      </c>
      <c r="G17" s="27">
        <v>5</v>
      </c>
      <c r="H17" s="28">
        <f t="shared" si="3"/>
        <v>33</v>
      </c>
      <c r="I17" s="29">
        <f t="shared" si="0"/>
        <v>11</v>
      </c>
      <c r="J17" s="27">
        <f t="shared" si="1"/>
        <v>53</v>
      </c>
      <c r="K17" s="27" t="str">
        <f t="shared" si="4"/>
        <v>TIDAK HADIR</v>
      </c>
      <c r="L17" s="13" t="s">
        <v>3265</v>
      </c>
      <c r="M17" s="1"/>
      <c r="N17" s="2">
        <f t="shared" si="2"/>
        <v>1.1000000000000001</v>
      </c>
    </row>
    <row r="18" spans="1:14" ht="15.95" customHeight="1" x14ac:dyDescent="0.25">
      <c r="A18" s="13">
        <v>11</v>
      </c>
      <c r="B18" s="9" t="s">
        <v>625</v>
      </c>
      <c r="C18" s="17" t="s">
        <v>3035</v>
      </c>
      <c r="D18" s="18" t="s">
        <v>75</v>
      </c>
      <c r="E18" s="27">
        <v>20</v>
      </c>
      <c r="F18" s="27">
        <v>17</v>
      </c>
      <c r="G18" s="27">
        <v>3</v>
      </c>
      <c r="H18" s="28">
        <f t="shared" si="3"/>
        <v>144</v>
      </c>
      <c r="I18" s="29">
        <f t="shared" si="0"/>
        <v>48</v>
      </c>
      <c r="J18" s="27">
        <f t="shared" si="1"/>
        <v>48</v>
      </c>
      <c r="K18" s="27" t="str">
        <f t="shared" si="4"/>
        <v>TIDAK TUNTAS</v>
      </c>
      <c r="L18" s="13" t="str">
        <f t="shared" si="5"/>
        <v xml:space="preserve"> </v>
      </c>
      <c r="M18" s="1"/>
      <c r="N18" s="2">
        <f t="shared" si="2"/>
        <v>4.8</v>
      </c>
    </row>
    <row r="19" spans="1:14" ht="15.95" customHeight="1" x14ac:dyDescent="0.25">
      <c r="A19" s="13">
        <v>12</v>
      </c>
      <c r="B19" s="9" t="s">
        <v>627</v>
      </c>
      <c r="C19" s="17" t="s">
        <v>3036</v>
      </c>
      <c r="D19" s="18" t="s">
        <v>29</v>
      </c>
      <c r="E19" s="27">
        <v>2</v>
      </c>
      <c r="F19" s="27">
        <v>4</v>
      </c>
      <c r="G19" s="27">
        <v>3</v>
      </c>
      <c r="H19" s="28">
        <f t="shared" si="3"/>
        <v>237</v>
      </c>
      <c r="I19" s="29">
        <f t="shared" si="0"/>
        <v>79</v>
      </c>
      <c r="J19" s="27">
        <f t="shared" si="1"/>
        <v>21</v>
      </c>
      <c r="K19" s="27" t="str">
        <f t="shared" si="4"/>
        <v>TUNTAS</v>
      </c>
      <c r="L19" s="13" t="str">
        <f t="shared" si="5"/>
        <v xml:space="preserve"> </v>
      </c>
      <c r="M19" s="1"/>
      <c r="N19" s="2">
        <f t="shared" si="2"/>
        <v>7.9</v>
      </c>
    </row>
    <row r="20" spans="1:14" ht="15.95" customHeight="1" x14ac:dyDescent="0.25">
      <c r="A20" s="13">
        <v>13</v>
      </c>
      <c r="B20" s="9" t="s">
        <v>628</v>
      </c>
      <c r="C20" s="10" t="s">
        <v>3037</v>
      </c>
      <c r="D20" s="11" t="s">
        <v>30</v>
      </c>
      <c r="E20" s="27">
        <v>17</v>
      </c>
      <c r="F20" s="27">
        <v>7</v>
      </c>
      <c r="G20" s="27">
        <v>6</v>
      </c>
      <c r="H20" s="28">
        <f t="shared" si="3"/>
        <v>138</v>
      </c>
      <c r="I20" s="29">
        <f t="shared" si="0"/>
        <v>46</v>
      </c>
      <c r="J20" s="27">
        <f t="shared" si="1"/>
        <v>50</v>
      </c>
      <c r="K20" s="27" t="str">
        <f t="shared" si="4"/>
        <v>TIDAK TUNTAS</v>
      </c>
      <c r="L20" s="13" t="str">
        <f t="shared" si="5"/>
        <v>TM</v>
      </c>
      <c r="M20" s="1"/>
      <c r="N20" s="2">
        <f t="shared" si="2"/>
        <v>4.5999999999999996</v>
      </c>
    </row>
    <row r="21" spans="1:14" ht="15.95" customHeight="1" x14ac:dyDescent="0.25">
      <c r="A21" s="13">
        <v>14</v>
      </c>
      <c r="B21" s="9" t="s">
        <v>630</v>
      </c>
      <c r="C21" s="10" t="s">
        <v>3038</v>
      </c>
      <c r="D21" s="11" t="s">
        <v>77</v>
      </c>
      <c r="E21" s="27">
        <v>11</v>
      </c>
      <c r="F21" s="27">
        <v>3</v>
      </c>
      <c r="G21" s="27">
        <v>2</v>
      </c>
      <c r="H21" s="28">
        <f t="shared" si="3"/>
        <v>228</v>
      </c>
      <c r="I21" s="29">
        <f t="shared" si="0"/>
        <v>76</v>
      </c>
      <c r="J21" s="27">
        <f t="shared" si="1"/>
        <v>27</v>
      </c>
      <c r="K21" s="27" t="str">
        <f t="shared" si="4"/>
        <v>TUNTAS</v>
      </c>
      <c r="L21" s="13" t="str">
        <f t="shared" si="5"/>
        <v xml:space="preserve"> </v>
      </c>
      <c r="M21" s="1"/>
      <c r="N21" s="2">
        <f t="shared" si="2"/>
        <v>7.6</v>
      </c>
    </row>
    <row r="22" spans="1:14" ht="15.95" customHeight="1" x14ac:dyDescent="0.25">
      <c r="A22" s="13">
        <v>15</v>
      </c>
      <c r="B22" s="9" t="s">
        <v>632</v>
      </c>
      <c r="C22" s="10" t="s">
        <v>3039</v>
      </c>
      <c r="D22" s="11" t="s">
        <v>31</v>
      </c>
      <c r="E22" s="27">
        <v>3</v>
      </c>
      <c r="F22" s="27">
        <v>2</v>
      </c>
      <c r="G22" s="27">
        <v>1</v>
      </c>
      <c r="H22" s="28">
        <f t="shared" si="3"/>
        <v>270</v>
      </c>
      <c r="I22" s="29">
        <f t="shared" si="0"/>
        <v>90</v>
      </c>
      <c r="J22" s="27">
        <f t="shared" si="1"/>
        <v>12</v>
      </c>
      <c r="K22" s="27" t="str">
        <f t="shared" si="4"/>
        <v>TUNTAS</v>
      </c>
      <c r="L22" s="13" t="str">
        <f t="shared" si="5"/>
        <v xml:space="preserve"> </v>
      </c>
      <c r="M22" s="1"/>
      <c r="N22" s="2">
        <f t="shared" si="2"/>
        <v>9</v>
      </c>
    </row>
    <row r="23" spans="1:14" ht="15.95" customHeight="1" x14ac:dyDescent="0.25">
      <c r="A23" s="13">
        <v>16</v>
      </c>
      <c r="B23" s="9" t="s">
        <v>634</v>
      </c>
      <c r="C23" s="10" t="s">
        <v>3040</v>
      </c>
      <c r="D23" s="11" t="s">
        <v>32</v>
      </c>
      <c r="E23" s="27">
        <v>8</v>
      </c>
      <c r="F23" s="27">
        <v>0</v>
      </c>
      <c r="G23" s="27">
        <v>3</v>
      </c>
      <c r="H23" s="28">
        <f t="shared" si="3"/>
        <v>231</v>
      </c>
      <c r="I23" s="29">
        <f t="shared" si="0"/>
        <v>77</v>
      </c>
      <c r="J23" s="27">
        <f t="shared" si="1"/>
        <v>24</v>
      </c>
      <c r="K23" s="27" t="str">
        <f t="shared" si="4"/>
        <v>TUNTAS</v>
      </c>
      <c r="L23" s="13" t="str">
        <f t="shared" si="5"/>
        <v xml:space="preserve"> </v>
      </c>
      <c r="M23" s="1"/>
      <c r="N23" s="2">
        <f t="shared" si="2"/>
        <v>7.7</v>
      </c>
    </row>
    <row r="24" spans="1:14" ht="15.95" customHeight="1" x14ac:dyDescent="0.25">
      <c r="A24" s="13">
        <v>17</v>
      </c>
      <c r="B24" s="9" t="s">
        <v>636</v>
      </c>
      <c r="C24" s="10" t="s">
        <v>3041</v>
      </c>
      <c r="D24" s="11" t="s">
        <v>79</v>
      </c>
      <c r="E24" s="27">
        <v>10</v>
      </c>
      <c r="F24" s="27">
        <v>4</v>
      </c>
      <c r="G24" s="27">
        <v>3</v>
      </c>
      <c r="H24" s="28">
        <f t="shared" si="3"/>
        <v>213</v>
      </c>
      <c r="I24" s="29">
        <f t="shared" si="0"/>
        <v>71</v>
      </c>
      <c r="J24" s="27">
        <f t="shared" si="1"/>
        <v>34</v>
      </c>
      <c r="K24" s="27" t="str">
        <f t="shared" si="4"/>
        <v>TUNTAS</v>
      </c>
      <c r="L24" s="13" t="str">
        <f t="shared" si="5"/>
        <v xml:space="preserve"> </v>
      </c>
      <c r="M24" s="1"/>
      <c r="N24" s="2">
        <f>I24/10</f>
        <v>7.1</v>
      </c>
    </row>
    <row r="25" spans="1:14" ht="15.95" customHeight="1" x14ac:dyDescent="0.25">
      <c r="A25" s="30">
        <v>18</v>
      </c>
      <c r="B25" s="9" t="s">
        <v>637</v>
      </c>
      <c r="C25" s="10" t="s">
        <v>3042</v>
      </c>
      <c r="D25" s="11" t="s">
        <v>103</v>
      </c>
      <c r="E25" s="27">
        <v>9</v>
      </c>
      <c r="F25" s="27">
        <v>0</v>
      </c>
      <c r="G25" s="27">
        <v>1</v>
      </c>
      <c r="H25" s="28">
        <f t="shared" si="3"/>
        <v>258</v>
      </c>
      <c r="I25" s="29">
        <f t="shared" si="0"/>
        <v>86</v>
      </c>
      <c r="J25" s="27">
        <f t="shared" si="1"/>
        <v>16</v>
      </c>
      <c r="K25" s="27" t="str">
        <f t="shared" si="4"/>
        <v>TUNTAS</v>
      </c>
      <c r="L25" s="13" t="str">
        <f t="shared" si="5"/>
        <v xml:space="preserve"> </v>
      </c>
      <c r="M25" s="1"/>
      <c r="N25" s="2">
        <f t="shared" ref="N25:N61" si="6">I25/10</f>
        <v>8.6</v>
      </c>
    </row>
    <row r="26" spans="1:14" ht="15.95" customHeight="1" x14ac:dyDescent="0.25">
      <c r="A26" s="13">
        <v>19</v>
      </c>
      <c r="B26" s="9" t="s">
        <v>639</v>
      </c>
      <c r="C26" s="10" t="s">
        <v>3043</v>
      </c>
      <c r="D26" s="11" t="s">
        <v>36</v>
      </c>
      <c r="E26" s="27">
        <v>20</v>
      </c>
      <c r="F26" s="27">
        <v>12</v>
      </c>
      <c r="G26" s="27">
        <v>5</v>
      </c>
      <c r="H26" s="28">
        <f t="shared" si="3"/>
        <v>129</v>
      </c>
      <c r="I26" s="29">
        <f t="shared" si="0"/>
        <v>43</v>
      </c>
      <c r="J26" s="27">
        <f t="shared" si="1"/>
        <v>52</v>
      </c>
      <c r="K26" s="27" t="str">
        <f t="shared" si="4"/>
        <v>TIDAK TUNTAS</v>
      </c>
      <c r="L26" s="13" t="str">
        <f t="shared" si="5"/>
        <v xml:space="preserve"> </v>
      </c>
      <c r="M26" s="1"/>
      <c r="N26" s="2">
        <f t="shared" si="6"/>
        <v>4.3</v>
      </c>
    </row>
    <row r="27" spans="1:14" ht="15.95" customHeight="1" x14ac:dyDescent="0.25">
      <c r="A27" s="13">
        <v>20</v>
      </c>
      <c r="B27" s="9" t="s">
        <v>640</v>
      </c>
      <c r="C27" s="10" t="s">
        <v>3044</v>
      </c>
      <c r="D27" s="11" t="s">
        <v>37</v>
      </c>
      <c r="E27" s="27">
        <v>9</v>
      </c>
      <c r="F27" s="27">
        <v>10</v>
      </c>
      <c r="G27" s="27">
        <v>3</v>
      </c>
      <c r="H27" s="28">
        <f t="shared" si="3"/>
        <v>198</v>
      </c>
      <c r="I27" s="29">
        <f t="shared" si="0"/>
        <v>66</v>
      </c>
      <c r="J27" s="27">
        <f t="shared" si="1"/>
        <v>38</v>
      </c>
      <c r="K27" s="27" t="str">
        <f t="shared" si="4"/>
        <v>TUNTAS</v>
      </c>
      <c r="L27" s="13" t="str">
        <f t="shared" si="5"/>
        <v xml:space="preserve"> </v>
      </c>
      <c r="M27" s="1"/>
      <c r="N27" s="2">
        <f t="shared" si="6"/>
        <v>6.6</v>
      </c>
    </row>
    <row r="28" spans="1:14" ht="15.95" customHeight="1" x14ac:dyDescent="0.25">
      <c r="A28" s="13">
        <v>21</v>
      </c>
      <c r="B28" s="9" t="s">
        <v>642</v>
      </c>
      <c r="C28" s="10" t="s">
        <v>3045</v>
      </c>
      <c r="D28" s="11" t="s">
        <v>39</v>
      </c>
      <c r="E28" s="27">
        <v>9</v>
      </c>
      <c r="F28" s="27">
        <v>14</v>
      </c>
      <c r="G28" s="27">
        <v>5</v>
      </c>
      <c r="H28" s="28">
        <f t="shared" si="3"/>
        <v>156</v>
      </c>
      <c r="I28" s="29">
        <f t="shared" si="0"/>
        <v>52</v>
      </c>
      <c r="J28" s="27">
        <f t="shared" si="1"/>
        <v>46</v>
      </c>
      <c r="K28" s="27" t="str">
        <f t="shared" si="4"/>
        <v>TIDAK TUNTAS</v>
      </c>
      <c r="L28" s="13" t="str">
        <f t="shared" si="5"/>
        <v xml:space="preserve"> </v>
      </c>
      <c r="M28" s="1"/>
      <c r="N28" s="2">
        <f t="shared" si="6"/>
        <v>5.2</v>
      </c>
    </row>
    <row r="29" spans="1:14" ht="15.95" customHeight="1" x14ac:dyDescent="0.25">
      <c r="A29" s="13">
        <v>22</v>
      </c>
      <c r="B29" s="9" t="s">
        <v>644</v>
      </c>
      <c r="C29" s="10" t="s">
        <v>392</v>
      </c>
      <c r="D29" s="11" t="s">
        <v>105</v>
      </c>
      <c r="E29" s="27">
        <v>4</v>
      </c>
      <c r="F29" s="27">
        <v>3</v>
      </c>
      <c r="G29" s="27">
        <v>5</v>
      </c>
      <c r="H29" s="28">
        <f t="shared" si="3"/>
        <v>204</v>
      </c>
      <c r="I29" s="29">
        <f t="shared" si="0"/>
        <v>68</v>
      </c>
      <c r="J29" s="27">
        <f t="shared" si="1"/>
        <v>36</v>
      </c>
      <c r="K29" s="27" t="str">
        <f t="shared" si="4"/>
        <v>TUNTAS</v>
      </c>
      <c r="L29" s="13" t="str">
        <f t="shared" si="5"/>
        <v xml:space="preserve"> </v>
      </c>
      <c r="M29" s="1"/>
      <c r="N29" s="2">
        <f t="shared" si="6"/>
        <v>6.8</v>
      </c>
    </row>
    <row r="30" spans="1:14" ht="15.95" customHeight="1" x14ac:dyDescent="0.25">
      <c r="A30" s="13">
        <v>23</v>
      </c>
      <c r="B30" s="9" t="s">
        <v>646</v>
      </c>
      <c r="C30" s="10" t="s">
        <v>3046</v>
      </c>
      <c r="D30" s="11" t="s">
        <v>40</v>
      </c>
      <c r="E30" s="27">
        <v>5</v>
      </c>
      <c r="F30" s="27">
        <v>3</v>
      </c>
      <c r="G30" s="27">
        <v>0</v>
      </c>
      <c r="H30" s="28">
        <f t="shared" si="3"/>
        <v>276</v>
      </c>
      <c r="I30" s="29">
        <f t="shared" si="0"/>
        <v>92</v>
      </c>
      <c r="J30" s="27">
        <f t="shared" si="1"/>
        <v>8</v>
      </c>
      <c r="K30" s="27" t="str">
        <f t="shared" si="4"/>
        <v>TUNTAS</v>
      </c>
      <c r="L30" s="13" t="str">
        <f t="shared" si="5"/>
        <v xml:space="preserve"> </v>
      </c>
      <c r="M30" s="1"/>
      <c r="N30" s="2">
        <f t="shared" si="6"/>
        <v>9.1999999999999993</v>
      </c>
    </row>
    <row r="31" spans="1:14" ht="15.95" customHeight="1" x14ac:dyDescent="0.25">
      <c r="A31" s="13">
        <v>24</v>
      </c>
      <c r="B31" s="9" t="s">
        <v>647</v>
      </c>
      <c r="C31" s="10" t="s">
        <v>3047</v>
      </c>
      <c r="D31" s="11" t="s">
        <v>127</v>
      </c>
      <c r="E31" s="27">
        <v>19</v>
      </c>
      <c r="F31" s="27">
        <v>10</v>
      </c>
      <c r="G31" s="27">
        <v>5</v>
      </c>
      <c r="H31" s="28">
        <f t="shared" si="3"/>
        <v>138</v>
      </c>
      <c r="I31" s="29">
        <f t="shared" si="0"/>
        <v>46</v>
      </c>
      <c r="J31" s="27">
        <f t="shared" si="1"/>
        <v>50</v>
      </c>
      <c r="K31" s="27" t="str">
        <f t="shared" si="4"/>
        <v>TIDAK TUNTAS</v>
      </c>
      <c r="L31" s="13" t="str">
        <f t="shared" si="5"/>
        <v xml:space="preserve"> </v>
      </c>
      <c r="M31" s="1"/>
      <c r="N31" s="2">
        <f t="shared" si="6"/>
        <v>4.5999999999999996</v>
      </c>
    </row>
    <row r="32" spans="1:14" ht="15.95" customHeight="1" x14ac:dyDescent="0.25">
      <c r="A32" s="13">
        <v>25</v>
      </c>
      <c r="B32" s="9" t="s">
        <v>649</v>
      </c>
      <c r="C32" s="10" t="s">
        <v>3048</v>
      </c>
      <c r="D32" s="11" t="s">
        <v>290</v>
      </c>
      <c r="E32" s="27">
        <v>4</v>
      </c>
      <c r="F32" s="27">
        <v>3</v>
      </c>
      <c r="G32" s="27">
        <v>1</v>
      </c>
      <c r="H32" s="28">
        <f t="shared" si="3"/>
        <v>264</v>
      </c>
      <c r="I32" s="29">
        <f t="shared" si="0"/>
        <v>88</v>
      </c>
      <c r="J32" s="27">
        <f t="shared" si="1"/>
        <v>14</v>
      </c>
      <c r="K32" s="27" t="str">
        <f t="shared" si="4"/>
        <v>TUNTAS</v>
      </c>
      <c r="L32" s="13" t="str">
        <f t="shared" si="5"/>
        <v xml:space="preserve"> </v>
      </c>
      <c r="M32" s="1"/>
      <c r="N32" s="2">
        <f t="shared" si="6"/>
        <v>8.8000000000000007</v>
      </c>
    </row>
    <row r="33" spans="1:14" ht="15.95" customHeight="1" x14ac:dyDescent="0.25">
      <c r="A33" s="13">
        <v>26</v>
      </c>
      <c r="B33" s="9" t="s">
        <v>651</v>
      </c>
      <c r="C33" s="10" t="s">
        <v>3049</v>
      </c>
      <c r="D33" s="11" t="s">
        <v>82</v>
      </c>
      <c r="E33" s="27">
        <v>7</v>
      </c>
      <c r="F33" s="27">
        <v>3</v>
      </c>
      <c r="G33" s="27">
        <v>2</v>
      </c>
      <c r="H33" s="28">
        <f t="shared" si="3"/>
        <v>240</v>
      </c>
      <c r="I33" s="29">
        <f t="shared" si="0"/>
        <v>80</v>
      </c>
      <c r="J33" s="27">
        <f t="shared" si="1"/>
        <v>19</v>
      </c>
      <c r="K33" s="27" t="str">
        <f t="shared" si="4"/>
        <v>TUNTAS</v>
      </c>
      <c r="L33" s="13" t="str">
        <f t="shared" si="5"/>
        <v xml:space="preserve"> </v>
      </c>
      <c r="M33" s="1"/>
      <c r="N33" s="2">
        <f t="shared" si="6"/>
        <v>8</v>
      </c>
    </row>
    <row r="34" spans="1:14" ht="15.95" customHeight="1" x14ac:dyDescent="0.25">
      <c r="A34" s="13">
        <v>27</v>
      </c>
      <c r="B34" s="9" t="s">
        <v>653</v>
      </c>
      <c r="C34" s="10" t="s">
        <v>3050</v>
      </c>
      <c r="D34" s="11" t="s">
        <v>43</v>
      </c>
      <c r="E34" s="27">
        <v>11</v>
      </c>
      <c r="F34" s="27">
        <v>2</v>
      </c>
      <c r="G34" s="27">
        <v>3</v>
      </c>
      <c r="H34" s="28">
        <f t="shared" si="3"/>
        <v>216</v>
      </c>
      <c r="I34" s="29">
        <f t="shared" si="0"/>
        <v>72</v>
      </c>
      <c r="J34" s="27">
        <f t="shared" si="1"/>
        <v>33</v>
      </c>
      <c r="K34" s="27" t="str">
        <f t="shared" si="4"/>
        <v>TUNTAS</v>
      </c>
      <c r="L34" s="13" t="str">
        <f t="shared" si="5"/>
        <v xml:space="preserve"> </v>
      </c>
      <c r="M34" s="1"/>
      <c r="N34" s="2">
        <f t="shared" si="6"/>
        <v>7.2</v>
      </c>
    </row>
    <row r="35" spans="1:14" ht="15.95" customHeight="1" x14ac:dyDescent="0.25">
      <c r="A35" s="13">
        <v>28</v>
      </c>
      <c r="B35" s="9" t="s">
        <v>655</v>
      </c>
      <c r="C35" s="10" t="s">
        <v>3051</v>
      </c>
      <c r="D35" s="11" t="s">
        <v>84</v>
      </c>
      <c r="E35" s="27">
        <v>10</v>
      </c>
      <c r="F35" s="27">
        <v>2</v>
      </c>
      <c r="G35" s="27">
        <v>3</v>
      </c>
      <c r="H35" s="28">
        <f t="shared" si="3"/>
        <v>219</v>
      </c>
      <c r="I35" s="29">
        <f t="shared" si="0"/>
        <v>73</v>
      </c>
      <c r="J35" s="27">
        <f t="shared" si="1"/>
        <v>31</v>
      </c>
      <c r="K35" s="27" t="str">
        <f t="shared" si="4"/>
        <v>TUNTAS</v>
      </c>
      <c r="L35" s="13" t="str">
        <f t="shared" si="5"/>
        <v xml:space="preserve"> </v>
      </c>
      <c r="M35" s="1"/>
      <c r="N35" s="2">
        <f t="shared" si="6"/>
        <v>7.3</v>
      </c>
    </row>
    <row r="36" spans="1:14" ht="15.95" customHeight="1" x14ac:dyDescent="0.25">
      <c r="A36" s="13">
        <v>29</v>
      </c>
      <c r="B36" s="9" t="s">
        <v>657</v>
      </c>
      <c r="C36" s="10" t="s">
        <v>3052</v>
      </c>
      <c r="D36" s="11" t="s">
        <v>84</v>
      </c>
      <c r="E36" s="27">
        <v>8</v>
      </c>
      <c r="F36" s="27">
        <v>11</v>
      </c>
      <c r="G36" s="27">
        <v>2</v>
      </c>
      <c r="H36" s="28">
        <f t="shared" si="3"/>
        <v>213</v>
      </c>
      <c r="I36" s="29">
        <f t="shared" si="0"/>
        <v>71</v>
      </c>
      <c r="J36" s="27">
        <f t="shared" si="1"/>
        <v>34</v>
      </c>
      <c r="K36" s="27" t="str">
        <f t="shared" si="4"/>
        <v>TUNTAS</v>
      </c>
      <c r="L36" s="13" t="str">
        <f t="shared" si="5"/>
        <v xml:space="preserve"> </v>
      </c>
      <c r="M36" s="1"/>
      <c r="N36" s="2">
        <f t="shared" si="6"/>
        <v>7.1</v>
      </c>
    </row>
    <row r="37" spans="1:14" ht="15.95" customHeight="1" x14ac:dyDescent="0.25">
      <c r="A37" s="13">
        <v>30</v>
      </c>
      <c r="B37" s="9" t="s">
        <v>659</v>
      </c>
      <c r="C37" s="10" t="s">
        <v>3053</v>
      </c>
      <c r="D37" s="11" t="s">
        <v>45</v>
      </c>
      <c r="E37" s="27">
        <v>3</v>
      </c>
      <c r="F37" s="27">
        <v>5</v>
      </c>
      <c r="G37" s="27">
        <v>5</v>
      </c>
      <c r="H37" s="28">
        <f t="shared" si="3"/>
        <v>201</v>
      </c>
      <c r="I37" s="29">
        <f t="shared" si="0"/>
        <v>67</v>
      </c>
      <c r="J37" s="27">
        <f t="shared" si="1"/>
        <v>37</v>
      </c>
      <c r="K37" s="27" t="str">
        <f t="shared" si="4"/>
        <v>TUNTAS</v>
      </c>
      <c r="L37" s="13" t="str">
        <f t="shared" si="5"/>
        <v xml:space="preserve"> </v>
      </c>
      <c r="M37" s="1"/>
      <c r="N37" s="2">
        <f t="shared" si="6"/>
        <v>6.7</v>
      </c>
    </row>
    <row r="38" spans="1:14" ht="15.95" customHeight="1" x14ac:dyDescent="0.25">
      <c r="A38" s="13">
        <v>31</v>
      </c>
      <c r="B38" s="9" t="s">
        <v>661</v>
      </c>
      <c r="C38" s="10" t="s">
        <v>3054</v>
      </c>
      <c r="D38" s="11" t="s">
        <v>46</v>
      </c>
      <c r="E38" s="27">
        <v>10</v>
      </c>
      <c r="F38" s="27">
        <v>4</v>
      </c>
      <c r="G38" s="27">
        <v>2</v>
      </c>
      <c r="H38" s="28">
        <f t="shared" si="3"/>
        <v>228</v>
      </c>
      <c r="I38" s="29">
        <f t="shared" si="0"/>
        <v>76</v>
      </c>
      <c r="J38" s="27">
        <f t="shared" si="1"/>
        <v>27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7.6</v>
      </c>
    </row>
    <row r="39" spans="1:14" ht="15.95" customHeight="1" x14ac:dyDescent="0.25">
      <c r="A39" s="13">
        <v>32</v>
      </c>
      <c r="B39" s="9" t="s">
        <v>663</v>
      </c>
      <c r="C39" s="10" t="s">
        <v>3055</v>
      </c>
      <c r="D39" s="11" t="s">
        <v>48</v>
      </c>
      <c r="E39" s="27">
        <v>0</v>
      </c>
      <c r="F39" s="27">
        <v>0</v>
      </c>
      <c r="G39" s="27">
        <v>0</v>
      </c>
      <c r="H39" s="28">
        <f t="shared" si="3"/>
        <v>300</v>
      </c>
      <c r="I39" s="29">
        <f t="shared" si="0"/>
        <v>100</v>
      </c>
      <c r="J39" s="27">
        <f t="shared" si="1"/>
        <v>1</v>
      </c>
      <c r="K39" s="27" t="str">
        <f t="shared" si="4"/>
        <v>TUNTAS</v>
      </c>
      <c r="L39" s="13" t="str">
        <f t="shared" si="5"/>
        <v xml:space="preserve"> </v>
      </c>
      <c r="M39" s="1"/>
      <c r="N39" s="2">
        <f t="shared" si="6"/>
        <v>10</v>
      </c>
    </row>
    <row r="40" spans="1:14" ht="15.95" customHeight="1" x14ac:dyDescent="0.25">
      <c r="A40" s="13">
        <v>33</v>
      </c>
      <c r="B40" s="9" t="s">
        <v>664</v>
      </c>
      <c r="C40" s="10" t="s">
        <v>3056</v>
      </c>
      <c r="D40" s="11" t="s">
        <v>49</v>
      </c>
      <c r="E40" s="27">
        <v>3</v>
      </c>
      <c r="F40" s="27">
        <v>0</v>
      </c>
      <c r="G40" s="27">
        <v>0</v>
      </c>
      <c r="H40" s="28">
        <f t="shared" si="3"/>
        <v>291</v>
      </c>
      <c r="I40" s="29">
        <f t="shared" si="0"/>
        <v>97</v>
      </c>
      <c r="J40" s="27">
        <f t="shared" si="1"/>
        <v>4</v>
      </c>
      <c r="K40" s="27" t="str">
        <f t="shared" si="4"/>
        <v>TUNTAS</v>
      </c>
      <c r="L40" s="13" t="str">
        <f t="shared" si="5"/>
        <v xml:space="preserve"> </v>
      </c>
      <c r="M40" s="1"/>
      <c r="N40" s="2">
        <f t="shared" si="6"/>
        <v>9.6999999999999993</v>
      </c>
    </row>
    <row r="41" spans="1:14" ht="15.95" customHeight="1" x14ac:dyDescent="0.25">
      <c r="A41" s="13">
        <v>34</v>
      </c>
      <c r="B41" s="9" t="s">
        <v>665</v>
      </c>
      <c r="C41" s="10" t="s">
        <v>3057</v>
      </c>
      <c r="D41" s="11" t="s">
        <v>51</v>
      </c>
      <c r="E41" s="27">
        <v>3</v>
      </c>
      <c r="F41" s="27">
        <v>0</v>
      </c>
      <c r="G41" s="27">
        <v>0</v>
      </c>
      <c r="H41" s="28">
        <f t="shared" si="3"/>
        <v>291</v>
      </c>
      <c r="I41" s="29">
        <f t="shared" si="0"/>
        <v>97</v>
      </c>
      <c r="J41" s="27">
        <f t="shared" si="1"/>
        <v>4</v>
      </c>
      <c r="K41" s="27" t="str">
        <f t="shared" si="4"/>
        <v>TUNTAS</v>
      </c>
      <c r="L41" s="13" t="str">
        <f t="shared" si="5"/>
        <v xml:space="preserve"> </v>
      </c>
      <c r="M41" s="1"/>
      <c r="N41" s="2">
        <f t="shared" si="6"/>
        <v>9.6999999999999993</v>
      </c>
    </row>
    <row r="42" spans="1:14" ht="15.95" customHeight="1" x14ac:dyDescent="0.25">
      <c r="A42" s="13">
        <v>35</v>
      </c>
      <c r="B42" s="9" t="s">
        <v>667</v>
      </c>
      <c r="C42" s="10" t="s">
        <v>3058</v>
      </c>
      <c r="D42" s="11" t="s">
        <v>52</v>
      </c>
      <c r="E42" s="27">
        <v>6</v>
      </c>
      <c r="F42" s="27">
        <v>0</v>
      </c>
      <c r="G42" s="27">
        <v>0</v>
      </c>
      <c r="H42" s="28">
        <f t="shared" si="3"/>
        <v>282</v>
      </c>
      <c r="I42" s="29">
        <f t="shared" si="0"/>
        <v>94</v>
      </c>
      <c r="J42" s="27">
        <f t="shared" si="1"/>
        <v>7</v>
      </c>
      <c r="K42" s="27" t="str">
        <f t="shared" si="4"/>
        <v>TUNTAS</v>
      </c>
      <c r="L42" s="13" t="str">
        <f t="shared" si="5"/>
        <v xml:space="preserve"> </v>
      </c>
      <c r="M42" s="1"/>
      <c r="N42" s="2">
        <f t="shared" si="6"/>
        <v>9.4</v>
      </c>
    </row>
    <row r="43" spans="1:14" ht="15.95" customHeight="1" x14ac:dyDescent="0.25">
      <c r="A43" s="13">
        <v>36</v>
      </c>
      <c r="B43" s="9" t="s">
        <v>668</v>
      </c>
      <c r="C43" s="10" t="s">
        <v>3059</v>
      </c>
      <c r="D43" s="11" t="s">
        <v>53</v>
      </c>
      <c r="E43" s="27">
        <v>9</v>
      </c>
      <c r="F43" s="27">
        <v>1</v>
      </c>
      <c r="G43" s="27">
        <v>3</v>
      </c>
      <c r="H43" s="28">
        <f t="shared" si="3"/>
        <v>225</v>
      </c>
      <c r="I43" s="29">
        <f t="shared" si="0"/>
        <v>75</v>
      </c>
      <c r="J43" s="27">
        <f t="shared" si="1"/>
        <v>29</v>
      </c>
      <c r="K43" s="27" t="str">
        <f t="shared" si="4"/>
        <v>TUNTAS</v>
      </c>
      <c r="L43" s="13" t="str">
        <f t="shared" si="5"/>
        <v xml:space="preserve"> </v>
      </c>
      <c r="M43" s="1"/>
      <c r="N43" s="2">
        <f t="shared" si="6"/>
        <v>7.5</v>
      </c>
    </row>
    <row r="44" spans="1:14" ht="15.95" customHeight="1" x14ac:dyDescent="0.25">
      <c r="A44" s="13">
        <v>37</v>
      </c>
      <c r="B44" s="9" t="s">
        <v>670</v>
      </c>
      <c r="C44" s="10" t="s">
        <v>3060</v>
      </c>
      <c r="D44" s="11" t="s">
        <v>55</v>
      </c>
      <c r="E44" s="27">
        <v>2</v>
      </c>
      <c r="F44" s="27">
        <v>0</v>
      </c>
      <c r="G44" s="27">
        <v>0</v>
      </c>
      <c r="H44" s="28">
        <f t="shared" si="3"/>
        <v>294</v>
      </c>
      <c r="I44" s="29">
        <f t="shared" si="0"/>
        <v>98</v>
      </c>
      <c r="J44" s="27">
        <f t="shared" si="1"/>
        <v>2</v>
      </c>
      <c r="K44" s="27" t="str">
        <f t="shared" si="4"/>
        <v>TUNTAS</v>
      </c>
      <c r="L44" s="13" t="str">
        <f t="shared" si="5"/>
        <v xml:space="preserve"> </v>
      </c>
      <c r="M44" s="1"/>
      <c r="N44" s="2">
        <f t="shared" si="6"/>
        <v>9.8000000000000007</v>
      </c>
    </row>
    <row r="45" spans="1:14" ht="15.95" customHeight="1" x14ac:dyDescent="0.25">
      <c r="A45" s="13">
        <v>38</v>
      </c>
      <c r="B45" s="9" t="s">
        <v>672</v>
      </c>
      <c r="C45" s="10" t="s">
        <v>3061</v>
      </c>
      <c r="D45" s="11" t="s">
        <v>138</v>
      </c>
      <c r="E45" s="27">
        <v>20</v>
      </c>
      <c r="F45" s="27">
        <v>18</v>
      </c>
      <c r="G45" s="27">
        <v>3</v>
      </c>
      <c r="H45" s="28">
        <f t="shared" si="3"/>
        <v>141</v>
      </c>
      <c r="I45" s="29">
        <f t="shared" si="0"/>
        <v>47</v>
      </c>
      <c r="J45" s="27">
        <f t="shared" si="1"/>
        <v>49</v>
      </c>
      <c r="K45" s="27" t="str">
        <f t="shared" si="4"/>
        <v>TIDAK TUNTAS</v>
      </c>
      <c r="L45" s="13" t="str">
        <f t="shared" si="5"/>
        <v xml:space="preserve"> </v>
      </c>
      <c r="M45" s="1"/>
      <c r="N45" s="2">
        <f t="shared" si="6"/>
        <v>4.7</v>
      </c>
    </row>
    <row r="46" spans="1:14" ht="15.95" customHeight="1" x14ac:dyDescent="0.25">
      <c r="A46" s="13">
        <v>39</v>
      </c>
      <c r="B46" s="9" t="s">
        <v>674</v>
      </c>
      <c r="C46" s="10" t="s">
        <v>614</v>
      </c>
      <c r="D46" s="11" t="s">
        <v>57</v>
      </c>
      <c r="E46" s="27">
        <v>5</v>
      </c>
      <c r="F46" s="27">
        <v>11</v>
      </c>
      <c r="G46" s="27">
        <v>6</v>
      </c>
      <c r="H46" s="28">
        <f t="shared" si="3"/>
        <v>162</v>
      </c>
      <c r="I46" s="29">
        <f t="shared" si="0"/>
        <v>54</v>
      </c>
      <c r="J46" s="27">
        <f t="shared" si="1"/>
        <v>44</v>
      </c>
      <c r="K46" s="27" t="str">
        <f t="shared" si="4"/>
        <v>TIDAK TUNTAS</v>
      </c>
      <c r="L46" s="13" t="str">
        <f t="shared" si="5"/>
        <v>TM</v>
      </c>
      <c r="M46" s="1"/>
      <c r="N46" s="2">
        <f t="shared" si="6"/>
        <v>5.4</v>
      </c>
    </row>
    <row r="47" spans="1:14" ht="15.95" customHeight="1" x14ac:dyDescent="0.25">
      <c r="A47" s="13">
        <v>40</v>
      </c>
      <c r="B47" s="9" t="s">
        <v>676</v>
      </c>
      <c r="C47" s="10" t="s">
        <v>3062</v>
      </c>
      <c r="D47" s="11" t="s">
        <v>95</v>
      </c>
      <c r="E47" s="27">
        <v>9</v>
      </c>
      <c r="F47" s="27">
        <v>0</v>
      </c>
      <c r="G47" s="27">
        <v>0</v>
      </c>
      <c r="H47" s="28">
        <f t="shared" si="3"/>
        <v>273</v>
      </c>
      <c r="I47" s="29">
        <f t="shared" si="0"/>
        <v>91</v>
      </c>
      <c r="J47" s="27">
        <f t="shared" si="1"/>
        <v>9</v>
      </c>
      <c r="K47" s="27" t="str">
        <f t="shared" si="4"/>
        <v>TUNTAS</v>
      </c>
      <c r="L47" s="13" t="str">
        <f t="shared" si="5"/>
        <v xml:space="preserve"> </v>
      </c>
      <c r="M47" s="1"/>
      <c r="N47" s="2">
        <f t="shared" si="6"/>
        <v>9.1</v>
      </c>
    </row>
    <row r="48" spans="1:14" ht="15.95" customHeight="1" x14ac:dyDescent="0.25">
      <c r="A48" s="13">
        <v>41</v>
      </c>
      <c r="B48" s="9" t="s">
        <v>678</v>
      </c>
      <c r="C48" s="10" t="s">
        <v>3063</v>
      </c>
      <c r="D48" s="11" t="s">
        <v>96</v>
      </c>
      <c r="E48" s="27">
        <v>13</v>
      </c>
      <c r="F48" s="27">
        <v>3</v>
      </c>
      <c r="G48" s="27">
        <v>1</v>
      </c>
      <c r="H48" s="28">
        <f t="shared" si="3"/>
        <v>237</v>
      </c>
      <c r="I48" s="29">
        <f t="shared" si="0"/>
        <v>79</v>
      </c>
      <c r="J48" s="27">
        <f t="shared" si="1"/>
        <v>21</v>
      </c>
      <c r="K48" s="27" t="str">
        <f t="shared" si="4"/>
        <v>TUNTAS</v>
      </c>
      <c r="L48" s="13" t="str">
        <f t="shared" si="5"/>
        <v xml:space="preserve"> </v>
      </c>
      <c r="M48" s="1"/>
      <c r="N48" s="2">
        <f t="shared" si="6"/>
        <v>7.9</v>
      </c>
    </row>
    <row r="49" spans="1:14" ht="15.95" customHeight="1" x14ac:dyDescent="0.25">
      <c r="A49" s="13">
        <v>42</v>
      </c>
      <c r="B49" s="9" t="s">
        <v>680</v>
      </c>
      <c r="C49" s="10" t="s">
        <v>3064</v>
      </c>
      <c r="D49" s="11" t="s">
        <v>97</v>
      </c>
      <c r="E49" s="27">
        <v>9</v>
      </c>
      <c r="F49" s="27">
        <v>4</v>
      </c>
      <c r="G49" s="27">
        <v>5</v>
      </c>
      <c r="H49" s="28">
        <f t="shared" si="3"/>
        <v>186</v>
      </c>
      <c r="I49" s="29">
        <f t="shared" si="0"/>
        <v>62</v>
      </c>
      <c r="J49" s="27">
        <f t="shared" si="1"/>
        <v>41</v>
      </c>
      <c r="K49" s="27" t="str">
        <f t="shared" si="4"/>
        <v>TUNTAS</v>
      </c>
      <c r="L49" s="13" t="str">
        <f t="shared" si="5"/>
        <v xml:space="preserve"> </v>
      </c>
      <c r="M49" s="1"/>
      <c r="N49" s="2">
        <f t="shared" si="6"/>
        <v>6.2</v>
      </c>
    </row>
    <row r="50" spans="1:14" ht="15.95" customHeight="1" x14ac:dyDescent="0.25">
      <c r="A50" s="13">
        <v>43</v>
      </c>
      <c r="B50" s="9" t="s">
        <v>682</v>
      </c>
      <c r="C50" s="10" t="s">
        <v>3065</v>
      </c>
      <c r="D50" s="11" t="s">
        <v>97</v>
      </c>
      <c r="E50" s="27">
        <v>9</v>
      </c>
      <c r="F50" s="27">
        <v>11</v>
      </c>
      <c r="G50" s="27">
        <v>3</v>
      </c>
      <c r="H50" s="28">
        <f t="shared" si="3"/>
        <v>195</v>
      </c>
      <c r="I50" s="29">
        <f t="shared" si="0"/>
        <v>65</v>
      </c>
      <c r="J50" s="27">
        <f t="shared" si="1"/>
        <v>39</v>
      </c>
      <c r="K50" s="27" t="str">
        <f t="shared" si="4"/>
        <v>TUNTAS</v>
      </c>
      <c r="L50" s="13" t="str">
        <f t="shared" si="5"/>
        <v xml:space="preserve"> </v>
      </c>
      <c r="M50" s="1"/>
      <c r="N50" s="2">
        <f t="shared" si="6"/>
        <v>6.5</v>
      </c>
    </row>
    <row r="51" spans="1:14" ht="15.95" customHeight="1" x14ac:dyDescent="0.25">
      <c r="A51" s="13">
        <v>44</v>
      </c>
      <c r="B51" s="9" t="s">
        <v>684</v>
      </c>
      <c r="C51" s="10" t="s">
        <v>3066</v>
      </c>
      <c r="D51" s="11" t="s">
        <v>119</v>
      </c>
      <c r="E51" s="27">
        <v>14</v>
      </c>
      <c r="F51" s="27">
        <v>7</v>
      </c>
      <c r="G51" s="27">
        <v>4</v>
      </c>
      <c r="H51" s="28">
        <f t="shared" si="3"/>
        <v>177</v>
      </c>
      <c r="I51" s="29">
        <f t="shared" si="0"/>
        <v>59</v>
      </c>
      <c r="J51" s="27">
        <f t="shared" si="1"/>
        <v>42</v>
      </c>
      <c r="K51" s="27" t="str">
        <f t="shared" si="4"/>
        <v>TIDAK TUNTAS</v>
      </c>
      <c r="L51" s="13" t="str">
        <f t="shared" si="5"/>
        <v xml:space="preserve"> </v>
      </c>
      <c r="M51" s="1"/>
      <c r="N51" s="2">
        <f t="shared" si="6"/>
        <v>5.9</v>
      </c>
    </row>
    <row r="52" spans="1:14" ht="15.95" customHeight="1" x14ac:dyDescent="0.25">
      <c r="A52" s="13">
        <v>45</v>
      </c>
      <c r="B52" s="9" t="s">
        <v>686</v>
      </c>
      <c r="C52" s="10" t="s">
        <v>112</v>
      </c>
      <c r="D52" s="11" t="s">
        <v>63</v>
      </c>
      <c r="E52" s="27">
        <v>7</v>
      </c>
      <c r="F52" s="27">
        <v>5</v>
      </c>
      <c r="G52" s="27">
        <v>2</v>
      </c>
      <c r="H52" s="28">
        <f t="shared" si="3"/>
        <v>234</v>
      </c>
      <c r="I52" s="29">
        <f t="shared" si="0"/>
        <v>78</v>
      </c>
      <c r="J52" s="27">
        <f t="shared" si="1"/>
        <v>23</v>
      </c>
      <c r="K52" s="27" t="str">
        <f t="shared" si="4"/>
        <v>TUNTAS</v>
      </c>
      <c r="L52" s="13" t="str">
        <f t="shared" si="5"/>
        <v xml:space="preserve"> </v>
      </c>
      <c r="M52" s="1"/>
      <c r="N52" s="2">
        <f t="shared" si="6"/>
        <v>7.8</v>
      </c>
    </row>
    <row r="53" spans="1:14" ht="15.95" customHeight="1" x14ac:dyDescent="0.25">
      <c r="A53" s="13">
        <v>46</v>
      </c>
      <c r="B53" s="9" t="s">
        <v>687</v>
      </c>
      <c r="C53" s="10" t="s">
        <v>528</v>
      </c>
      <c r="D53" s="11" t="s">
        <v>98</v>
      </c>
      <c r="E53" s="27">
        <v>32</v>
      </c>
      <c r="F53" s="27">
        <v>32</v>
      </c>
      <c r="G53" s="27">
        <v>5</v>
      </c>
      <c r="H53" s="28">
        <f t="shared" si="3"/>
        <v>33</v>
      </c>
      <c r="I53" s="29">
        <f t="shared" si="0"/>
        <v>11</v>
      </c>
      <c r="J53" s="27">
        <f t="shared" si="1"/>
        <v>53</v>
      </c>
      <c r="K53" s="27" t="str">
        <f t="shared" si="4"/>
        <v>TIDAK HADIR</v>
      </c>
      <c r="L53" s="13" t="s">
        <v>3264</v>
      </c>
      <c r="M53" s="1"/>
      <c r="N53" s="2">
        <f t="shared" si="6"/>
        <v>1.1000000000000001</v>
      </c>
    </row>
    <row r="54" spans="1:14" x14ac:dyDescent="0.25">
      <c r="A54" s="13">
        <v>47</v>
      </c>
      <c r="B54" s="9" t="s">
        <v>689</v>
      </c>
      <c r="C54" s="10" t="s">
        <v>3067</v>
      </c>
      <c r="D54" s="11" t="s">
        <v>113</v>
      </c>
      <c r="E54" s="27">
        <v>12</v>
      </c>
      <c r="F54" s="27">
        <v>4</v>
      </c>
      <c r="G54" s="27">
        <v>5</v>
      </c>
      <c r="H54" s="28">
        <f t="shared" si="3"/>
        <v>177</v>
      </c>
      <c r="I54" s="29">
        <f t="shared" si="0"/>
        <v>59</v>
      </c>
      <c r="J54" s="27">
        <f t="shared" si="1"/>
        <v>42</v>
      </c>
      <c r="K54" s="27" t="str">
        <f t="shared" si="4"/>
        <v>TIDAK TUNTAS</v>
      </c>
      <c r="L54" s="13" t="str">
        <f t="shared" si="5"/>
        <v xml:space="preserve"> </v>
      </c>
      <c r="M54" s="1"/>
      <c r="N54" s="2">
        <f t="shared" si="6"/>
        <v>5.9</v>
      </c>
    </row>
    <row r="55" spans="1:14" x14ac:dyDescent="0.25">
      <c r="A55" s="13">
        <v>48</v>
      </c>
      <c r="B55" s="9" t="s">
        <v>691</v>
      </c>
      <c r="C55" s="10" t="s">
        <v>3068</v>
      </c>
      <c r="D55" s="11" t="s">
        <v>130</v>
      </c>
      <c r="E55" s="27">
        <v>2</v>
      </c>
      <c r="F55" s="27">
        <v>0</v>
      </c>
      <c r="G55" s="27">
        <v>0</v>
      </c>
      <c r="H55" s="28">
        <f t="shared" si="3"/>
        <v>294</v>
      </c>
      <c r="I55" s="29">
        <f t="shared" si="0"/>
        <v>98</v>
      </c>
      <c r="J55" s="27">
        <f t="shared" si="1"/>
        <v>2</v>
      </c>
      <c r="K55" s="27" t="str">
        <f t="shared" si="4"/>
        <v>TUNTAS</v>
      </c>
      <c r="L55" s="13" t="str">
        <f t="shared" si="5"/>
        <v xml:space="preserve"> </v>
      </c>
      <c r="M55" s="1"/>
      <c r="N55" s="2">
        <f t="shared" si="6"/>
        <v>9.8000000000000007</v>
      </c>
    </row>
    <row r="56" spans="1:14" x14ac:dyDescent="0.25">
      <c r="A56" s="13">
        <v>49</v>
      </c>
      <c r="B56" s="9" t="s">
        <v>693</v>
      </c>
      <c r="C56" s="10" t="s">
        <v>109</v>
      </c>
      <c r="D56" s="11" t="s">
        <v>121</v>
      </c>
      <c r="E56" s="27">
        <v>5</v>
      </c>
      <c r="F56" s="27">
        <v>0</v>
      </c>
      <c r="G56" s="27">
        <v>2</v>
      </c>
      <c r="H56" s="28">
        <f t="shared" si="3"/>
        <v>255</v>
      </c>
      <c r="I56" s="29">
        <f t="shared" si="0"/>
        <v>85</v>
      </c>
      <c r="J56" s="27">
        <f t="shared" si="1"/>
        <v>17</v>
      </c>
      <c r="K56" s="27" t="str">
        <f t="shared" si="4"/>
        <v>TUNTAS</v>
      </c>
      <c r="L56" s="13" t="str">
        <f t="shared" si="5"/>
        <v xml:space="preserve"> </v>
      </c>
      <c r="M56" s="1"/>
      <c r="N56" s="2">
        <f t="shared" si="6"/>
        <v>8.5</v>
      </c>
    </row>
    <row r="57" spans="1:14" x14ac:dyDescent="0.25">
      <c r="A57" s="13">
        <v>50</v>
      </c>
      <c r="B57" s="9" t="s">
        <v>695</v>
      </c>
      <c r="C57" s="10" t="s">
        <v>3069</v>
      </c>
      <c r="D57" s="11" t="s">
        <v>70</v>
      </c>
      <c r="E57" s="27">
        <v>4</v>
      </c>
      <c r="F57" s="27">
        <v>0</v>
      </c>
      <c r="G57" s="27">
        <v>1</v>
      </c>
      <c r="H57" s="28">
        <f t="shared" si="3"/>
        <v>273</v>
      </c>
      <c r="I57" s="29">
        <f t="shared" si="0"/>
        <v>91</v>
      </c>
      <c r="J57" s="27">
        <f t="shared" si="1"/>
        <v>9</v>
      </c>
      <c r="K57" s="27" t="str">
        <f t="shared" si="4"/>
        <v>TUNTAS</v>
      </c>
      <c r="L57" s="13" t="str">
        <f t="shared" si="5"/>
        <v xml:space="preserve"> </v>
      </c>
      <c r="M57" s="1"/>
      <c r="N57" s="2">
        <f t="shared" si="6"/>
        <v>9.1</v>
      </c>
    </row>
    <row r="58" spans="1:14" x14ac:dyDescent="0.25">
      <c r="A58" s="13">
        <v>51</v>
      </c>
      <c r="B58" s="9" t="s">
        <v>696</v>
      </c>
      <c r="C58" s="10" t="s">
        <v>3070</v>
      </c>
      <c r="D58" s="11" t="s">
        <v>71</v>
      </c>
      <c r="E58" s="27">
        <v>4</v>
      </c>
      <c r="F58" s="27">
        <v>4</v>
      </c>
      <c r="G58" s="27">
        <v>3</v>
      </c>
      <c r="H58" s="28">
        <f t="shared" si="3"/>
        <v>231</v>
      </c>
      <c r="I58" s="29">
        <f t="shared" si="0"/>
        <v>77</v>
      </c>
      <c r="J58" s="27">
        <f t="shared" si="1"/>
        <v>24</v>
      </c>
      <c r="K58" s="27" t="str">
        <f t="shared" si="4"/>
        <v>TUNTAS</v>
      </c>
      <c r="L58" s="13" t="str">
        <f t="shared" si="5"/>
        <v xml:space="preserve"> </v>
      </c>
      <c r="M58" s="1"/>
      <c r="N58" s="2">
        <f t="shared" si="6"/>
        <v>7.7</v>
      </c>
    </row>
    <row r="59" spans="1:14" x14ac:dyDescent="0.25">
      <c r="A59" s="13">
        <v>52</v>
      </c>
      <c r="B59" s="9" t="s">
        <v>698</v>
      </c>
      <c r="C59" s="10" t="s">
        <v>3071</v>
      </c>
      <c r="D59" s="11" t="s">
        <v>72</v>
      </c>
      <c r="E59" s="27">
        <v>2</v>
      </c>
      <c r="F59" s="27">
        <v>3</v>
      </c>
      <c r="G59" s="27">
        <v>0</v>
      </c>
      <c r="H59" s="28">
        <f t="shared" si="3"/>
        <v>285</v>
      </c>
      <c r="I59" s="29">
        <f t="shared" ref="I59:I61" si="7">H59/3</f>
        <v>95</v>
      </c>
      <c r="J59" s="27">
        <f t="shared" ref="J59:J61" si="8">RANK(H59,$H$8:$H$97)</f>
        <v>6</v>
      </c>
      <c r="K59" s="27" t="str">
        <f t="shared" si="4"/>
        <v>TUNTAS</v>
      </c>
      <c r="L59" s="13" t="str">
        <f>IF(G59&gt;5,"TM", " ")</f>
        <v xml:space="preserve"> </v>
      </c>
      <c r="N59" s="2">
        <f t="shared" si="6"/>
        <v>9.5</v>
      </c>
    </row>
    <row r="60" spans="1:14" x14ac:dyDescent="0.25">
      <c r="A60" s="13">
        <v>53</v>
      </c>
      <c r="B60" s="9" t="s">
        <v>700</v>
      </c>
      <c r="C60" s="10" t="s">
        <v>3072</v>
      </c>
      <c r="D60" s="11" t="s">
        <v>89</v>
      </c>
      <c r="E60" s="27">
        <v>5</v>
      </c>
      <c r="F60" s="27">
        <v>3</v>
      </c>
      <c r="G60" s="27">
        <v>3</v>
      </c>
      <c r="H60" s="28">
        <f t="shared" si="3"/>
        <v>231</v>
      </c>
      <c r="I60" s="29">
        <f t="shared" si="7"/>
        <v>77</v>
      </c>
      <c r="J60" s="27">
        <f t="shared" si="8"/>
        <v>24</v>
      </c>
      <c r="K60" s="27" t="str">
        <f t="shared" si="4"/>
        <v>TUNTAS</v>
      </c>
      <c r="L60" s="13" t="str">
        <f t="shared" si="5"/>
        <v xml:space="preserve"> </v>
      </c>
      <c r="N60" s="2">
        <f t="shared" si="6"/>
        <v>7.7</v>
      </c>
    </row>
    <row r="61" spans="1:14" x14ac:dyDescent="0.25">
      <c r="A61" s="13">
        <v>54</v>
      </c>
      <c r="B61" s="9" t="s">
        <v>702</v>
      </c>
      <c r="C61" s="10" t="s">
        <v>3073</v>
      </c>
      <c r="D61" s="11" t="s">
        <v>89</v>
      </c>
      <c r="E61" s="27">
        <v>14</v>
      </c>
      <c r="F61" s="27">
        <v>8</v>
      </c>
      <c r="G61" s="27">
        <v>5</v>
      </c>
      <c r="H61" s="28">
        <f t="shared" si="3"/>
        <v>159</v>
      </c>
      <c r="I61" s="29">
        <f t="shared" si="7"/>
        <v>53</v>
      </c>
      <c r="J61" s="27">
        <f t="shared" si="8"/>
        <v>45</v>
      </c>
      <c r="K61" s="27" t="str">
        <f t="shared" si="4"/>
        <v>TIDAK TUNTAS</v>
      </c>
      <c r="L61" s="13" t="str">
        <f>IF(G61&gt;5,"TM", " ")</f>
        <v xml:space="preserve"> </v>
      </c>
      <c r="N61" s="2">
        <f t="shared" si="6"/>
        <v>5.3</v>
      </c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phoneticPr fontId="13" type="noConversion"/>
  <conditionalFormatting sqref="D8:D10">
    <cfRule type="cellIs" dxfId="134" priority="9" operator="equal">
      <formula>0</formula>
    </cfRule>
  </conditionalFormatting>
  <conditionalFormatting sqref="I8:I61">
    <cfRule type="cellIs" dxfId="133" priority="3" operator="lessThan">
      <formula>60</formula>
    </cfRule>
    <cfRule type="cellIs" dxfId="132" priority="4" operator="lessThan">
      <formula>60</formula>
    </cfRule>
    <cfRule type="cellIs" dxfId="131" priority="5" operator="lessThan">
      <formula>50</formula>
    </cfRule>
  </conditionalFormatting>
  <conditionalFormatting sqref="K8:K61">
    <cfRule type="cellIs" dxfId="130" priority="1" operator="equal">
      <formula>"TIDAK BACA"</formula>
    </cfRule>
    <cfRule type="cellIs" dxfId="129" priority="2" operator="equal">
      <formula>"TIDAK TUNTAS"</formula>
    </cfRule>
    <cfRule type="cellIs" dxfId="128" priority="6" operator="equal">
      <formula>"TUNTAS"</formula>
    </cfRule>
    <cfRule type="cellIs" dxfId="127" priority="7" operator="equal">
      <formula>"TIDAK HADIR"</formula>
    </cfRule>
    <cfRule type="cellIs" dxfId="126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E081AA2F-8594-4A5F-B803-963433BC4B6A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AFFA-C0B4-4D9D-BA39-0DD4DE21A3F1}">
  <sheetPr>
    <tabColor theme="6" tint="0.39997558519241921"/>
  </sheetPr>
  <dimension ref="A1:N60"/>
  <sheetViews>
    <sheetView zoomScaleNormal="100" workbookViewId="0">
      <pane xSplit="1" ySplit="7" topLeftCell="B50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N8" sqref="N8:N60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3295</v>
      </c>
      <c r="B4" s="51"/>
      <c r="C4" s="51"/>
      <c r="D4" s="51"/>
      <c r="E4" s="51"/>
      <c r="F4" s="51"/>
      <c r="G4" s="51"/>
      <c r="H4" s="51"/>
      <c r="I4" s="51"/>
      <c r="K4" s="33" t="s">
        <v>3283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704</v>
      </c>
      <c r="C8" s="10" t="s">
        <v>246</v>
      </c>
      <c r="D8" s="11" t="s">
        <v>100</v>
      </c>
      <c r="E8" s="27">
        <v>12</v>
      </c>
      <c r="F8" s="27">
        <v>12</v>
      </c>
      <c r="G8" s="27">
        <v>3</v>
      </c>
      <c r="H8" s="28">
        <f>100-E8*3+100-F8*3+100-G8*15</f>
        <v>183</v>
      </c>
      <c r="I8" s="29">
        <f t="shared" ref="I8:I58" si="0">H8/3</f>
        <v>61</v>
      </c>
      <c r="J8" s="27">
        <f t="shared" ref="J8:J58" si="1">RANK(H8,$H$8:$H$97)</f>
        <v>37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6.1</v>
      </c>
    </row>
    <row r="9" spans="1:14" ht="15.95" customHeight="1" x14ac:dyDescent="0.25">
      <c r="A9" s="13">
        <v>2</v>
      </c>
      <c r="B9" s="9" t="s">
        <v>706</v>
      </c>
      <c r="C9" s="10" t="s">
        <v>3074</v>
      </c>
      <c r="D9" s="11" t="s">
        <v>15</v>
      </c>
      <c r="E9" s="27">
        <v>8</v>
      </c>
      <c r="F9" s="27">
        <v>3</v>
      </c>
      <c r="G9" s="27">
        <v>2</v>
      </c>
      <c r="H9" s="28">
        <f t="shared" ref="H9:H60" si="3">100-E9*3+100-F9*3+100-G9*15</f>
        <v>237</v>
      </c>
      <c r="I9" s="29">
        <f t="shared" si="0"/>
        <v>79</v>
      </c>
      <c r="J9" s="27">
        <f t="shared" si="1"/>
        <v>22</v>
      </c>
      <c r="K9" s="27" t="str">
        <f t="shared" ref="K9:K60" si="4">IF(I9&lt;11.1,"TIDAK HADIR",IF(I9&lt;13.1,"TIDAK BACA",IF(I9&lt;$K$7,"TIDAK TUNTAS","TUNTAS")))</f>
        <v>TUNTAS</v>
      </c>
      <c r="L9" s="13" t="str">
        <f t="shared" ref="L9:L60" si="5">IF(G9&gt;5,"TM", " ")</f>
        <v xml:space="preserve"> </v>
      </c>
      <c r="M9" s="1"/>
      <c r="N9" s="2">
        <f t="shared" si="2"/>
        <v>7.9</v>
      </c>
    </row>
    <row r="10" spans="1:14" ht="15.95" customHeight="1" x14ac:dyDescent="0.25">
      <c r="A10" s="13">
        <v>3</v>
      </c>
      <c r="B10" s="9" t="s">
        <v>707</v>
      </c>
      <c r="C10" s="10" t="s">
        <v>3075</v>
      </c>
      <c r="D10" s="11" t="s">
        <v>16</v>
      </c>
      <c r="E10" s="27">
        <v>9</v>
      </c>
      <c r="F10" s="27">
        <v>3</v>
      </c>
      <c r="G10" s="27">
        <v>1</v>
      </c>
      <c r="H10" s="28">
        <f t="shared" si="3"/>
        <v>249</v>
      </c>
      <c r="I10" s="29">
        <f>H10/3</f>
        <v>83</v>
      </c>
      <c r="J10" s="27">
        <f t="shared" si="1"/>
        <v>17</v>
      </c>
      <c r="K10" s="27" t="str">
        <f t="shared" si="4"/>
        <v>TUNTAS</v>
      </c>
      <c r="L10" s="13" t="str">
        <f t="shared" si="5"/>
        <v xml:space="preserve"> </v>
      </c>
      <c r="M10" s="1"/>
      <c r="N10" s="2">
        <f t="shared" si="2"/>
        <v>8.3000000000000007</v>
      </c>
    </row>
    <row r="11" spans="1:14" ht="15.95" customHeight="1" x14ac:dyDescent="0.25">
      <c r="A11" s="13">
        <v>4</v>
      </c>
      <c r="B11" s="9" t="s">
        <v>709</v>
      </c>
      <c r="C11" s="10" t="s">
        <v>3076</v>
      </c>
      <c r="D11" s="11" t="s">
        <v>17</v>
      </c>
      <c r="E11" s="27">
        <v>5</v>
      </c>
      <c r="F11" s="27">
        <v>2</v>
      </c>
      <c r="G11" s="27">
        <v>1</v>
      </c>
      <c r="H11" s="28">
        <f t="shared" si="3"/>
        <v>264</v>
      </c>
      <c r="I11" s="29">
        <f t="shared" si="0"/>
        <v>88</v>
      </c>
      <c r="J11" s="27">
        <f t="shared" si="1"/>
        <v>14</v>
      </c>
      <c r="K11" s="27" t="str">
        <f t="shared" si="4"/>
        <v>TUNTAS</v>
      </c>
      <c r="L11" s="13" t="str">
        <f t="shared" si="5"/>
        <v xml:space="preserve"> </v>
      </c>
      <c r="M11" s="1"/>
      <c r="N11" s="2">
        <f t="shared" si="2"/>
        <v>8.8000000000000007</v>
      </c>
    </row>
    <row r="12" spans="1:14" ht="15.95" customHeight="1" x14ac:dyDescent="0.25">
      <c r="A12" s="13">
        <v>5</v>
      </c>
      <c r="B12" s="9" t="s">
        <v>711</v>
      </c>
      <c r="C12" s="10" t="s">
        <v>3077</v>
      </c>
      <c r="D12" s="11" t="s">
        <v>18</v>
      </c>
      <c r="E12" s="27">
        <v>5</v>
      </c>
      <c r="F12" s="27">
        <v>5</v>
      </c>
      <c r="G12" s="27">
        <v>3</v>
      </c>
      <c r="H12" s="28">
        <f t="shared" si="3"/>
        <v>225</v>
      </c>
      <c r="I12" s="29">
        <f t="shared" si="0"/>
        <v>75</v>
      </c>
      <c r="J12" s="27">
        <f t="shared" si="1"/>
        <v>25</v>
      </c>
      <c r="K12" s="27" t="str">
        <f t="shared" si="4"/>
        <v>TUNTAS</v>
      </c>
      <c r="L12" s="13" t="str">
        <f t="shared" si="5"/>
        <v xml:space="preserve"> </v>
      </c>
      <c r="M12" s="1"/>
      <c r="N12" s="2">
        <f t="shared" si="2"/>
        <v>7.5</v>
      </c>
    </row>
    <row r="13" spans="1:14" ht="15.95" customHeight="1" x14ac:dyDescent="0.25">
      <c r="A13" s="13">
        <v>6</v>
      </c>
      <c r="B13" s="9" t="s">
        <v>713</v>
      </c>
      <c r="C13" s="10" t="s">
        <v>3078</v>
      </c>
      <c r="D13" s="11" t="s">
        <v>19</v>
      </c>
      <c r="E13" s="27">
        <v>3</v>
      </c>
      <c r="F13" s="27">
        <v>3</v>
      </c>
      <c r="G13" s="27">
        <v>1</v>
      </c>
      <c r="H13" s="28">
        <f t="shared" si="3"/>
        <v>267</v>
      </c>
      <c r="I13" s="29">
        <f t="shared" si="0"/>
        <v>89</v>
      </c>
      <c r="J13" s="27">
        <f t="shared" si="1"/>
        <v>12</v>
      </c>
      <c r="K13" s="27" t="str">
        <f t="shared" si="4"/>
        <v>TUNTAS</v>
      </c>
      <c r="L13" s="13" t="str">
        <f t="shared" si="5"/>
        <v xml:space="preserve"> </v>
      </c>
      <c r="M13" s="1"/>
      <c r="N13" s="2">
        <f t="shared" si="2"/>
        <v>8.9</v>
      </c>
    </row>
    <row r="14" spans="1:14" ht="15.95" customHeight="1" x14ac:dyDescent="0.25">
      <c r="A14" s="13">
        <v>7</v>
      </c>
      <c r="B14" s="9" t="s">
        <v>715</v>
      </c>
      <c r="C14" s="10" t="s">
        <v>3079</v>
      </c>
      <c r="D14" s="11" t="s">
        <v>22</v>
      </c>
      <c r="E14" s="27">
        <v>8</v>
      </c>
      <c r="F14" s="27">
        <v>2</v>
      </c>
      <c r="G14" s="27">
        <v>3</v>
      </c>
      <c r="H14" s="28">
        <f t="shared" si="3"/>
        <v>225</v>
      </c>
      <c r="I14" s="29">
        <f t="shared" si="0"/>
        <v>75</v>
      </c>
      <c r="J14" s="27">
        <f t="shared" si="1"/>
        <v>25</v>
      </c>
      <c r="K14" s="27" t="str">
        <f t="shared" si="4"/>
        <v>TUNTAS</v>
      </c>
      <c r="L14" s="13" t="str">
        <f t="shared" si="5"/>
        <v xml:space="preserve"> </v>
      </c>
      <c r="M14" s="1"/>
      <c r="N14" s="2">
        <f t="shared" si="2"/>
        <v>7.5</v>
      </c>
    </row>
    <row r="15" spans="1:14" ht="15.95" customHeight="1" x14ac:dyDescent="0.25">
      <c r="A15" s="13">
        <v>8</v>
      </c>
      <c r="B15" s="9" t="s">
        <v>717</v>
      </c>
      <c r="C15" s="17" t="s">
        <v>3080</v>
      </c>
      <c r="D15" s="18" t="s">
        <v>23</v>
      </c>
      <c r="E15" s="27">
        <v>13</v>
      </c>
      <c r="F15" s="27">
        <v>8</v>
      </c>
      <c r="G15" s="27">
        <v>5</v>
      </c>
      <c r="H15" s="28">
        <f t="shared" si="3"/>
        <v>162</v>
      </c>
      <c r="I15" s="29">
        <f t="shared" si="0"/>
        <v>54</v>
      </c>
      <c r="J15" s="27">
        <f t="shared" si="1"/>
        <v>42</v>
      </c>
      <c r="K15" s="27" t="str">
        <f t="shared" si="4"/>
        <v>TIDAK TUNTAS</v>
      </c>
      <c r="L15" s="13" t="str">
        <f t="shared" si="5"/>
        <v xml:space="preserve"> </v>
      </c>
      <c r="M15" s="1"/>
      <c r="N15" s="2">
        <f t="shared" si="2"/>
        <v>5.4</v>
      </c>
    </row>
    <row r="16" spans="1:14" ht="15.95" customHeight="1" x14ac:dyDescent="0.25">
      <c r="A16" s="13">
        <v>9</v>
      </c>
      <c r="B16" s="9" t="s">
        <v>719</v>
      </c>
      <c r="C16" s="10" t="s">
        <v>3081</v>
      </c>
      <c r="D16" s="11" t="s">
        <v>23</v>
      </c>
      <c r="E16" s="27">
        <v>6</v>
      </c>
      <c r="F16" s="27">
        <v>4</v>
      </c>
      <c r="G16" s="27">
        <v>4</v>
      </c>
      <c r="H16" s="28">
        <f t="shared" si="3"/>
        <v>210</v>
      </c>
      <c r="I16" s="29">
        <f t="shared" si="0"/>
        <v>70</v>
      </c>
      <c r="J16" s="27">
        <f t="shared" si="1"/>
        <v>30</v>
      </c>
      <c r="K16" s="27" t="str">
        <f t="shared" si="4"/>
        <v>TUNTAS</v>
      </c>
      <c r="L16" s="13" t="str">
        <f t="shared" si="5"/>
        <v xml:space="preserve"> </v>
      </c>
      <c r="M16" s="1"/>
      <c r="N16" s="2">
        <f t="shared" si="2"/>
        <v>7</v>
      </c>
    </row>
    <row r="17" spans="1:14" ht="15.95" customHeight="1" x14ac:dyDescent="0.25">
      <c r="A17" s="13">
        <v>10</v>
      </c>
      <c r="B17" s="9" t="s">
        <v>721</v>
      </c>
      <c r="C17" s="10" t="s">
        <v>3082</v>
      </c>
      <c r="D17" s="11" t="s">
        <v>124</v>
      </c>
      <c r="E17" s="27">
        <v>5</v>
      </c>
      <c r="F17" s="27">
        <v>6</v>
      </c>
      <c r="G17" s="27">
        <v>3</v>
      </c>
      <c r="H17" s="28">
        <f t="shared" si="3"/>
        <v>222</v>
      </c>
      <c r="I17" s="29">
        <f t="shared" si="0"/>
        <v>74</v>
      </c>
      <c r="J17" s="27">
        <f t="shared" si="1"/>
        <v>27</v>
      </c>
      <c r="K17" s="27" t="str">
        <f t="shared" si="4"/>
        <v>TUNTAS</v>
      </c>
      <c r="L17" s="13" t="str">
        <f t="shared" si="5"/>
        <v xml:space="preserve"> </v>
      </c>
      <c r="M17" s="1"/>
      <c r="N17" s="2">
        <f t="shared" si="2"/>
        <v>7.4</v>
      </c>
    </row>
    <row r="18" spans="1:14" ht="15.95" customHeight="1" x14ac:dyDescent="0.25">
      <c r="A18" s="13">
        <v>11</v>
      </c>
      <c r="B18" s="9" t="s">
        <v>723</v>
      </c>
      <c r="C18" s="17" t="s">
        <v>3083</v>
      </c>
      <c r="D18" s="18" t="s">
        <v>26</v>
      </c>
      <c r="E18" s="27">
        <v>21</v>
      </c>
      <c r="F18" s="27">
        <v>22</v>
      </c>
      <c r="G18" s="27">
        <v>6</v>
      </c>
      <c r="H18" s="28">
        <f t="shared" si="3"/>
        <v>81</v>
      </c>
      <c r="I18" s="29">
        <f t="shared" si="0"/>
        <v>27</v>
      </c>
      <c r="J18" s="27">
        <f t="shared" si="1"/>
        <v>50</v>
      </c>
      <c r="K18" s="27" t="str">
        <f t="shared" si="4"/>
        <v>TIDAK TUNTAS</v>
      </c>
      <c r="L18" s="13" t="str">
        <f t="shared" si="5"/>
        <v>TM</v>
      </c>
      <c r="M18" s="1"/>
      <c r="N18" s="2">
        <f t="shared" si="2"/>
        <v>2.7</v>
      </c>
    </row>
    <row r="19" spans="1:14" ht="15.95" customHeight="1" x14ac:dyDescent="0.25">
      <c r="A19" s="13">
        <v>12</v>
      </c>
      <c r="B19" s="9" t="s">
        <v>725</v>
      </c>
      <c r="C19" s="17" t="s">
        <v>3084</v>
      </c>
      <c r="D19" s="18" t="s">
        <v>75</v>
      </c>
      <c r="E19" s="27">
        <v>6</v>
      </c>
      <c r="F19" s="27">
        <v>16</v>
      </c>
      <c r="G19" s="27">
        <v>4</v>
      </c>
      <c r="H19" s="28">
        <f t="shared" si="3"/>
        <v>174</v>
      </c>
      <c r="I19" s="29">
        <f t="shared" si="0"/>
        <v>58</v>
      </c>
      <c r="J19" s="27">
        <f t="shared" si="1"/>
        <v>39</v>
      </c>
      <c r="K19" s="27" t="str">
        <f t="shared" si="4"/>
        <v>TIDAK TUNTAS</v>
      </c>
      <c r="L19" s="13" t="str">
        <f t="shared" si="5"/>
        <v xml:space="preserve"> </v>
      </c>
      <c r="M19" s="1"/>
      <c r="N19" s="2">
        <f t="shared" si="2"/>
        <v>5.8</v>
      </c>
    </row>
    <row r="20" spans="1:14" ht="15.95" customHeight="1" x14ac:dyDescent="0.25">
      <c r="A20" s="13">
        <v>13</v>
      </c>
      <c r="B20" s="9" t="s">
        <v>727</v>
      </c>
      <c r="C20" s="10" t="s">
        <v>3085</v>
      </c>
      <c r="D20" s="11" t="s">
        <v>146</v>
      </c>
      <c r="E20" s="27">
        <v>10</v>
      </c>
      <c r="F20" s="27">
        <v>7</v>
      </c>
      <c r="G20" s="27">
        <v>4</v>
      </c>
      <c r="H20" s="28">
        <f t="shared" si="3"/>
        <v>189</v>
      </c>
      <c r="I20" s="29">
        <f t="shared" si="0"/>
        <v>63</v>
      </c>
      <c r="J20" s="27">
        <f t="shared" si="1"/>
        <v>36</v>
      </c>
      <c r="K20" s="27" t="str">
        <f t="shared" si="4"/>
        <v>TUNTAS</v>
      </c>
      <c r="L20" s="13" t="str">
        <f t="shared" si="5"/>
        <v xml:space="preserve"> </v>
      </c>
      <c r="M20" s="1"/>
      <c r="N20" s="2">
        <f t="shared" si="2"/>
        <v>6.3</v>
      </c>
    </row>
    <row r="21" spans="1:14" ht="15.95" customHeight="1" x14ac:dyDescent="0.25">
      <c r="A21" s="13">
        <v>14</v>
      </c>
      <c r="B21" s="9" t="s">
        <v>729</v>
      </c>
      <c r="C21" s="10" t="s">
        <v>3086</v>
      </c>
      <c r="D21" s="11" t="s">
        <v>29</v>
      </c>
      <c r="E21" s="27">
        <v>7</v>
      </c>
      <c r="F21" s="27">
        <v>2</v>
      </c>
      <c r="G21" s="27">
        <v>0</v>
      </c>
      <c r="H21" s="28">
        <f t="shared" si="3"/>
        <v>273</v>
      </c>
      <c r="I21" s="29">
        <f t="shared" si="0"/>
        <v>91</v>
      </c>
      <c r="J21" s="27">
        <f t="shared" si="1"/>
        <v>7</v>
      </c>
      <c r="K21" s="27" t="str">
        <f t="shared" si="4"/>
        <v>TUNTAS</v>
      </c>
      <c r="L21" s="13" t="str">
        <f t="shared" si="5"/>
        <v xml:space="preserve"> </v>
      </c>
      <c r="M21" s="1"/>
      <c r="N21" s="2">
        <f t="shared" si="2"/>
        <v>9.1</v>
      </c>
    </row>
    <row r="22" spans="1:14" ht="15.95" customHeight="1" x14ac:dyDescent="0.25">
      <c r="A22" s="13">
        <v>15</v>
      </c>
      <c r="B22" s="9" t="s">
        <v>731</v>
      </c>
      <c r="C22" s="10" t="s">
        <v>3087</v>
      </c>
      <c r="D22" s="11" t="s">
        <v>77</v>
      </c>
      <c r="E22" s="27">
        <v>18</v>
      </c>
      <c r="F22" s="27">
        <v>11</v>
      </c>
      <c r="G22" s="27">
        <v>4</v>
      </c>
      <c r="H22" s="28">
        <f t="shared" si="3"/>
        <v>153</v>
      </c>
      <c r="I22" s="29">
        <f t="shared" si="0"/>
        <v>51</v>
      </c>
      <c r="J22" s="27">
        <f t="shared" si="1"/>
        <v>43</v>
      </c>
      <c r="K22" s="27" t="str">
        <f t="shared" si="4"/>
        <v>TIDAK TUNTAS</v>
      </c>
      <c r="L22" s="13" t="str">
        <f t="shared" si="5"/>
        <v xml:space="preserve"> </v>
      </c>
      <c r="M22" s="1"/>
      <c r="N22" s="2">
        <f t="shared" si="2"/>
        <v>5.0999999999999996</v>
      </c>
    </row>
    <row r="23" spans="1:14" ht="15.95" customHeight="1" x14ac:dyDescent="0.25">
      <c r="A23" s="13">
        <v>16</v>
      </c>
      <c r="B23" s="9" t="s">
        <v>733</v>
      </c>
      <c r="C23" s="10" t="s">
        <v>3088</v>
      </c>
      <c r="D23" s="11" t="s">
        <v>31</v>
      </c>
      <c r="E23" s="27">
        <v>4</v>
      </c>
      <c r="F23" s="27">
        <v>2</v>
      </c>
      <c r="G23" s="27">
        <v>1</v>
      </c>
      <c r="H23" s="28">
        <f t="shared" si="3"/>
        <v>267</v>
      </c>
      <c r="I23" s="29">
        <f t="shared" si="0"/>
        <v>89</v>
      </c>
      <c r="J23" s="27">
        <f t="shared" si="1"/>
        <v>12</v>
      </c>
      <c r="K23" s="27" t="str">
        <f t="shared" si="4"/>
        <v>TUNTAS</v>
      </c>
      <c r="L23" s="13" t="str">
        <f t="shared" si="5"/>
        <v xml:space="preserve"> </v>
      </c>
      <c r="M23" s="1"/>
      <c r="N23" s="2">
        <f t="shared" si="2"/>
        <v>8.9</v>
      </c>
    </row>
    <row r="24" spans="1:14" ht="15.95" customHeight="1" x14ac:dyDescent="0.25">
      <c r="A24" s="13">
        <v>17</v>
      </c>
      <c r="B24" s="9" t="s">
        <v>735</v>
      </c>
      <c r="C24" s="10" t="s">
        <v>3089</v>
      </c>
      <c r="D24" s="11" t="s">
        <v>92</v>
      </c>
      <c r="E24" s="27">
        <v>4</v>
      </c>
      <c r="F24" s="27">
        <v>1</v>
      </c>
      <c r="G24" s="27">
        <v>1</v>
      </c>
      <c r="H24" s="28">
        <f t="shared" si="3"/>
        <v>270</v>
      </c>
      <c r="I24" s="29">
        <f t="shared" si="0"/>
        <v>90</v>
      </c>
      <c r="J24" s="27">
        <f t="shared" si="1"/>
        <v>9</v>
      </c>
      <c r="K24" s="27" t="str">
        <f t="shared" si="4"/>
        <v>TUNTAS</v>
      </c>
      <c r="L24" s="13" t="str">
        <f t="shared" si="5"/>
        <v xml:space="preserve"> </v>
      </c>
      <c r="M24" s="1"/>
      <c r="N24" s="2">
        <f>I24/10</f>
        <v>9</v>
      </c>
    </row>
    <row r="25" spans="1:14" ht="15.95" customHeight="1" x14ac:dyDescent="0.25">
      <c r="A25" s="30">
        <v>18</v>
      </c>
      <c r="B25" s="9" t="s">
        <v>737</v>
      </c>
      <c r="C25" s="10" t="s">
        <v>3090</v>
      </c>
      <c r="D25" s="11" t="s">
        <v>79</v>
      </c>
      <c r="E25" s="27">
        <v>0</v>
      </c>
      <c r="F25" s="27">
        <v>0</v>
      </c>
      <c r="G25" s="27">
        <v>0</v>
      </c>
      <c r="H25" s="28">
        <f t="shared" si="3"/>
        <v>300</v>
      </c>
      <c r="I25" s="29">
        <f t="shared" si="0"/>
        <v>100</v>
      </c>
      <c r="J25" s="27">
        <f t="shared" si="1"/>
        <v>1</v>
      </c>
      <c r="K25" s="27" t="str">
        <f t="shared" si="4"/>
        <v>TUNTAS</v>
      </c>
      <c r="L25" s="13" t="str">
        <f t="shared" si="5"/>
        <v xml:space="preserve"> </v>
      </c>
      <c r="M25" s="1"/>
      <c r="N25" s="2">
        <f t="shared" ref="N25:N60" si="6">I25/10</f>
        <v>10</v>
      </c>
    </row>
    <row r="26" spans="1:14" ht="15.95" customHeight="1" x14ac:dyDescent="0.25">
      <c r="A26" s="13">
        <v>19</v>
      </c>
      <c r="B26" s="9" t="s">
        <v>739</v>
      </c>
      <c r="C26" s="10" t="s">
        <v>3091</v>
      </c>
      <c r="D26" s="11" t="s">
        <v>35</v>
      </c>
      <c r="E26" s="27">
        <v>13</v>
      </c>
      <c r="F26" s="27">
        <v>7</v>
      </c>
      <c r="G26" s="27">
        <v>5</v>
      </c>
      <c r="H26" s="28">
        <f t="shared" si="3"/>
        <v>165</v>
      </c>
      <c r="I26" s="29">
        <f t="shared" si="0"/>
        <v>55</v>
      </c>
      <c r="J26" s="27">
        <f t="shared" si="1"/>
        <v>40</v>
      </c>
      <c r="K26" s="27" t="str">
        <f t="shared" si="4"/>
        <v>TIDAK TUNTAS</v>
      </c>
      <c r="L26" s="13" t="str">
        <f t="shared" si="5"/>
        <v xml:space="preserve"> </v>
      </c>
      <c r="M26" s="1"/>
      <c r="N26" s="2">
        <f t="shared" si="6"/>
        <v>5.5</v>
      </c>
    </row>
    <row r="27" spans="1:14" ht="15.95" customHeight="1" x14ac:dyDescent="0.25">
      <c r="A27" s="13">
        <v>20</v>
      </c>
      <c r="B27" s="9" t="s">
        <v>741</v>
      </c>
      <c r="C27" s="10" t="s">
        <v>3092</v>
      </c>
      <c r="D27" s="11" t="s">
        <v>36</v>
      </c>
      <c r="E27" s="27">
        <v>5</v>
      </c>
      <c r="F27" s="27">
        <v>4</v>
      </c>
      <c r="G27" s="27">
        <v>0</v>
      </c>
      <c r="H27" s="28">
        <f t="shared" si="3"/>
        <v>273</v>
      </c>
      <c r="I27" s="29">
        <f t="shared" si="0"/>
        <v>91</v>
      </c>
      <c r="J27" s="27">
        <f t="shared" si="1"/>
        <v>7</v>
      </c>
      <c r="K27" s="27" t="str">
        <f t="shared" si="4"/>
        <v>TUNTAS</v>
      </c>
      <c r="L27" s="13" t="str">
        <f t="shared" si="5"/>
        <v xml:space="preserve"> </v>
      </c>
      <c r="M27" s="1"/>
      <c r="N27" s="2">
        <f t="shared" si="6"/>
        <v>9.1</v>
      </c>
    </row>
    <row r="28" spans="1:14" ht="15.95" customHeight="1" x14ac:dyDescent="0.25">
      <c r="A28" s="13">
        <v>21</v>
      </c>
      <c r="B28" s="9" t="s">
        <v>743</v>
      </c>
      <c r="C28" s="10" t="s">
        <v>134</v>
      </c>
      <c r="D28" s="11" t="s">
        <v>126</v>
      </c>
      <c r="E28" s="27">
        <v>14</v>
      </c>
      <c r="F28" s="27">
        <v>18</v>
      </c>
      <c r="G28" s="27">
        <v>4</v>
      </c>
      <c r="H28" s="28">
        <f t="shared" si="3"/>
        <v>144</v>
      </c>
      <c r="I28" s="29">
        <f t="shared" si="0"/>
        <v>48</v>
      </c>
      <c r="J28" s="27">
        <f t="shared" si="1"/>
        <v>46</v>
      </c>
      <c r="K28" s="27" t="str">
        <f t="shared" si="4"/>
        <v>TIDAK TUNTAS</v>
      </c>
      <c r="L28" s="13" t="str">
        <f t="shared" si="5"/>
        <v xml:space="preserve"> </v>
      </c>
      <c r="M28" s="1"/>
      <c r="N28" s="2">
        <f t="shared" si="6"/>
        <v>4.8</v>
      </c>
    </row>
    <row r="29" spans="1:14" ht="15.95" customHeight="1" x14ac:dyDescent="0.25">
      <c r="A29" s="13">
        <v>22</v>
      </c>
      <c r="B29" s="9" t="s">
        <v>745</v>
      </c>
      <c r="C29" s="10" t="s">
        <v>3093</v>
      </c>
      <c r="D29" s="11" t="s">
        <v>37</v>
      </c>
      <c r="E29" s="27">
        <v>10</v>
      </c>
      <c r="F29" s="27">
        <v>11</v>
      </c>
      <c r="G29" s="27">
        <v>3</v>
      </c>
      <c r="H29" s="28">
        <f t="shared" si="3"/>
        <v>192</v>
      </c>
      <c r="I29" s="29">
        <f t="shared" si="0"/>
        <v>64</v>
      </c>
      <c r="J29" s="27">
        <f t="shared" si="1"/>
        <v>35</v>
      </c>
      <c r="K29" s="27" t="str">
        <f t="shared" si="4"/>
        <v>TUNTAS</v>
      </c>
      <c r="L29" s="13" t="str">
        <f t="shared" si="5"/>
        <v xml:space="preserve"> </v>
      </c>
      <c r="M29" s="1"/>
      <c r="N29" s="2">
        <f t="shared" si="6"/>
        <v>6.4</v>
      </c>
    </row>
    <row r="30" spans="1:14" ht="15.95" customHeight="1" x14ac:dyDescent="0.25">
      <c r="A30" s="13">
        <v>23</v>
      </c>
      <c r="B30" s="9" t="s">
        <v>747</v>
      </c>
      <c r="C30" s="10" t="s">
        <v>3094</v>
      </c>
      <c r="D30" s="11" t="s">
        <v>39</v>
      </c>
      <c r="E30" s="27">
        <v>15</v>
      </c>
      <c r="F30" s="27">
        <v>5</v>
      </c>
      <c r="G30" s="27">
        <v>4</v>
      </c>
      <c r="H30" s="28">
        <f t="shared" si="3"/>
        <v>180</v>
      </c>
      <c r="I30" s="29">
        <f t="shared" si="0"/>
        <v>60</v>
      </c>
      <c r="J30" s="27">
        <f t="shared" si="1"/>
        <v>38</v>
      </c>
      <c r="K30" s="27" t="str">
        <f t="shared" si="4"/>
        <v>TUNTAS</v>
      </c>
      <c r="L30" s="13" t="str">
        <f t="shared" si="5"/>
        <v xml:space="preserve"> </v>
      </c>
      <c r="M30" s="1"/>
      <c r="N30" s="2">
        <f t="shared" si="6"/>
        <v>6</v>
      </c>
    </row>
    <row r="31" spans="1:14" ht="15.95" customHeight="1" x14ac:dyDescent="0.25">
      <c r="A31" s="13">
        <v>24</v>
      </c>
      <c r="B31" s="9" t="s">
        <v>749</v>
      </c>
      <c r="C31" s="10" t="s">
        <v>3095</v>
      </c>
      <c r="D31" s="11" t="s">
        <v>40</v>
      </c>
      <c r="E31" s="27">
        <v>17</v>
      </c>
      <c r="F31" s="27">
        <v>11</v>
      </c>
      <c r="G31" s="27">
        <v>5</v>
      </c>
      <c r="H31" s="28">
        <f t="shared" si="3"/>
        <v>141</v>
      </c>
      <c r="I31" s="29">
        <f t="shared" si="0"/>
        <v>47</v>
      </c>
      <c r="J31" s="27">
        <f t="shared" si="1"/>
        <v>48</v>
      </c>
      <c r="K31" s="27" t="str">
        <f t="shared" si="4"/>
        <v>TIDAK TUNTAS</v>
      </c>
      <c r="L31" s="13" t="str">
        <f t="shared" si="5"/>
        <v xml:space="preserve"> </v>
      </c>
      <c r="M31" s="1"/>
      <c r="N31" s="2">
        <f t="shared" si="6"/>
        <v>4.7</v>
      </c>
    </row>
    <row r="32" spans="1:14" ht="15.95" customHeight="1" x14ac:dyDescent="0.25">
      <c r="A32" s="13">
        <v>25</v>
      </c>
      <c r="B32" s="9" t="s">
        <v>750</v>
      </c>
      <c r="C32" s="10" t="s">
        <v>394</v>
      </c>
      <c r="D32" s="11" t="s">
        <v>127</v>
      </c>
      <c r="E32" s="27">
        <v>14</v>
      </c>
      <c r="F32" s="27">
        <v>9</v>
      </c>
      <c r="G32" s="27">
        <v>6</v>
      </c>
      <c r="H32" s="28">
        <f t="shared" si="3"/>
        <v>141</v>
      </c>
      <c r="I32" s="29">
        <f t="shared" si="0"/>
        <v>47</v>
      </c>
      <c r="J32" s="27">
        <f t="shared" si="1"/>
        <v>48</v>
      </c>
      <c r="K32" s="27" t="str">
        <f t="shared" si="4"/>
        <v>TIDAK TUNTAS</v>
      </c>
      <c r="L32" s="13" t="str">
        <f t="shared" si="5"/>
        <v>TM</v>
      </c>
      <c r="M32" s="1"/>
      <c r="N32" s="2">
        <f t="shared" si="6"/>
        <v>4.7</v>
      </c>
    </row>
    <row r="33" spans="1:14" ht="15.95" customHeight="1" x14ac:dyDescent="0.25">
      <c r="A33" s="13">
        <v>26</v>
      </c>
      <c r="B33" s="9" t="s">
        <v>752</v>
      </c>
      <c r="C33" s="10" t="s">
        <v>3096</v>
      </c>
      <c r="D33" s="11" t="s">
        <v>106</v>
      </c>
      <c r="E33" s="27">
        <v>15</v>
      </c>
      <c r="F33" s="27">
        <v>17</v>
      </c>
      <c r="G33" s="27">
        <v>4</v>
      </c>
      <c r="H33" s="28">
        <f t="shared" si="3"/>
        <v>144</v>
      </c>
      <c r="I33" s="29">
        <f t="shared" si="0"/>
        <v>48</v>
      </c>
      <c r="J33" s="27">
        <f t="shared" si="1"/>
        <v>46</v>
      </c>
      <c r="K33" s="27" t="str">
        <f t="shared" si="4"/>
        <v>TIDAK TUNTAS</v>
      </c>
      <c r="L33" s="13" t="str">
        <f t="shared" si="5"/>
        <v xml:space="preserve"> </v>
      </c>
      <c r="M33" s="1"/>
      <c r="N33" s="2">
        <f t="shared" si="6"/>
        <v>4.8</v>
      </c>
    </row>
    <row r="34" spans="1:14" ht="15.95" customHeight="1" x14ac:dyDescent="0.25">
      <c r="A34" s="13">
        <v>27</v>
      </c>
      <c r="B34" s="9" t="s">
        <v>754</v>
      </c>
      <c r="C34" s="10" t="s">
        <v>3097</v>
      </c>
      <c r="D34" s="11" t="s">
        <v>106</v>
      </c>
      <c r="E34" s="27">
        <v>7</v>
      </c>
      <c r="F34" s="27">
        <v>1</v>
      </c>
      <c r="G34" s="27">
        <v>2</v>
      </c>
      <c r="H34" s="28">
        <f t="shared" si="3"/>
        <v>246</v>
      </c>
      <c r="I34" s="29">
        <f t="shared" si="0"/>
        <v>82</v>
      </c>
      <c r="J34" s="27">
        <f t="shared" si="1"/>
        <v>19</v>
      </c>
      <c r="K34" s="27" t="str">
        <f t="shared" si="4"/>
        <v>TUNTAS</v>
      </c>
      <c r="L34" s="13" t="str">
        <f t="shared" si="5"/>
        <v xml:space="preserve"> </v>
      </c>
      <c r="M34" s="1"/>
      <c r="N34" s="2">
        <f t="shared" si="6"/>
        <v>8.1999999999999993</v>
      </c>
    </row>
    <row r="35" spans="1:14" ht="15.95" customHeight="1" x14ac:dyDescent="0.25">
      <c r="A35" s="13">
        <v>28</v>
      </c>
      <c r="B35" s="9" t="s">
        <v>756</v>
      </c>
      <c r="C35" s="10" t="s">
        <v>3098</v>
      </c>
      <c r="D35" s="11" t="s">
        <v>82</v>
      </c>
      <c r="E35" s="27">
        <v>9</v>
      </c>
      <c r="F35" s="27">
        <v>17</v>
      </c>
      <c r="G35" s="27">
        <v>5</v>
      </c>
      <c r="H35" s="28">
        <f t="shared" si="3"/>
        <v>147</v>
      </c>
      <c r="I35" s="29">
        <f t="shared" si="0"/>
        <v>49</v>
      </c>
      <c r="J35" s="27">
        <f t="shared" si="1"/>
        <v>45</v>
      </c>
      <c r="K35" s="27" t="str">
        <f t="shared" si="4"/>
        <v>TIDAK TUNTAS</v>
      </c>
      <c r="L35" s="13" t="str">
        <f t="shared" si="5"/>
        <v xml:space="preserve"> </v>
      </c>
      <c r="M35" s="1"/>
      <c r="N35" s="2">
        <f t="shared" si="6"/>
        <v>4.9000000000000004</v>
      </c>
    </row>
    <row r="36" spans="1:14" ht="15.95" customHeight="1" x14ac:dyDescent="0.25">
      <c r="A36" s="13">
        <v>29</v>
      </c>
      <c r="B36" s="9" t="s">
        <v>758</v>
      </c>
      <c r="C36" s="10" t="s">
        <v>3099</v>
      </c>
      <c r="D36" s="11" t="s">
        <v>84</v>
      </c>
      <c r="E36" s="27">
        <v>32</v>
      </c>
      <c r="F36" s="27">
        <v>32</v>
      </c>
      <c r="G36" s="27">
        <v>5</v>
      </c>
      <c r="H36" s="28">
        <f t="shared" si="3"/>
        <v>33</v>
      </c>
      <c r="I36" s="29">
        <f t="shared" si="0"/>
        <v>11</v>
      </c>
      <c r="J36" s="27">
        <f t="shared" si="1"/>
        <v>52</v>
      </c>
      <c r="K36" s="27" t="str">
        <f t="shared" si="4"/>
        <v>TIDAK HADIR</v>
      </c>
      <c r="L36" s="13" t="s">
        <v>3264</v>
      </c>
      <c r="M36" s="1"/>
      <c r="N36" s="2">
        <f t="shared" si="6"/>
        <v>1.1000000000000001</v>
      </c>
    </row>
    <row r="37" spans="1:14" ht="15.95" customHeight="1" x14ac:dyDescent="0.25">
      <c r="A37" s="13">
        <v>30</v>
      </c>
      <c r="B37" s="9" t="s">
        <v>760</v>
      </c>
      <c r="C37" s="10" t="s">
        <v>1784</v>
      </c>
      <c r="D37" s="11" t="s">
        <v>45</v>
      </c>
      <c r="E37" s="27">
        <v>17</v>
      </c>
      <c r="F37" s="27">
        <v>8</v>
      </c>
      <c r="G37" s="27">
        <v>5</v>
      </c>
      <c r="H37" s="28">
        <f t="shared" si="3"/>
        <v>150</v>
      </c>
      <c r="I37" s="29">
        <f t="shared" si="0"/>
        <v>50</v>
      </c>
      <c r="J37" s="27">
        <f t="shared" si="1"/>
        <v>44</v>
      </c>
      <c r="K37" s="27" t="str">
        <f t="shared" si="4"/>
        <v>TIDAK TUNTAS</v>
      </c>
      <c r="L37" s="13" t="str">
        <f t="shared" si="5"/>
        <v xml:space="preserve"> </v>
      </c>
      <c r="M37" s="1"/>
      <c r="N37" s="2">
        <f t="shared" si="6"/>
        <v>5</v>
      </c>
    </row>
    <row r="38" spans="1:14" ht="15.95" customHeight="1" x14ac:dyDescent="0.25">
      <c r="A38" s="13">
        <v>31</v>
      </c>
      <c r="B38" s="9" t="s">
        <v>761</v>
      </c>
      <c r="C38" s="10" t="s">
        <v>3100</v>
      </c>
      <c r="D38" s="11" t="s">
        <v>45</v>
      </c>
      <c r="E38" s="27">
        <v>2</v>
      </c>
      <c r="F38" s="27">
        <v>3</v>
      </c>
      <c r="G38" s="27">
        <v>1</v>
      </c>
      <c r="H38" s="28">
        <f t="shared" si="3"/>
        <v>270</v>
      </c>
      <c r="I38" s="29">
        <f t="shared" si="0"/>
        <v>90</v>
      </c>
      <c r="J38" s="27">
        <f t="shared" si="1"/>
        <v>9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9</v>
      </c>
    </row>
    <row r="39" spans="1:14" ht="15.95" customHeight="1" x14ac:dyDescent="0.25">
      <c r="A39" s="13">
        <v>32</v>
      </c>
      <c r="B39" s="9" t="s">
        <v>762</v>
      </c>
      <c r="C39" s="10" t="s">
        <v>3101</v>
      </c>
      <c r="D39" s="11" t="s">
        <v>107</v>
      </c>
      <c r="E39" s="27">
        <v>6</v>
      </c>
      <c r="F39" s="27">
        <v>1</v>
      </c>
      <c r="G39" s="27">
        <v>2</v>
      </c>
      <c r="H39" s="28">
        <f t="shared" si="3"/>
        <v>249</v>
      </c>
      <c r="I39" s="29">
        <f t="shared" si="0"/>
        <v>83</v>
      </c>
      <c r="J39" s="27">
        <f t="shared" si="1"/>
        <v>17</v>
      </c>
      <c r="K39" s="27" t="str">
        <f t="shared" si="4"/>
        <v>TUNTAS</v>
      </c>
      <c r="L39" s="13" t="str">
        <f t="shared" si="5"/>
        <v xml:space="preserve"> </v>
      </c>
      <c r="M39" s="1"/>
      <c r="N39" s="2">
        <f t="shared" si="6"/>
        <v>8.3000000000000007</v>
      </c>
    </row>
    <row r="40" spans="1:14" ht="15.95" customHeight="1" x14ac:dyDescent="0.25">
      <c r="A40" s="13">
        <v>33</v>
      </c>
      <c r="B40" s="9" t="s">
        <v>764</v>
      </c>
      <c r="C40" s="10" t="s">
        <v>3102</v>
      </c>
      <c r="D40" s="11" t="s">
        <v>48</v>
      </c>
      <c r="E40" s="27">
        <v>6</v>
      </c>
      <c r="F40" s="27">
        <v>3</v>
      </c>
      <c r="G40" s="27">
        <v>1</v>
      </c>
      <c r="H40" s="28">
        <f t="shared" si="3"/>
        <v>258</v>
      </c>
      <c r="I40" s="29">
        <f t="shared" si="0"/>
        <v>86</v>
      </c>
      <c r="J40" s="27">
        <f t="shared" si="1"/>
        <v>16</v>
      </c>
      <c r="K40" s="27" t="str">
        <f t="shared" si="4"/>
        <v>TUNTAS</v>
      </c>
      <c r="L40" s="13" t="str">
        <f t="shared" si="5"/>
        <v xml:space="preserve"> </v>
      </c>
      <c r="M40" s="1"/>
      <c r="N40" s="2">
        <f t="shared" si="6"/>
        <v>8.6</v>
      </c>
    </row>
    <row r="41" spans="1:14" ht="15.95" customHeight="1" x14ac:dyDescent="0.25">
      <c r="A41" s="13">
        <v>34</v>
      </c>
      <c r="B41" s="9" t="s">
        <v>766</v>
      </c>
      <c r="C41" s="10" t="s">
        <v>3103</v>
      </c>
      <c r="D41" s="11" t="s">
        <v>51</v>
      </c>
      <c r="E41" s="27">
        <v>12</v>
      </c>
      <c r="F41" s="27">
        <v>1</v>
      </c>
      <c r="G41" s="27">
        <v>3</v>
      </c>
      <c r="H41" s="28">
        <f t="shared" si="3"/>
        <v>216</v>
      </c>
      <c r="I41" s="29">
        <f t="shared" si="0"/>
        <v>72</v>
      </c>
      <c r="J41" s="27">
        <f t="shared" si="1"/>
        <v>29</v>
      </c>
      <c r="K41" s="27" t="str">
        <f t="shared" si="4"/>
        <v>TUNTAS</v>
      </c>
      <c r="L41" s="13" t="str">
        <f t="shared" si="5"/>
        <v xml:space="preserve"> </v>
      </c>
      <c r="M41" s="1"/>
      <c r="N41" s="2">
        <f t="shared" si="6"/>
        <v>7.2</v>
      </c>
    </row>
    <row r="42" spans="1:14" ht="15.95" customHeight="1" x14ac:dyDescent="0.25">
      <c r="A42" s="13">
        <v>35</v>
      </c>
      <c r="B42" s="9" t="s">
        <v>768</v>
      </c>
      <c r="C42" s="10" t="s">
        <v>3104</v>
      </c>
      <c r="D42" s="11" t="s">
        <v>53</v>
      </c>
      <c r="E42" s="27">
        <v>15</v>
      </c>
      <c r="F42" s="27">
        <v>1</v>
      </c>
      <c r="G42" s="27">
        <v>3</v>
      </c>
      <c r="H42" s="28">
        <f t="shared" si="3"/>
        <v>207</v>
      </c>
      <c r="I42" s="29">
        <f t="shared" si="0"/>
        <v>69</v>
      </c>
      <c r="J42" s="27">
        <f t="shared" si="1"/>
        <v>31</v>
      </c>
      <c r="K42" s="27" t="str">
        <f t="shared" si="4"/>
        <v>TUNTAS</v>
      </c>
      <c r="L42" s="13" t="str">
        <f t="shared" si="5"/>
        <v xml:space="preserve"> </v>
      </c>
      <c r="M42" s="1"/>
      <c r="N42" s="2">
        <f t="shared" si="6"/>
        <v>6.9</v>
      </c>
    </row>
    <row r="43" spans="1:14" ht="15.95" customHeight="1" x14ac:dyDescent="0.25">
      <c r="A43" s="13">
        <v>36</v>
      </c>
      <c r="B43" s="9" t="s">
        <v>770</v>
      </c>
      <c r="C43" s="10" t="s">
        <v>3105</v>
      </c>
      <c r="D43" s="11" t="s">
        <v>55</v>
      </c>
      <c r="E43" s="27">
        <v>0</v>
      </c>
      <c r="F43" s="27">
        <v>0</v>
      </c>
      <c r="G43" s="27">
        <v>0</v>
      </c>
      <c r="H43" s="28">
        <f t="shared" si="3"/>
        <v>300</v>
      </c>
      <c r="I43" s="29">
        <f t="shared" si="0"/>
        <v>100</v>
      </c>
      <c r="J43" s="27">
        <f t="shared" si="1"/>
        <v>1</v>
      </c>
      <c r="K43" s="27" t="str">
        <f t="shared" si="4"/>
        <v>TUNTAS</v>
      </c>
      <c r="L43" s="13" t="str">
        <f t="shared" si="5"/>
        <v xml:space="preserve"> </v>
      </c>
      <c r="M43" s="1"/>
      <c r="N43" s="2">
        <f t="shared" si="6"/>
        <v>10</v>
      </c>
    </row>
    <row r="44" spans="1:14" ht="15.95" customHeight="1" x14ac:dyDescent="0.25">
      <c r="A44" s="13">
        <v>37</v>
      </c>
      <c r="B44" s="9" t="s">
        <v>772</v>
      </c>
      <c r="C44" s="10" t="s">
        <v>3106</v>
      </c>
      <c r="D44" s="11" t="s">
        <v>57</v>
      </c>
      <c r="E44" s="27">
        <v>32</v>
      </c>
      <c r="F44" s="27">
        <v>32</v>
      </c>
      <c r="G44" s="27">
        <v>5</v>
      </c>
      <c r="H44" s="28">
        <f t="shared" si="3"/>
        <v>33</v>
      </c>
      <c r="I44" s="29">
        <f t="shared" si="0"/>
        <v>11</v>
      </c>
      <c r="J44" s="27">
        <f t="shared" si="1"/>
        <v>52</v>
      </c>
      <c r="K44" s="27" t="str">
        <f t="shared" si="4"/>
        <v>TIDAK HADIR</v>
      </c>
      <c r="L44" s="13" t="s">
        <v>3265</v>
      </c>
      <c r="M44" s="1"/>
      <c r="N44" s="2">
        <f t="shared" si="6"/>
        <v>1.1000000000000001</v>
      </c>
    </row>
    <row r="45" spans="1:14" ht="15.95" customHeight="1" x14ac:dyDescent="0.25">
      <c r="A45" s="13">
        <v>38</v>
      </c>
      <c r="B45" s="9" t="s">
        <v>774</v>
      </c>
      <c r="C45" s="10" t="s">
        <v>111</v>
      </c>
      <c r="D45" s="11" t="s">
        <v>95</v>
      </c>
      <c r="E45" s="27">
        <v>2</v>
      </c>
      <c r="F45" s="27">
        <v>4</v>
      </c>
      <c r="G45" s="27">
        <v>0</v>
      </c>
      <c r="H45" s="28">
        <f t="shared" si="3"/>
        <v>282</v>
      </c>
      <c r="I45" s="29">
        <f t="shared" si="0"/>
        <v>94</v>
      </c>
      <c r="J45" s="27">
        <f t="shared" si="1"/>
        <v>6</v>
      </c>
      <c r="K45" s="27" t="str">
        <f t="shared" si="4"/>
        <v>TUNTAS</v>
      </c>
      <c r="L45" s="13" t="str">
        <f t="shared" si="5"/>
        <v xml:space="preserve"> </v>
      </c>
      <c r="M45" s="1"/>
      <c r="N45" s="2">
        <f t="shared" si="6"/>
        <v>9.4</v>
      </c>
    </row>
    <row r="46" spans="1:14" ht="15.95" customHeight="1" x14ac:dyDescent="0.25">
      <c r="A46" s="13">
        <v>39</v>
      </c>
      <c r="B46" s="9" t="s">
        <v>776</v>
      </c>
      <c r="C46" s="10" t="s">
        <v>3107</v>
      </c>
      <c r="D46" s="11" t="s">
        <v>96</v>
      </c>
      <c r="E46" s="27">
        <v>10</v>
      </c>
      <c r="F46" s="27">
        <v>13</v>
      </c>
      <c r="G46" s="27">
        <v>2</v>
      </c>
      <c r="H46" s="28">
        <f t="shared" si="3"/>
        <v>201</v>
      </c>
      <c r="I46" s="29">
        <f t="shared" si="0"/>
        <v>67</v>
      </c>
      <c r="J46" s="27">
        <f t="shared" si="1"/>
        <v>34</v>
      </c>
      <c r="K46" s="27" t="str">
        <f t="shared" si="4"/>
        <v>TUNTAS</v>
      </c>
      <c r="L46" s="13" t="str">
        <f t="shared" si="5"/>
        <v xml:space="preserve"> </v>
      </c>
      <c r="M46" s="1"/>
      <c r="N46" s="2">
        <f t="shared" si="6"/>
        <v>6.7</v>
      </c>
    </row>
    <row r="47" spans="1:14" ht="15.95" customHeight="1" x14ac:dyDescent="0.25">
      <c r="A47" s="13">
        <v>40</v>
      </c>
      <c r="B47" s="9" t="s">
        <v>778</v>
      </c>
      <c r="C47" s="10" t="s">
        <v>3108</v>
      </c>
      <c r="D47" s="11" t="s">
        <v>97</v>
      </c>
      <c r="E47" s="27">
        <v>25</v>
      </c>
      <c r="F47" s="27">
        <v>27</v>
      </c>
      <c r="G47" s="27">
        <v>6</v>
      </c>
      <c r="H47" s="28">
        <f t="shared" si="3"/>
        <v>54</v>
      </c>
      <c r="I47" s="29">
        <f t="shared" si="0"/>
        <v>18</v>
      </c>
      <c r="J47" s="27">
        <f t="shared" si="1"/>
        <v>51</v>
      </c>
      <c r="K47" s="27" t="str">
        <f t="shared" si="4"/>
        <v>TIDAK TUNTAS</v>
      </c>
      <c r="L47" s="13" t="str">
        <f t="shared" si="5"/>
        <v>TM</v>
      </c>
      <c r="M47" s="1"/>
      <c r="N47" s="2">
        <f t="shared" si="6"/>
        <v>1.8</v>
      </c>
    </row>
    <row r="48" spans="1:14" ht="15.95" customHeight="1" x14ac:dyDescent="0.25">
      <c r="A48" s="13">
        <v>41</v>
      </c>
      <c r="B48" s="9" t="s">
        <v>779</v>
      </c>
      <c r="C48" s="10" t="s">
        <v>3109</v>
      </c>
      <c r="D48" s="11" t="s">
        <v>62</v>
      </c>
      <c r="E48" s="27">
        <v>14</v>
      </c>
      <c r="F48" s="27">
        <v>8</v>
      </c>
      <c r="G48" s="27">
        <v>2</v>
      </c>
      <c r="H48" s="28">
        <f t="shared" si="3"/>
        <v>204</v>
      </c>
      <c r="I48" s="29">
        <f t="shared" si="0"/>
        <v>68</v>
      </c>
      <c r="J48" s="27">
        <f t="shared" si="1"/>
        <v>33</v>
      </c>
      <c r="K48" s="27" t="str">
        <f t="shared" si="4"/>
        <v>TUNTAS</v>
      </c>
      <c r="L48" s="13" t="str">
        <f t="shared" si="5"/>
        <v xml:space="preserve"> </v>
      </c>
      <c r="M48" s="1"/>
      <c r="N48" s="2">
        <f t="shared" si="6"/>
        <v>6.8</v>
      </c>
    </row>
    <row r="49" spans="1:14" ht="15.95" customHeight="1" x14ac:dyDescent="0.25">
      <c r="A49" s="13">
        <v>42</v>
      </c>
      <c r="B49" s="9" t="s">
        <v>780</v>
      </c>
      <c r="C49" s="10" t="s">
        <v>3110</v>
      </c>
      <c r="D49" s="11" t="s">
        <v>62</v>
      </c>
      <c r="E49" s="27">
        <v>0</v>
      </c>
      <c r="F49" s="27">
        <v>0</v>
      </c>
      <c r="G49" s="27">
        <v>0</v>
      </c>
      <c r="H49" s="28">
        <f t="shared" si="3"/>
        <v>300</v>
      </c>
      <c r="I49" s="29">
        <f t="shared" si="0"/>
        <v>100</v>
      </c>
      <c r="J49" s="27">
        <f t="shared" si="1"/>
        <v>1</v>
      </c>
      <c r="K49" s="27" t="str">
        <f t="shared" si="4"/>
        <v>TUNTAS</v>
      </c>
      <c r="L49" s="13" t="str">
        <f t="shared" si="5"/>
        <v xml:space="preserve"> </v>
      </c>
      <c r="M49" s="1"/>
      <c r="N49" s="2">
        <f t="shared" si="6"/>
        <v>10</v>
      </c>
    </row>
    <row r="50" spans="1:14" ht="15.95" customHeight="1" x14ac:dyDescent="0.25">
      <c r="A50" s="13">
        <v>43</v>
      </c>
      <c r="B50" s="9" t="s">
        <v>782</v>
      </c>
      <c r="C50" s="10" t="s">
        <v>3111</v>
      </c>
      <c r="D50" s="11" t="s">
        <v>86</v>
      </c>
      <c r="E50" s="27">
        <v>3</v>
      </c>
      <c r="F50" s="27">
        <v>5</v>
      </c>
      <c r="G50" s="27">
        <v>2</v>
      </c>
      <c r="H50" s="28">
        <f t="shared" si="3"/>
        <v>246</v>
      </c>
      <c r="I50" s="29">
        <f t="shared" si="0"/>
        <v>82</v>
      </c>
      <c r="J50" s="27">
        <f t="shared" si="1"/>
        <v>19</v>
      </c>
      <c r="K50" s="27" t="str">
        <f t="shared" si="4"/>
        <v>TUNTAS</v>
      </c>
      <c r="L50" s="13" t="str">
        <f t="shared" si="5"/>
        <v xml:space="preserve"> </v>
      </c>
      <c r="M50" s="1"/>
      <c r="N50" s="2">
        <f t="shared" si="6"/>
        <v>8.1999999999999993</v>
      </c>
    </row>
    <row r="51" spans="1:14" ht="15.95" customHeight="1" x14ac:dyDescent="0.25">
      <c r="A51" s="13">
        <v>44</v>
      </c>
      <c r="B51" s="9" t="s">
        <v>784</v>
      </c>
      <c r="C51" s="10" t="s">
        <v>3112</v>
      </c>
      <c r="D51" s="11" t="s">
        <v>63</v>
      </c>
      <c r="E51" s="27">
        <v>1</v>
      </c>
      <c r="F51" s="27">
        <v>1</v>
      </c>
      <c r="G51" s="27">
        <v>2</v>
      </c>
      <c r="H51" s="28">
        <f t="shared" si="3"/>
        <v>264</v>
      </c>
      <c r="I51" s="29">
        <f t="shared" si="0"/>
        <v>88</v>
      </c>
      <c r="J51" s="27">
        <f t="shared" si="1"/>
        <v>14</v>
      </c>
      <c r="K51" s="27" t="str">
        <f t="shared" si="4"/>
        <v>TUNTAS</v>
      </c>
      <c r="L51" s="13" t="str">
        <f t="shared" si="5"/>
        <v xml:space="preserve"> </v>
      </c>
      <c r="M51" s="1"/>
      <c r="N51" s="2">
        <f t="shared" si="6"/>
        <v>8.8000000000000007</v>
      </c>
    </row>
    <row r="52" spans="1:14" ht="15.95" customHeight="1" x14ac:dyDescent="0.25">
      <c r="A52" s="13">
        <v>45</v>
      </c>
      <c r="B52" s="9" t="s">
        <v>785</v>
      </c>
      <c r="C52" s="10" t="s">
        <v>3113</v>
      </c>
      <c r="D52" s="11" t="s">
        <v>64</v>
      </c>
      <c r="E52" s="27">
        <v>7</v>
      </c>
      <c r="F52" s="27">
        <v>5</v>
      </c>
      <c r="G52" s="27">
        <v>2</v>
      </c>
      <c r="H52" s="28">
        <f t="shared" si="3"/>
        <v>234</v>
      </c>
      <c r="I52" s="29">
        <f t="shared" si="0"/>
        <v>78</v>
      </c>
      <c r="J52" s="27">
        <f t="shared" si="1"/>
        <v>23</v>
      </c>
      <c r="K52" s="27" t="str">
        <f t="shared" si="4"/>
        <v>TUNTAS</v>
      </c>
      <c r="L52" s="13" t="str">
        <f t="shared" si="5"/>
        <v xml:space="preserve"> </v>
      </c>
      <c r="M52" s="1"/>
      <c r="N52" s="2">
        <f t="shared" si="6"/>
        <v>7.8</v>
      </c>
    </row>
    <row r="53" spans="1:14" ht="15.95" customHeight="1" x14ac:dyDescent="0.25">
      <c r="A53" s="13">
        <v>46</v>
      </c>
      <c r="B53" s="9" t="s">
        <v>786</v>
      </c>
      <c r="C53" s="10" t="s">
        <v>3114</v>
      </c>
      <c r="D53" s="11" t="s">
        <v>88</v>
      </c>
      <c r="E53" s="27">
        <v>1</v>
      </c>
      <c r="F53" s="27">
        <v>1</v>
      </c>
      <c r="G53" s="27">
        <v>0</v>
      </c>
      <c r="H53" s="28">
        <f t="shared" si="3"/>
        <v>294</v>
      </c>
      <c r="I53" s="29">
        <f t="shared" si="0"/>
        <v>98</v>
      </c>
      <c r="J53" s="27">
        <f t="shared" si="1"/>
        <v>4</v>
      </c>
      <c r="K53" s="27" t="str">
        <f t="shared" si="4"/>
        <v>TUNTAS</v>
      </c>
      <c r="L53" s="13" t="str">
        <f t="shared" si="5"/>
        <v xml:space="preserve"> </v>
      </c>
      <c r="M53" s="1"/>
      <c r="N53" s="2">
        <f t="shared" si="6"/>
        <v>9.8000000000000007</v>
      </c>
    </row>
    <row r="54" spans="1:14" x14ac:dyDescent="0.25">
      <c r="A54" s="13">
        <v>47</v>
      </c>
      <c r="B54" s="9" t="s">
        <v>788</v>
      </c>
      <c r="C54" s="10" t="s">
        <v>3115</v>
      </c>
      <c r="D54" s="11" t="s">
        <v>67</v>
      </c>
      <c r="E54" s="27">
        <v>13</v>
      </c>
      <c r="F54" s="27">
        <v>4</v>
      </c>
      <c r="G54" s="27">
        <v>2</v>
      </c>
      <c r="H54" s="28">
        <f t="shared" si="3"/>
        <v>219</v>
      </c>
      <c r="I54" s="29">
        <f t="shared" si="0"/>
        <v>73</v>
      </c>
      <c r="J54" s="27">
        <f t="shared" si="1"/>
        <v>28</v>
      </c>
      <c r="K54" s="27" t="str">
        <f t="shared" si="4"/>
        <v>TUNTAS</v>
      </c>
      <c r="L54" s="13" t="str">
        <f t="shared" si="5"/>
        <v xml:space="preserve"> </v>
      </c>
      <c r="M54" s="1"/>
      <c r="N54" s="2">
        <f t="shared" si="6"/>
        <v>7.3</v>
      </c>
    </row>
    <row r="55" spans="1:14" x14ac:dyDescent="0.25">
      <c r="A55" s="13">
        <v>48</v>
      </c>
      <c r="B55" s="9" t="s">
        <v>789</v>
      </c>
      <c r="C55" s="10" t="s">
        <v>439</v>
      </c>
      <c r="D55" s="11" t="s">
        <v>87</v>
      </c>
      <c r="E55" s="27">
        <v>13</v>
      </c>
      <c r="F55" s="27">
        <v>7</v>
      </c>
      <c r="G55" s="27">
        <v>5</v>
      </c>
      <c r="H55" s="28">
        <f t="shared" si="3"/>
        <v>165</v>
      </c>
      <c r="I55" s="29">
        <f t="shared" si="0"/>
        <v>55</v>
      </c>
      <c r="J55" s="27">
        <f t="shared" si="1"/>
        <v>40</v>
      </c>
      <c r="K55" s="27" t="str">
        <f t="shared" si="4"/>
        <v>TIDAK TUNTAS</v>
      </c>
      <c r="L55" s="13" t="str">
        <f t="shared" si="5"/>
        <v xml:space="preserve"> </v>
      </c>
      <c r="M55" s="1"/>
      <c r="N55" s="2">
        <f t="shared" si="6"/>
        <v>5.5</v>
      </c>
    </row>
    <row r="56" spans="1:14" x14ac:dyDescent="0.25">
      <c r="A56" s="13">
        <v>49</v>
      </c>
      <c r="B56" s="9" t="s">
        <v>791</v>
      </c>
      <c r="C56" s="10" t="s">
        <v>3116</v>
      </c>
      <c r="D56" s="11" t="s">
        <v>130</v>
      </c>
      <c r="E56" s="27">
        <v>6</v>
      </c>
      <c r="F56" s="27">
        <v>5</v>
      </c>
      <c r="G56" s="27">
        <v>4</v>
      </c>
      <c r="H56" s="28">
        <f t="shared" si="3"/>
        <v>207</v>
      </c>
      <c r="I56" s="29">
        <f t="shared" si="0"/>
        <v>69</v>
      </c>
      <c r="J56" s="27">
        <f t="shared" si="1"/>
        <v>31</v>
      </c>
      <c r="K56" s="27" t="str">
        <f t="shared" si="4"/>
        <v>TUNTAS</v>
      </c>
      <c r="L56" s="13" t="str">
        <f t="shared" si="5"/>
        <v xml:space="preserve"> </v>
      </c>
      <c r="M56" s="1"/>
      <c r="N56" s="2">
        <f t="shared" si="6"/>
        <v>6.9</v>
      </c>
    </row>
    <row r="57" spans="1:14" x14ac:dyDescent="0.25">
      <c r="A57" s="13">
        <v>50</v>
      </c>
      <c r="B57" s="9" t="s">
        <v>793</v>
      </c>
      <c r="C57" s="10" t="s">
        <v>3117</v>
      </c>
      <c r="D57" s="11" t="s">
        <v>69</v>
      </c>
      <c r="E57" s="27">
        <v>3</v>
      </c>
      <c r="F57" s="27">
        <v>5</v>
      </c>
      <c r="G57" s="27">
        <v>2</v>
      </c>
      <c r="H57" s="28">
        <f t="shared" si="3"/>
        <v>246</v>
      </c>
      <c r="I57" s="29">
        <f t="shared" si="0"/>
        <v>82</v>
      </c>
      <c r="J57" s="27">
        <f t="shared" si="1"/>
        <v>19</v>
      </c>
      <c r="K57" s="27" t="str">
        <f t="shared" si="4"/>
        <v>TUNTAS</v>
      </c>
      <c r="L57" s="13" t="str">
        <f t="shared" si="5"/>
        <v xml:space="preserve"> </v>
      </c>
      <c r="M57" s="1"/>
      <c r="N57" s="2">
        <f t="shared" si="6"/>
        <v>8.1999999999999993</v>
      </c>
    </row>
    <row r="58" spans="1:14" x14ac:dyDescent="0.25">
      <c r="A58" s="13">
        <v>51</v>
      </c>
      <c r="B58" s="9" t="s">
        <v>794</v>
      </c>
      <c r="C58" s="10" t="s">
        <v>3118</v>
      </c>
      <c r="D58" s="11" t="s">
        <v>70</v>
      </c>
      <c r="E58" s="27">
        <v>6</v>
      </c>
      <c r="F58" s="27">
        <v>8</v>
      </c>
      <c r="G58" s="27">
        <v>2</v>
      </c>
      <c r="H58" s="28">
        <f t="shared" si="3"/>
        <v>228</v>
      </c>
      <c r="I58" s="29">
        <f t="shared" si="0"/>
        <v>76</v>
      </c>
      <c r="J58" s="27">
        <f t="shared" si="1"/>
        <v>24</v>
      </c>
      <c r="K58" s="27" t="str">
        <f t="shared" si="4"/>
        <v>TUNTAS</v>
      </c>
      <c r="L58" s="13" t="str">
        <f t="shared" si="5"/>
        <v xml:space="preserve"> </v>
      </c>
      <c r="M58" s="1"/>
      <c r="N58" s="2">
        <f t="shared" si="6"/>
        <v>7.6</v>
      </c>
    </row>
    <row r="59" spans="1:14" x14ac:dyDescent="0.25">
      <c r="A59" s="13">
        <v>52</v>
      </c>
      <c r="B59" s="9" t="s">
        <v>795</v>
      </c>
      <c r="C59" s="10" t="s">
        <v>3119</v>
      </c>
      <c r="D59" s="11" t="s">
        <v>89</v>
      </c>
      <c r="E59" s="27">
        <v>6</v>
      </c>
      <c r="F59" s="27">
        <v>4</v>
      </c>
      <c r="G59" s="27">
        <v>0</v>
      </c>
      <c r="H59" s="28">
        <f t="shared" si="3"/>
        <v>270</v>
      </c>
      <c r="I59" s="29">
        <f t="shared" ref="I59:I60" si="7">H59/3</f>
        <v>90</v>
      </c>
      <c r="J59" s="27">
        <f t="shared" ref="J59:J60" si="8">RANK(H59,$H$8:$H$97)</f>
        <v>9</v>
      </c>
      <c r="K59" s="27" t="str">
        <f t="shared" si="4"/>
        <v>TUNTAS</v>
      </c>
      <c r="L59" s="13" t="str">
        <f>IF(G59&gt;5,"TM", " ")</f>
        <v xml:space="preserve"> </v>
      </c>
      <c r="N59" s="2">
        <f t="shared" si="6"/>
        <v>9</v>
      </c>
    </row>
    <row r="60" spans="1:14" x14ac:dyDescent="0.25">
      <c r="A60" s="13">
        <v>53</v>
      </c>
      <c r="B60" s="9" t="s">
        <v>797</v>
      </c>
      <c r="C60" s="10" t="s">
        <v>3120</v>
      </c>
      <c r="D60" s="11" t="s">
        <v>73</v>
      </c>
      <c r="E60" s="27">
        <v>3</v>
      </c>
      <c r="F60" s="27">
        <v>0</v>
      </c>
      <c r="G60" s="27">
        <v>0</v>
      </c>
      <c r="H60" s="28">
        <f t="shared" si="3"/>
        <v>291</v>
      </c>
      <c r="I60" s="29">
        <f t="shared" si="7"/>
        <v>97</v>
      </c>
      <c r="J60" s="27">
        <f t="shared" si="8"/>
        <v>5</v>
      </c>
      <c r="K60" s="27" t="str">
        <f t="shared" si="4"/>
        <v>TUNTAS</v>
      </c>
      <c r="L60" s="13" t="str">
        <f t="shared" si="5"/>
        <v xml:space="preserve"> </v>
      </c>
      <c r="N60" s="2">
        <f t="shared" si="6"/>
        <v>9.6999999999999993</v>
      </c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phoneticPr fontId="13" type="noConversion"/>
  <conditionalFormatting sqref="D8:D10">
    <cfRule type="cellIs" dxfId="125" priority="9" operator="equal">
      <formula>0</formula>
    </cfRule>
  </conditionalFormatting>
  <conditionalFormatting sqref="I8:I60">
    <cfRule type="cellIs" dxfId="124" priority="3" operator="lessThan">
      <formula>60</formula>
    </cfRule>
    <cfRule type="cellIs" dxfId="123" priority="4" operator="lessThan">
      <formula>60</formula>
    </cfRule>
    <cfRule type="cellIs" dxfId="122" priority="5" operator="lessThan">
      <formula>50</formula>
    </cfRule>
  </conditionalFormatting>
  <conditionalFormatting sqref="K8:K60">
    <cfRule type="cellIs" dxfId="121" priority="1" operator="equal">
      <formula>"TIDAK BACA"</formula>
    </cfRule>
    <cfRule type="cellIs" dxfId="120" priority="2" operator="equal">
      <formula>"TIDAK TUNTAS"</formula>
    </cfRule>
    <cfRule type="cellIs" dxfId="119" priority="6" operator="equal">
      <formula>"TUNTAS"</formula>
    </cfRule>
    <cfRule type="cellIs" dxfId="118" priority="7" operator="equal">
      <formula>"TIDAK HADIR"</formula>
    </cfRule>
    <cfRule type="cellIs" dxfId="117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94BCE29A-0750-45B8-85EC-374A814620E1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7D28-0CEA-4A54-9CDE-3BC7303A9C11}">
  <sheetPr>
    <tabColor theme="6" tint="0.39997558519241921"/>
  </sheetPr>
  <dimension ref="A1:N60"/>
  <sheetViews>
    <sheetView zoomScaleNormal="100" workbookViewId="0">
      <pane xSplit="1" ySplit="7" topLeftCell="B8" activePane="bottomRight" state="frozen"/>
      <selection activeCell="N24" sqref="N24:N54"/>
      <selection pane="topRight" activeCell="N24" sqref="N24:N54"/>
      <selection pane="bottomLeft" activeCell="N24" sqref="N24:N54"/>
      <selection pane="bottomRight" activeCell="N46" sqref="N8:N46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19.899999999999999" customHeight="1" x14ac:dyDescent="0.25">
      <c r="A4" s="51" t="s">
        <v>3302</v>
      </c>
      <c r="B4" s="51"/>
      <c r="C4" s="51"/>
      <c r="D4" s="51"/>
      <c r="E4" s="51"/>
      <c r="F4" s="51"/>
      <c r="G4" s="51"/>
      <c r="H4" s="51"/>
      <c r="I4" s="51"/>
      <c r="K4" s="33" t="s">
        <v>3303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799</v>
      </c>
      <c r="C8" s="10" t="s">
        <v>3121</v>
      </c>
      <c r="D8" s="11" t="s">
        <v>17</v>
      </c>
      <c r="E8" s="27">
        <v>2</v>
      </c>
      <c r="F8" s="27">
        <v>2</v>
      </c>
      <c r="G8" s="27">
        <v>1</v>
      </c>
      <c r="H8" s="28">
        <f>100-E8*3+100-F8*3+100-G8*15</f>
        <v>273</v>
      </c>
      <c r="I8" s="29">
        <f t="shared" ref="I8:I46" si="0">H8/3</f>
        <v>91</v>
      </c>
      <c r="J8" s="27">
        <f t="shared" ref="J8:J46" si="1">RANK(H8,$H$8:$H$83)</f>
        <v>6</v>
      </c>
      <c r="K8" s="27" t="str">
        <f>IF(I8&lt;11.1,"TIDAK HADIR",IF(I8&lt;13.1,"TIDAK BACA",IF(I8&lt;$K$7,"TIDAK TUNTAS","TUNTAS")))</f>
        <v>TUNTAS</v>
      </c>
      <c r="L8" s="13" t="str">
        <f>IF(G8&gt;5,"TM", " ")</f>
        <v xml:space="preserve"> </v>
      </c>
      <c r="M8" s="1"/>
      <c r="N8" s="2">
        <f t="shared" ref="N8:N23" si="2">I8/10</f>
        <v>9.1</v>
      </c>
    </row>
    <row r="9" spans="1:14" ht="15.95" customHeight="1" x14ac:dyDescent="0.25">
      <c r="A9" s="13">
        <v>2</v>
      </c>
      <c r="B9" s="9" t="s">
        <v>801</v>
      </c>
      <c r="C9" s="10" t="s">
        <v>3122</v>
      </c>
      <c r="D9" s="11" t="s">
        <v>18</v>
      </c>
      <c r="E9" s="27">
        <v>7</v>
      </c>
      <c r="F9" s="27">
        <v>2</v>
      </c>
      <c r="G9" s="27">
        <v>5</v>
      </c>
      <c r="H9" s="28">
        <f t="shared" ref="H9:H46" si="3">100-E9*3+100-F9*3+100-G9*15</f>
        <v>198</v>
      </c>
      <c r="I9" s="29">
        <f t="shared" si="0"/>
        <v>66</v>
      </c>
      <c r="J9" s="27">
        <f t="shared" si="1"/>
        <v>21</v>
      </c>
      <c r="K9" s="27" t="str">
        <f t="shared" ref="K9:K46" si="4">IF(I9&lt;11.1,"TIDAK HADIR",IF(I9&lt;13.1,"TIDAK BACA",IF(I9&lt;$K$7,"TIDAK TUNTAS","TUNTAS")))</f>
        <v>TUNTAS</v>
      </c>
      <c r="L9" s="13" t="str">
        <f t="shared" ref="L9:L42" si="5">IF(G9&gt;5,"TM", " ")</f>
        <v xml:space="preserve"> </v>
      </c>
      <c r="M9" s="1"/>
      <c r="N9" s="2">
        <f t="shared" si="2"/>
        <v>6.6</v>
      </c>
    </row>
    <row r="10" spans="1:14" ht="15.95" customHeight="1" x14ac:dyDescent="0.25">
      <c r="A10" s="13">
        <v>3</v>
      </c>
      <c r="B10" s="9" t="s">
        <v>803</v>
      </c>
      <c r="C10" s="10" t="s">
        <v>21</v>
      </c>
      <c r="D10" s="11" t="s">
        <v>22</v>
      </c>
      <c r="E10" s="27">
        <v>2</v>
      </c>
      <c r="F10" s="27">
        <v>4</v>
      </c>
      <c r="G10" s="27">
        <v>2</v>
      </c>
      <c r="H10" s="28">
        <f t="shared" si="3"/>
        <v>252</v>
      </c>
      <c r="I10" s="29">
        <f>H10/3</f>
        <v>84</v>
      </c>
      <c r="J10" s="27">
        <f t="shared" si="1"/>
        <v>11</v>
      </c>
      <c r="K10" s="27" t="str">
        <f t="shared" si="4"/>
        <v>TUNTAS</v>
      </c>
      <c r="L10" s="13" t="str">
        <f t="shared" si="5"/>
        <v xml:space="preserve"> </v>
      </c>
      <c r="M10" s="1"/>
      <c r="N10" s="2">
        <f t="shared" si="2"/>
        <v>8.4</v>
      </c>
    </row>
    <row r="11" spans="1:14" ht="15.95" customHeight="1" x14ac:dyDescent="0.25">
      <c r="A11" s="13">
        <v>4</v>
      </c>
      <c r="B11" s="9" t="s">
        <v>805</v>
      </c>
      <c r="C11" s="10" t="s">
        <v>3123</v>
      </c>
      <c r="D11" s="11" t="s">
        <v>25</v>
      </c>
      <c r="E11" s="27">
        <v>0</v>
      </c>
      <c r="F11" s="27">
        <v>1</v>
      </c>
      <c r="G11" s="27">
        <v>1</v>
      </c>
      <c r="H11" s="28">
        <f t="shared" si="3"/>
        <v>282</v>
      </c>
      <c r="I11" s="29">
        <f t="shared" si="0"/>
        <v>94</v>
      </c>
      <c r="J11" s="27">
        <f t="shared" si="1"/>
        <v>4</v>
      </c>
      <c r="K11" s="27" t="str">
        <f t="shared" si="4"/>
        <v>TUNTAS</v>
      </c>
      <c r="L11" s="13" t="str">
        <f t="shared" si="5"/>
        <v xml:space="preserve"> </v>
      </c>
      <c r="M11" s="1"/>
      <c r="N11" s="2">
        <f t="shared" si="2"/>
        <v>9.4</v>
      </c>
    </row>
    <row r="12" spans="1:14" ht="15.95" customHeight="1" x14ac:dyDescent="0.25">
      <c r="A12" s="13">
        <v>5</v>
      </c>
      <c r="B12" s="9" t="s">
        <v>807</v>
      </c>
      <c r="C12" s="10" t="s">
        <v>3124</v>
      </c>
      <c r="D12" s="11" t="s">
        <v>25</v>
      </c>
      <c r="E12" s="27">
        <v>3</v>
      </c>
      <c r="F12" s="27">
        <v>1</v>
      </c>
      <c r="G12" s="27">
        <v>3</v>
      </c>
      <c r="H12" s="28">
        <f t="shared" si="3"/>
        <v>243</v>
      </c>
      <c r="I12" s="29">
        <f t="shared" si="0"/>
        <v>81</v>
      </c>
      <c r="J12" s="27">
        <f t="shared" si="1"/>
        <v>14</v>
      </c>
      <c r="K12" s="27" t="str">
        <f t="shared" si="4"/>
        <v>TUNTAS</v>
      </c>
      <c r="L12" s="13" t="str">
        <f t="shared" si="5"/>
        <v xml:space="preserve"> </v>
      </c>
      <c r="M12" s="1"/>
      <c r="N12" s="2">
        <f t="shared" si="2"/>
        <v>8.1</v>
      </c>
    </row>
    <row r="13" spans="1:14" ht="15.95" customHeight="1" x14ac:dyDescent="0.25">
      <c r="A13" s="13">
        <v>6</v>
      </c>
      <c r="B13" s="9" t="s">
        <v>809</v>
      </c>
      <c r="C13" s="10" t="s">
        <v>3125</v>
      </c>
      <c r="D13" s="11" t="s">
        <v>26</v>
      </c>
      <c r="E13" s="27">
        <v>13</v>
      </c>
      <c r="F13" s="27">
        <v>11</v>
      </c>
      <c r="G13" s="27">
        <v>5</v>
      </c>
      <c r="H13" s="28">
        <f t="shared" si="3"/>
        <v>153</v>
      </c>
      <c r="I13" s="29">
        <f t="shared" si="0"/>
        <v>51</v>
      </c>
      <c r="J13" s="27">
        <f t="shared" si="1"/>
        <v>29</v>
      </c>
      <c r="K13" s="27" t="str">
        <f t="shared" si="4"/>
        <v>TIDAK TUNTAS</v>
      </c>
      <c r="L13" s="13" t="str">
        <f t="shared" si="5"/>
        <v xml:space="preserve"> </v>
      </c>
      <c r="M13" s="1"/>
      <c r="N13" s="2">
        <f t="shared" si="2"/>
        <v>5.0999999999999996</v>
      </c>
    </row>
    <row r="14" spans="1:14" ht="15.95" customHeight="1" x14ac:dyDescent="0.25">
      <c r="A14" s="13">
        <v>7</v>
      </c>
      <c r="B14" s="9" t="s">
        <v>811</v>
      </c>
      <c r="C14" s="10" t="s">
        <v>3126</v>
      </c>
      <c r="D14" s="11" t="s">
        <v>101</v>
      </c>
      <c r="E14" s="27">
        <v>11</v>
      </c>
      <c r="F14" s="27">
        <v>7</v>
      </c>
      <c r="G14" s="27">
        <v>2</v>
      </c>
      <c r="H14" s="28">
        <f t="shared" si="3"/>
        <v>216</v>
      </c>
      <c r="I14" s="29">
        <f t="shared" si="0"/>
        <v>72</v>
      </c>
      <c r="J14" s="27">
        <f t="shared" si="1"/>
        <v>19</v>
      </c>
      <c r="K14" s="27" t="str">
        <f t="shared" si="4"/>
        <v>TUNTAS</v>
      </c>
      <c r="L14" s="13" t="str">
        <f t="shared" si="5"/>
        <v xml:space="preserve"> </v>
      </c>
      <c r="M14" s="1"/>
      <c r="N14" s="2">
        <f t="shared" si="2"/>
        <v>7.2</v>
      </c>
    </row>
    <row r="15" spans="1:14" ht="15.95" customHeight="1" x14ac:dyDescent="0.25">
      <c r="A15" s="13">
        <v>8</v>
      </c>
      <c r="B15" s="9" t="s">
        <v>812</v>
      </c>
      <c r="C15" s="17" t="s">
        <v>3127</v>
      </c>
      <c r="D15" s="18" t="s">
        <v>28</v>
      </c>
      <c r="E15" s="27">
        <v>15</v>
      </c>
      <c r="F15" s="27">
        <v>15</v>
      </c>
      <c r="G15" s="27">
        <v>5</v>
      </c>
      <c r="H15" s="28">
        <f t="shared" si="3"/>
        <v>135</v>
      </c>
      <c r="I15" s="29">
        <f t="shared" si="0"/>
        <v>45</v>
      </c>
      <c r="J15" s="27">
        <f t="shared" si="1"/>
        <v>31</v>
      </c>
      <c r="K15" s="27" t="str">
        <f t="shared" si="4"/>
        <v>TIDAK TUNTAS</v>
      </c>
      <c r="L15" s="13" t="str">
        <f t="shared" si="5"/>
        <v xml:space="preserve"> </v>
      </c>
      <c r="M15" s="1"/>
      <c r="N15" s="2">
        <f t="shared" si="2"/>
        <v>4.5</v>
      </c>
    </row>
    <row r="16" spans="1:14" ht="15.95" customHeight="1" x14ac:dyDescent="0.25">
      <c r="A16" s="13">
        <v>9</v>
      </c>
      <c r="B16" s="9" t="s">
        <v>814</v>
      </c>
      <c r="C16" s="10" t="s">
        <v>3128</v>
      </c>
      <c r="D16" s="11" t="s">
        <v>79</v>
      </c>
      <c r="E16" s="27">
        <v>1</v>
      </c>
      <c r="F16" s="27">
        <v>0</v>
      </c>
      <c r="G16" s="27">
        <v>0</v>
      </c>
      <c r="H16" s="28">
        <f t="shared" si="3"/>
        <v>297</v>
      </c>
      <c r="I16" s="29">
        <f t="shared" si="0"/>
        <v>99</v>
      </c>
      <c r="J16" s="27">
        <f t="shared" si="1"/>
        <v>1</v>
      </c>
      <c r="K16" s="27" t="str">
        <f t="shared" si="4"/>
        <v>TUNTAS</v>
      </c>
      <c r="L16" s="13" t="str">
        <f t="shared" si="5"/>
        <v xml:space="preserve"> </v>
      </c>
      <c r="M16" s="1"/>
      <c r="N16" s="2">
        <f t="shared" si="2"/>
        <v>9.9</v>
      </c>
    </row>
    <row r="17" spans="1:14" ht="15.95" customHeight="1" x14ac:dyDescent="0.25">
      <c r="A17" s="13">
        <v>10</v>
      </c>
      <c r="B17" s="9" t="s">
        <v>816</v>
      </c>
      <c r="C17" s="10" t="s">
        <v>3129</v>
      </c>
      <c r="D17" s="11" t="s">
        <v>35</v>
      </c>
      <c r="E17" s="27">
        <v>3</v>
      </c>
      <c r="F17" s="27">
        <v>5</v>
      </c>
      <c r="G17" s="27">
        <v>0</v>
      </c>
      <c r="H17" s="28">
        <f t="shared" si="3"/>
        <v>276</v>
      </c>
      <c r="I17" s="29">
        <f t="shared" si="0"/>
        <v>92</v>
      </c>
      <c r="J17" s="27">
        <f t="shared" si="1"/>
        <v>5</v>
      </c>
      <c r="K17" s="27" t="str">
        <f t="shared" si="4"/>
        <v>TUNTAS</v>
      </c>
      <c r="L17" s="13" t="str">
        <f t="shared" si="5"/>
        <v xml:space="preserve"> </v>
      </c>
      <c r="M17" s="1"/>
      <c r="N17" s="2">
        <f t="shared" si="2"/>
        <v>9.1999999999999993</v>
      </c>
    </row>
    <row r="18" spans="1:14" ht="15.95" customHeight="1" x14ac:dyDescent="0.25">
      <c r="A18" s="13">
        <v>11</v>
      </c>
      <c r="B18" s="9" t="s">
        <v>817</v>
      </c>
      <c r="C18" s="17" t="s">
        <v>3130</v>
      </c>
      <c r="D18" s="18" t="s">
        <v>93</v>
      </c>
      <c r="E18" s="27">
        <v>3</v>
      </c>
      <c r="F18" s="27">
        <v>3</v>
      </c>
      <c r="G18" s="27">
        <v>1</v>
      </c>
      <c r="H18" s="28">
        <f t="shared" si="3"/>
        <v>267</v>
      </c>
      <c r="I18" s="29">
        <f t="shared" si="0"/>
        <v>89</v>
      </c>
      <c r="J18" s="27">
        <f t="shared" si="1"/>
        <v>7</v>
      </c>
      <c r="K18" s="27" t="str">
        <f t="shared" si="4"/>
        <v>TUNTAS</v>
      </c>
      <c r="L18" s="13" t="str">
        <f t="shared" si="5"/>
        <v xml:space="preserve"> </v>
      </c>
      <c r="M18" s="1"/>
      <c r="N18" s="2">
        <f t="shared" si="2"/>
        <v>8.9</v>
      </c>
    </row>
    <row r="19" spans="1:14" ht="15.95" customHeight="1" x14ac:dyDescent="0.25">
      <c r="A19" s="13">
        <v>12</v>
      </c>
      <c r="B19" s="9" t="s">
        <v>819</v>
      </c>
      <c r="C19" s="17" t="s">
        <v>3131</v>
      </c>
      <c r="D19" s="18" t="s">
        <v>93</v>
      </c>
      <c r="E19" s="27">
        <v>10</v>
      </c>
      <c r="F19" s="27">
        <v>5</v>
      </c>
      <c r="G19" s="27">
        <v>4</v>
      </c>
      <c r="H19" s="28">
        <f t="shared" si="3"/>
        <v>195</v>
      </c>
      <c r="I19" s="29">
        <f t="shared" si="0"/>
        <v>65</v>
      </c>
      <c r="J19" s="27">
        <f t="shared" si="1"/>
        <v>22</v>
      </c>
      <c r="K19" s="27" t="str">
        <f t="shared" si="4"/>
        <v>TUNTAS</v>
      </c>
      <c r="L19" s="13" t="str">
        <f t="shared" si="5"/>
        <v xml:space="preserve"> </v>
      </c>
      <c r="M19" s="1"/>
      <c r="N19" s="2">
        <f t="shared" si="2"/>
        <v>6.5</v>
      </c>
    </row>
    <row r="20" spans="1:14" ht="15.95" customHeight="1" x14ac:dyDescent="0.25">
      <c r="A20" s="13">
        <v>13</v>
      </c>
      <c r="B20" s="9" t="s">
        <v>821</v>
      </c>
      <c r="C20" s="10" t="s">
        <v>3132</v>
      </c>
      <c r="D20" s="11" t="s">
        <v>36</v>
      </c>
      <c r="E20" s="27">
        <v>12</v>
      </c>
      <c r="F20" s="27">
        <v>24</v>
      </c>
      <c r="G20" s="27">
        <v>5</v>
      </c>
      <c r="H20" s="28">
        <f t="shared" si="3"/>
        <v>117</v>
      </c>
      <c r="I20" s="29">
        <f t="shared" si="0"/>
        <v>39</v>
      </c>
      <c r="J20" s="27">
        <f t="shared" si="1"/>
        <v>32</v>
      </c>
      <c r="K20" s="27" t="str">
        <f t="shared" si="4"/>
        <v>TIDAK TUNTAS</v>
      </c>
      <c r="L20" s="13" t="str">
        <f t="shared" si="5"/>
        <v xml:space="preserve"> </v>
      </c>
      <c r="M20" s="1"/>
      <c r="N20" s="2">
        <f t="shared" si="2"/>
        <v>3.9</v>
      </c>
    </row>
    <row r="21" spans="1:14" ht="15.95" customHeight="1" x14ac:dyDescent="0.25">
      <c r="A21" s="13">
        <v>14</v>
      </c>
      <c r="B21" s="9" t="s">
        <v>823</v>
      </c>
      <c r="C21" s="10" t="s">
        <v>3133</v>
      </c>
      <c r="D21" s="11" t="s">
        <v>36</v>
      </c>
      <c r="E21" s="27">
        <v>14</v>
      </c>
      <c r="F21" s="27">
        <v>12</v>
      </c>
      <c r="G21" s="27">
        <v>5</v>
      </c>
      <c r="H21" s="28">
        <f t="shared" si="3"/>
        <v>147</v>
      </c>
      <c r="I21" s="29">
        <f t="shared" si="0"/>
        <v>49</v>
      </c>
      <c r="J21" s="27">
        <f t="shared" si="1"/>
        <v>30</v>
      </c>
      <c r="K21" s="27" t="str">
        <f t="shared" si="4"/>
        <v>TIDAK TUNTAS</v>
      </c>
      <c r="L21" s="13" t="str">
        <f t="shared" si="5"/>
        <v xml:space="preserve"> </v>
      </c>
      <c r="M21" s="1"/>
      <c r="N21" s="2">
        <f t="shared" si="2"/>
        <v>4.9000000000000004</v>
      </c>
    </row>
    <row r="22" spans="1:14" ht="15.95" customHeight="1" x14ac:dyDescent="0.25">
      <c r="A22" s="13">
        <v>15</v>
      </c>
      <c r="B22" s="9" t="s">
        <v>825</v>
      </c>
      <c r="C22" s="10" t="s">
        <v>3134</v>
      </c>
      <c r="D22" s="11" t="s">
        <v>36</v>
      </c>
      <c r="E22" s="27">
        <v>10</v>
      </c>
      <c r="F22" s="27">
        <v>12</v>
      </c>
      <c r="G22" s="27">
        <v>3</v>
      </c>
      <c r="H22" s="28">
        <f t="shared" si="3"/>
        <v>189</v>
      </c>
      <c r="I22" s="29">
        <f t="shared" si="0"/>
        <v>63</v>
      </c>
      <c r="J22" s="27">
        <f t="shared" si="1"/>
        <v>25</v>
      </c>
      <c r="K22" s="27" t="str">
        <f t="shared" si="4"/>
        <v>TUNTAS</v>
      </c>
      <c r="L22" s="13" t="str">
        <f t="shared" si="5"/>
        <v xml:space="preserve"> </v>
      </c>
      <c r="M22" s="1"/>
      <c r="N22" s="2">
        <f t="shared" si="2"/>
        <v>6.3</v>
      </c>
    </row>
    <row r="23" spans="1:14" ht="15.95" customHeight="1" x14ac:dyDescent="0.25">
      <c r="A23" s="13">
        <v>16</v>
      </c>
      <c r="B23" s="9" t="s">
        <v>827</v>
      </c>
      <c r="C23" s="10" t="s">
        <v>3135</v>
      </c>
      <c r="D23" s="11" t="s">
        <v>38</v>
      </c>
      <c r="E23" s="27">
        <v>8</v>
      </c>
      <c r="F23" s="27">
        <v>4</v>
      </c>
      <c r="G23" s="27">
        <v>2</v>
      </c>
      <c r="H23" s="28">
        <f t="shared" si="3"/>
        <v>234</v>
      </c>
      <c r="I23" s="29">
        <f t="shared" si="0"/>
        <v>78</v>
      </c>
      <c r="J23" s="27">
        <f t="shared" si="1"/>
        <v>15</v>
      </c>
      <c r="K23" s="27" t="str">
        <f t="shared" si="4"/>
        <v>TUNTAS</v>
      </c>
      <c r="L23" s="13" t="str">
        <f t="shared" si="5"/>
        <v xml:space="preserve"> </v>
      </c>
      <c r="M23" s="1"/>
      <c r="N23" s="2">
        <f t="shared" si="2"/>
        <v>7.8</v>
      </c>
    </row>
    <row r="24" spans="1:14" ht="15.95" customHeight="1" x14ac:dyDescent="0.25">
      <c r="A24" s="13">
        <v>17</v>
      </c>
      <c r="B24" s="9" t="s">
        <v>828</v>
      </c>
      <c r="C24" s="10" t="s">
        <v>3136</v>
      </c>
      <c r="D24" s="11" t="s">
        <v>136</v>
      </c>
      <c r="E24" s="27">
        <v>8</v>
      </c>
      <c r="F24" s="27">
        <v>1</v>
      </c>
      <c r="G24" s="27">
        <v>3</v>
      </c>
      <c r="H24" s="28">
        <f t="shared" si="3"/>
        <v>228</v>
      </c>
      <c r="I24" s="29">
        <f t="shared" si="0"/>
        <v>76</v>
      </c>
      <c r="J24" s="27">
        <f t="shared" si="1"/>
        <v>17</v>
      </c>
      <c r="K24" s="27" t="str">
        <f t="shared" si="4"/>
        <v>TUNTAS</v>
      </c>
      <c r="L24" s="13" t="str">
        <f t="shared" si="5"/>
        <v xml:space="preserve"> </v>
      </c>
      <c r="M24" s="1"/>
      <c r="N24" s="2">
        <f>I24/10</f>
        <v>7.6</v>
      </c>
    </row>
    <row r="25" spans="1:14" ht="15.95" customHeight="1" x14ac:dyDescent="0.25">
      <c r="A25" s="30">
        <v>18</v>
      </c>
      <c r="B25" s="9" t="s">
        <v>830</v>
      </c>
      <c r="C25" s="10" t="s">
        <v>498</v>
      </c>
      <c r="D25" s="11" t="s">
        <v>45</v>
      </c>
      <c r="E25" s="27">
        <v>18</v>
      </c>
      <c r="F25" s="27">
        <v>16</v>
      </c>
      <c r="G25" s="27">
        <v>6</v>
      </c>
      <c r="H25" s="28">
        <f t="shared" si="3"/>
        <v>108</v>
      </c>
      <c r="I25" s="29">
        <f t="shared" si="0"/>
        <v>36</v>
      </c>
      <c r="J25" s="27">
        <f t="shared" si="1"/>
        <v>33</v>
      </c>
      <c r="K25" s="27" t="str">
        <f t="shared" si="4"/>
        <v>TIDAK TUNTAS</v>
      </c>
      <c r="L25" s="13" t="str">
        <f t="shared" si="5"/>
        <v>TM</v>
      </c>
      <c r="M25" s="1"/>
      <c r="N25" s="2">
        <f t="shared" ref="N25:N54" si="6">I25/10</f>
        <v>3.6</v>
      </c>
    </row>
    <row r="26" spans="1:14" ht="15.95" customHeight="1" x14ac:dyDescent="0.25">
      <c r="A26" s="13">
        <v>19</v>
      </c>
      <c r="B26" s="9" t="s">
        <v>832</v>
      </c>
      <c r="C26" s="10" t="s">
        <v>3137</v>
      </c>
      <c r="D26" s="11" t="s">
        <v>45</v>
      </c>
      <c r="E26" s="27">
        <v>32</v>
      </c>
      <c r="F26" s="27">
        <v>32</v>
      </c>
      <c r="G26" s="27">
        <v>5</v>
      </c>
      <c r="H26" s="28">
        <f t="shared" si="3"/>
        <v>33</v>
      </c>
      <c r="I26" s="29">
        <f t="shared" si="0"/>
        <v>11</v>
      </c>
      <c r="J26" s="27">
        <f t="shared" si="1"/>
        <v>34</v>
      </c>
      <c r="K26" s="27" t="str">
        <f t="shared" si="4"/>
        <v>TIDAK HADIR</v>
      </c>
      <c r="L26" s="13" t="s">
        <v>3264</v>
      </c>
      <c r="M26" s="1"/>
      <c r="N26" s="2">
        <f t="shared" si="6"/>
        <v>1.1000000000000001</v>
      </c>
    </row>
    <row r="27" spans="1:14" ht="15.95" customHeight="1" x14ac:dyDescent="0.25">
      <c r="A27" s="13">
        <v>20</v>
      </c>
      <c r="B27" s="9" t="s">
        <v>834</v>
      </c>
      <c r="C27" s="10" t="s">
        <v>3138</v>
      </c>
      <c r="D27" s="11" t="s">
        <v>48</v>
      </c>
      <c r="E27" s="27">
        <v>16</v>
      </c>
      <c r="F27" s="27">
        <v>11</v>
      </c>
      <c r="G27" s="27">
        <v>4</v>
      </c>
      <c r="H27" s="28">
        <f t="shared" si="3"/>
        <v>159</v>
      </c>
      <c r="I27" s="29">
        <f t="shared" si="0"/>
        <v>53</v>
      </c>
      <c r="J27" s="27">
        <f t="shared" si="1"/>
        <v>28</v>
      </c>
      <c r="K27" s="27" t="str">
        <f t="shared" si="4"/>
        <v>TIDAK TUNTAS</v>
      </c>
      <c r="L27" s="13" t="str">
        <f t="shared" si="5"/>
        <v xml:space="preserve"> </v>
      </c>
      <c r="M27" s="1"/>
      <c r="N27" s="2">
        <f t="shared" si="6"/>
        <v>5.3</v>
      </c>
    </row>
    <row r="28" spans="1:14" ht="15.95" customHeight="1" x14ac:dyDescent="0.25">
      <c r="A28" s="13">
        <v>21</v>
      </c>
      <c r="B28" s="9" t="s">
        <v>3139</v>
      </c>
      <c r="C28" s="10" t="s">
        <v>3140</v>
      </c>
      <c r="D28" s="11" t="s">
        <v>49</v>
      </c>
      <c r="E28" s="27">
        <v>6</v>
      </c>
      <c r="F28" s="27">
        <v>2</v>
      </c>
      <c r="G28" s="27">
        <v>3</v>
      </c>
      <c r="H28" s="28">
        <f t="shared" si="3"/>
        <v>231</v>
      </c>
      <c r="I28" s="29">
        <f t="shared" si="0"/>
        <v>77</v>
      </c>
      <c r="J28" s="27">
        <f t="shared" si="1"/>
        <v>16</v>
      </c>
      <c r="K28" s="27" t="str">
        <f t="shared" si="4"/>
        <v>TUNTAS</v>
      </c>
      <c r="L28" s="13" t="str">
        <f t="shared" si="5"/>
        <v xml:space="preserve"> </v>
      </c>
      <c r="M28" s="1"/>
      <c r="N28" s="2">
        <f t="shared" si="6"/>
        <v>7.7</v>
      </c>
    </row>
    <row r="29" spans="1:14" ht="15.95" customHeight="1" x14ac:dyDescent="0.25">
      <c r="A29" s="13">
        <v>22</v>
      </c>
      <c r="B29" s="9" t="s">
        <v>3141</v>
      </c>
      <c r="C29" s="10" t="s">
        <v>3142</v>
      </c>
      <c r="D29" s="11" t="s">
        <v>51</v>
      </c>
      <c r="E29" s="27">
        <v>7</v>
      </c>
      <c r="F29" s="27">
        <v>1</v>
      </c>
      <c r="G29" s="27">
        <v>2</v>
      </c>
      <c r="H29" s="28">
        <f t="shared" si="3"/>
        <v>246</v>
      </c>
      <c r="I29" s="29">
        <f t="shared" si="0"/>
        <v>82</v>
      </c>
      <c r="J29" s="27">
        <f t="shared" si="1"/>
        <v>12</v>
      </c>
      <c r="K29" s="27" t="str">
        <f t="shared" si="4"/>
        <v>TUNTAS</v>
      </c>
      <c r="L29" s="13" t="str">
        <f t="shared" si="5"/>
        <v xml:space="preserve"> </v>
      </c>
      <c r="M29" s="1"/>
      <c r="N29" s="2">
        <f t="shared" si="6"/>
        <v>8.1999999999999993</v>
      </c>
    </row>
    <row r="30" spans="1:14" ht="15.95" customHeight="1" x14ac:dyDescent="0.25">
      <c r="A30" s="13">
        <v>23</v>
      </c>
      <c r="B30" s="9" t="s">
        <v>3143</v>
      </c>
      <c r="C30" s="10" t="s">
        <v>3144</v>
      </c>
      <c r="D30" s="11" t="s">
        <v>51</v>
      </c>
      <c r="E30" s="27">
        <v>9</v>
      </c>
      <c r="F30" s="27">
        <v>5</v>
      </c>
      <c r="G30" s="27">
        <v>0</v>
      </c>
      <c r="H30" s="28">
        <f t="shared" si="3"/>
        <v>258</v>
      </c>
      <c r="I30" s="29">
        <f t="shared" si="0"/>
        <v>86</v>
      </c>
      <c r="J30" s="27">
        <f t="shared" si="1"/>
        <v>9</v>
      </c>
      <c r="K30" s="27" t="str">
        <f t="shared" si="4"/>
        <v>TUNTAS</v>
      </c>
      <c r="L30" s="13" t="str">
        <f t="shared" si="5"/>
        <v xml:space="preserve"> </v>
      </c>
      <c r="M30" s="1"/>
      <c r="N30" s="2">
        <f t="shared" si="6"/>
        <v>8.6</v>
      </c>
    </row>
    <row r="31" spans="1:14" ht="15.95" customHeight="1" x14ac:dyDescent="0.25">
      <c r="A31" s="13">
        <v>24</v>
      </c>
      <c r="B31" s="9" t="s">
        <v>3145</v>
      </c>
      <c r="C31" s="10" t="s">
        <v>3146</v>
      </c>
      <c r="D31" s="11" t="s">
        <v>52</v>
      </c>
      <c r="E31" s="27">
        <v>32</v>
      </c>
      <c r="F31" s="27">
        <v>32</v>
      </c>
      <c r="G31" s="27">
        <v>5</v>
      </c>
      <c r="H31" s="28">
        <f t="shared" si="3"/>
        <v>33</v>
      </c>
      <c r="I31" s="29">
        <f t="shared" si="0"/>
        <v>11</v>
      </c>
      <c r="J31" s="27">
        <f t="shared" si="1"/>
        <v>34</v>
      </c>
      <c r="K31" s="27" t="str">
        <f t="shared" si="4"/>
        <v>TIDAK HADIR</v>
      </c>
      <c r="L31" s="13" t="s">
        <v>3265</v>
      </c>
      <c r="M31" s="1"/>
      <c r="N31" s="2">
        <f t="shared" si="6"/>
        <v>1.1000000000000001</v>
      </c>
    </row>
    <row r="32" spans="1:14" ht="15.95" customHeight="1" x14ac:dyDescent="0.25">
      <c r="A32" s="13">
        <v>25</v>
      </c>
      <c r="B32" s="9" t="s">
        <v>3147</v>
      </c>
      <c r="C32" s="10" t="s">
        <v>3148</v>
      </c>
      <c r="D32" s="11" t="s">
        <v>52</v>
      </c>
      <c r="E32" s="27">
        <v>1</v>
      </c>
      <c r="F32" s="27">
        <v>1</v>
      </c>
      <c r="G32" s="27">
        <v>0</v>
      </c>
      <c r="H32" s="28">
        <f t="shared" si="3"/>
        <v>294</v>
      </c>
      <c r="I32" s="29">
        <f t="shared" si="0"/>
        <v>98</v>
      </c>
      <c r="J32" s="27">
        <f t="shared" si="1"/>
        <v>2</v>
      </c>
      <c r="K32" s="27" t="str">
        <f t="shared" si="4"/>
        <v>TUNTAS</v>
      </c>
      <c r="L32" s="13" t="str">
        <f t="shared" si="5"/>
        <v xml:space="preserve"> </v>
      </c>
      <c r="M32" s="1"/>
      <c r="N32" s="2">
        <f t="shared" si="6"/>
        <v>9.8000000000000007</v>
      </c>
    </row>
    <row r="33" spans="1:14" ht="15.95" customHeight="1" x14ac:dyDescent="0.25">
      <c r="A33" s="13">
        <v>26</v>
      </c>
      <c r="B33" s="9" t="s">
        <v>3149</v>
      </c>
      <c r="C33" s="10" t="s">
        <v>3150</v>
      </c>
      <c r="D33" s="11" t="s">
        <v>53</v>
      </c>
      <c r="E33" s="27">
        <v>32</v>
      </c>
      <c r="F33" s="27">
        <v>32</v>
      </c>
      <c r="G33" s="27">
        <v>5</v>
      </c>
      <c r="H33" s="28">
        <f t="shared" si="3"/>
        <v>33</v>
      </c>
      <c r="I33" s="29">
        <f t="shared" si="0"/>
        <v>11</v>
      </c>
      <c r="J33" s="27">
        <f t="shared" si="1"/>
        <v>34</v>
      </c>
      <c r="K33" s="27" t="str">
        <f t="shared" si="4"/>
        <v>TIDAK HADIR</v>
      </c>
      <c r="L33" s="13" t="s">
        <v>3264</v>
      </c>
      <c r="M33" s="1"/>
      <c r="N33" s="2">
        <f t="shared" si="6"/>
        <v>1.1000000000000001</v>
      </c>
    </row>
    <row r="34" spans="1:14" ht="15.95" customHeight="1" x14ac:dyDescent="0.25">
      <c r="A34" s="13">
        <v>27</v>
      </c>
      <c r="B34" s="9" t="s">
        <v>3151</v>
      </c>
      <c r="C34" s="10" t="s">
        <v>3152</v>
      </c>
      <c r="D34" s="11" t="s">
        <v>54</v>
      </c>
      <c r="E34" s="27">
        <v>1</v>
      </c>
      <c r="F34" s="27">
        <v>2</v>
      </c>
      <c r="G34" s="27">
        <v>2</v>
      </c>
      <c r="H34" s="28">
        <f t="shared" si="3"/>
        <v>261</v>
      </c>
      <c r="I34" s="29">
        <f t="shared" si="0"/>
        <v>87</v>
      </c>
      <c r="J34" s="27">
        <f t="shared" si="1"/>
        <v>8</v>
      </c>
      <c r="K34" s="27" t="str">
        <f t="shared" si="4"/>
        <v>TUNTAS</v>
      </c>
      <c r="L34" s="13" t="str">
        <f t="shared" si="5"/>
        <v xml:space="preserve"> </v>
      </c>
      <c r="M34" s="1"/>
      <c r="N34" s="2">
        <f t="shared" si="6"/>
        <v>8.6999999999999993</v>
      </c>
    </row>
    <row r="35" spans="1:14" ht="15.95" customHeight="1" x14ac:dyDescent="0.25">
      <c r="A35" s="13">
        <v>28</v>
      </c>
      <c r="B35" s="9" t="s">
        <v>3153</v>
      </c>
      <c r="C35" s="10" t="s">
        <v>3154</v>
      </c>
      <c r="D35" s="11" t="s">
        <v>110</v>
      </c>
      <c r="E35" s="27">
        <v>16</v>
      </c>
      <c r="F35" s="27">
        <v>4</v>
      </c>
      <c r="G35" s="27">
        <v>5</v>
      </c>
      <c r="H35" s="28">
        <f t="shared" si="3"/>
        <v>165</v>
      </c>
      <c r="I35" s="29">
        <f t="shared" si="0"/>
        <v>55</v>
      </c>
      <c r="J35" s="27">
        <f t="shared" si="1"/>
        <v>27</v>
      </c>
      <c r="K35" s="27" t="str">
        <f t="shared" si="4"/>
        <v>TIDAK TUNTAS</v>
      </c>
      <c r="L35" s="13" t="str">
        <f t="shared" si="5"/>
        <v xml:space="preserve"> </v>
      </c>
      <c r="M35" s="1"/>
      <c r="N35" s="2">
        <f t="shared" si="6"/>
        <v>5.5</v>
      </c>
    </row>
    <row r="36" spans="1:14" ht="15.95" customHeight="1" x14ac:dyDescent="0.25">
      <c r="A36" s="13">
        <v>29</v>
      </c>
      <c r="B36" s="9" t="s">
        <v>3155</v>
      </c>
      <c r="C36" s="10" t="s">
        <v>3156</v>
      </c>
      <c r="D36" s="11" t="s">
        <v>57</v>
      </c>
      <c r="E36" s="27">
        <v>7</v>
      </c>
      <c r="F36" s="27">
        <v>3</v>
      </c>
      <c r="G36" s="27">
        <v>4</v>
      </c>
      <c r="H36" s="28">
        <f t="shared" si="3"/>
        <v>210</v>
      </c>
      <c r="I36" s="29">
        <f t="shared" si="0"/>
        <v>70</v>
      </c>
      <c r="J36" s="27">
        <f t="shared" si="1"/>
        <v>20</v>
      </c>
      <c r="K36" s="27" t="str">
        <f t="shared" si="4"/>
        <v>TUNTAS</v>
      </c>
      <c r="L36" s="13" t="str">
        <f t="shared" si="5"/>
        <v xml:space="preserve"> </v>
      </c>
      <c r="M36" s="1"/>
      <c r="N36" s="2">
        <f t="shared" si="6"/>
        <v>7</v>
      </c>
    </row>
    <row r="37" spans="1:14" ht="15.95" customHeight="1" x14ac:dyDescent="0.25">
      <c r="A37" s="13">
        <v>30</v>
      </c>
      <c r="B37" s="9" t="s">
        <v>3157</v>
      </c>
      <c r="C37" s="10" t="s">
        <v>492</v>
      </c>
      <c r="D37" s="11" t="s">
        <v>139</v>
      </c>
      <c r="E37" s="27">
        <v>5</v>
      </c>
      <c r="F37" s="27">
        <v>6</v>
      </c>
      <c r="G37" s="27">
        <v>3</v>
      </c>
      <c r="H37" s="28">
        <f t="shared" si="3"/>
        <v>222</v>
      </c>
      <c r="I37" s="29">
        <f t="shared" si="0"/>
        <v>74</v>
      </c>
      <c r="J37" s="27">
        <f t="shared" si="1"/>
        <v>18</v>
      </c>
      <c r="K37" s="27" t="str">
        <f t="shared" si="4"/>
        <v>TUNTAS</v>
      </c>
      <c r="L37" s="13" t="str">
        <f t="shared" si="5"/>
        <v xml:space="preserve"> </v>
      </c>
      <c r="M37" s="1"/>
      <c r="N37" s="2">
        <f t="shared" si="6"/>
        <v>7.4</v>
      </c>
    </row>
    <row r="38" spans="1:14" ht="15.95" customHeight="1" x14ac:dyDescent="0.25">
      <c r="A38" s="13">
        <v>31</v>
      </c>
      <c r="B38" s="9" t="s">
        <v>3158</v>
      </c>
      <c r="C38" s="10" t="s">
        <v>3159</v>
      </c>
      <c r="D38" s="11" t="s">
        <v>64</v>
      </c>
      <c r="E38" s="27">
        <v>0</v>
      </c>
      <c r="F38" s="27">
        <v>0</v>
      </c>
      <c r="G38" s="27">
        <v>1</v>
      </c>
      <c r="H38" s="28">
        <f t="shared" si="3"/>
        <v>285</v>
      </c>
      <c r="I38" s="29">
        <f t="shared" si="0"/>
        <v>95</v>
      </c>
      <c r="J38" s="27">
        <f t="shared" si="1"/>
        <v>3</v>
      </c>
      <c r="K38" s="27" t="str">
        <f t="shared" si="4"/>
        <v>TUNTAS</v>
      </c>
      <c r="L38" s="13" t="str">
        <f t="shared" si="5"/>
        <v xml:space="preserve"> </v>
      </c>
      <c r="M38" s="1"/>
      <c r="N38" s="2">
        <f t="shared" si="6"/>
        <v>9.5</v>
      </c>
    </row>
    <row r="39" spans="1:14" ht="15.95" customHeight="1" x14ac:dyDescent="0.25">
      <c r="A39" s="13">
        <v>32</v>
      </c>
      <c r="B39" s="9" t="s">
        <v>3160</v>
      </c>
      <c r="C39" s="10" t="s">
        <v>3161</v>
      </c>
      <c r="D39" s="11" t="s">
        <v>65</v>
      </c>
      <c r="E39" s="27">
        <v>7</v>
      </c>
      <c r="F39" s="27">
        <v>2</v>
      </c>
      <c r="G39" s="27">
        <v>1</v>
      </c>
      <c r="H39" s="28">
        <f t="shared" si="3"/>
        <v>258</v>
      </c>
      <c r="I39" s="29">
        <f t="shared" si="0"/>
        <v>86</v>
      </c>
      <c r="J39" s="27">
        <f t="shared" si="1"/>
        <v>9</v>
      </c>
      <c r="K39" s="27" t="str">
        <f t="shared" si="4"/>
        <v>TUNTAS</v>
      </c>
      <c r="L39" s="13" t="str">
        <f t="shared" si="5"/>
        <v xml:space="preserve"> </v>
      </c>
      <c r="M39" s="1"/>
      <c r="N39" s="2">
        <f t="shared" si="6"/>
        <v>8.6</v>
      </c>
    </row>
    <row r="40" spans="1:14" ht="15.95" customHeight="1" x14ac:dyDescent="0.25">
      <c r="A40" s="13">
        <v>33</v>
      </c>
      <c r="B40" s="9" t="s">
        <v>3162</v>
      </c>
      <c r="C40" s="10" t="s">
        <v>3163</v>
      </c>
      <c r="D40" s="11" t="s">
        <v>69</v>
      </c>
      <c r="E40" s="27">
        <v>7</v>
      </c>
      <c r="F40" s="27">
        <v>1</v>
      </c>
      <c r="G40" s="27">
        <v>2</v>
      </c>
      <c r="H40" s="28">
        <f t="shared" si="3"/>
        <v>246</v>
      </c>
      <c r="I40" s="29">
        <f t="shared" si="0"/>
        <v>82</v>
      </c>
      <c r="J40" s="27">
        <f t="shared" si="1"/>
        <v>12</v>
      </c>
      <c r="K40" s="27" t="str">
        <f t="shared" si="4"/>
        <v>TUNTAS</v>
      </c>
      <c r="L40" s="13" t="str">
        <f t="shared" si="5"/>
        <v xml:space="preserve"> </v>
      </c>
      <c r="M40" s="1"/>
      <c r="N40" s="2">
        <f t="shared" si="6"/>
        <v>8.1999999999999993</v>
      </c>
    </row>
    <row r="41" spans="1:14" ht="15.95" customHeight="1" x14ac:dyDescent="0.25">
      <c r="A41" s="13">
        <v>34</v>
      </c>
      <c r="B41" s="9" t="s">
        <v>3164</v>
      </c>
      <c r="C41" s="10" t="s">
        <v>3165</v>
      </c>
      <c r="D41" s="11" t="s">
        <v>70</v>
      </c>
      <c r="E41" s="27">
        <v>32</v>
      </c>
      <c r="F41" s="27">
        <v>32</v>
      </c>
      <c r="G41" s="27">
        <v>5</v>
      </c>
      <c r="H41" s="28">
        <f t="shared" si="3"/>
        <v>33</v>
      </c>
      <c r="I41" s="29">
        <f t="shared" si="0"/>
        <v>11</v>
      </c>
      <c r="J41" s="27">
        <f t="shared" si="1"/>
        <v>34</v>
      </c>
      <c r="K41" s="27" t="str">
        <f t="shared" si="4"/>
        <v>TIDAK HADIR</v>
      </c>
      <c r="L41" s="13" t="s">
        <v>3265</v>
      </c>
      <c r="M41" s="1"/>
      <c r="N41" s="2">
        <f t="shared" si="6"/>
        <v>1.1000000000000001</v>
      </c>
    </row>
    <row r="42" spans="1:14" ht="15.95" customHeight="1" x14ac:dyDescent="0.25">
      <c r="A42" s="13">
        <v>35</v>
      </c>
      <c r="B42" s="9" t="s">
        <v>3166</v>
      </c>
      <c r="C42" s="10" t="s">
        <v>3167</v>
      </c>
      <c r="D42" s="11" t="s">
        <v>70</v>
      </c>
      <c r="E42" s="27">
        <v>5</v>
      </c>
      <c r="F42" s="27">
        <v>7</v>
      </c>
      <c r="G42" s="27">
        <v>5</v>
      </c>
      <c r="H42" s="28">
        <f t="shared" si="3"/>
        <v>189</v>
      </c>
      <c r="I42" s="29">
        <f t="shared" si="0"/>
        <v>63</v>
      </c>
      <c r="J42" s="27">
        <f t="shared" si="1"/>
        <v>25</v>
      </c>
      <c r="K42" s="27" t="str">
        <f t="shared" si="4"/>
        <v>TUNTAS</v>
      </c>
      <c r="L42" s="13" t="str">
        <f t="shared" si="5"/>
        <v xml:space="preserve"> </v>
      </c>
      <c r="M42" s="1"/>
      <c r="N42" s="2">
        <f t="shared" si="6"/>
        <v>6.3</v>
      </c>
    </row>
    <row r="43" spans="1:14" ht="15.95" customHeight="1" x14ac:dyDescent="0.25">
      <c r="A43" s="13">
        <v>36</v>
      </c>
      <c r="B43" s="9" t="s">
        <v>3168</v>
      </c>
      <c r="C43" s="10" t="s">
        <v>3169</v>
      </c>
      <c r="D43" s="11" t="s">
        <v>131</v>
      </c>
      <c r="E43" s="27">
        <v>32</v>
      </c>
      <c r="F43" s="27">
        <v>32</v>
      </c>
      <c r="G43" s="27">
        <v>5</v>
      </c>
      <c r="H43" s="28">
        <f t="shared" si="3"/>
        <v>33</v>
      </c>
      <c r="I43" s="29">
        <f t="shared" si="0"/>
        <v>11</v>
      </c>
      <c r="J43" s="27">
        <f t="shared" si="1"/>
        <v>34</v>
      </c>
      <c r="K43" s="27" t="str">
        <f t="shared" si="4"/>
        <v>TIDAK HADIR</v>
      </c>
      <c r="L43" s="13" t="s">
        <v>3265</v>
      </c>
      <c r="M43" s="1"/>
      <c r="N43" s="2">
        <f t="shared" si="6"/>
        <v>1.1000000000000001</v>
      </c>
    </row>
    <row r="44" spans="1:14" ht="15.95" customHeight="1" x14ac:dyDescent="0.25">
      <c r="A44" s="13">
        <v>37</v>
      </c>
      <c r="B44" s="9" t="s">
        <v>3170</v>
      </c>
      <c r="C44" s="10" t="s">
        <v>3171</v>
      </c>
      <c r="D44" s="11" t="s">
        <v>72</v>
      </c>
      <c r="E44" s="27">
        <v>7</v>
      </c>
      <c r="F44" s="27">
        <v>8</v>
      </c>
      <c r="G44" s="27">
        <v>4</v>
      </c>
      <c r="H44" s="28">
        <f>100-E44*3+100-F44*3+100-G44*15</f>
        <v>195</v>
      </c>
      <c r="I44" s="29">
        <f t="shared" si="0"/>
        <v>65</v>
      </c>
      <c r="J44" s="27">
        <f t="shared" si="1"/>
        <v>22</v>
      </c>
      <c r="K44" s="27" t="str">
        <f t="shared" si="4"/>
        <v>TUNTAS</v>
      </c>
      <c r="L44" s="13" t="str">
        <f>IF(G44&gt;5,"TM", " ")</f>
        <v xml:space="preserve"> </v>
      </c>
      <c r="M44" s="1"/>
      <c r="N44" s="2">
        <f t="shared" si="6"/>
        <v>6.5</v>
      </c>
    </row>
    <row r="45" spans="1:14" ht="15.95" customHeight="1" x14ac:dyDescent="0.25">
      <c r="A45" s="13">
        <v>38</v>
      </c>
      <c r="B45" s="9" t="s">
        <v>3172</v>
      </c>
      <c r="C45" s="10" t="s">
        <v>3173</v>
      </c>
      <c r="D45" s="11" t="s">
        <v>73</v>
      </c>
      <c r="E45" s="27">
        <v>9</v>
      </c>
      <c r="F45" s="27">
        <v>12</v>
      </c>
      <c r="G45" s="27">
        <v>3</v>
      </c>
      <c r="H45" s="28">
        <f>100-E45*3+100-F45*3+100-G45*15</f>
        <v>192</v>
      </c>
      <c r="I45" s="29">
        <f t="shared" si="0"/>
        <v>64</v>
      </c>
      <c r="J45" s="27">
        <f t="shared" si="1"/>
        <v>24</v>
      </c>
      <c r="K45" s="27" t="str">
        <f t="shared" si="4"/>
        <v>TUNTAS</v>
      </c>
      <c r="L45" s="13" t="str">
        <f>IF(G45&gt;5,"TM", " ")</f>
        <v xml:space="preserve"> </v>
      </c>
      <c r="M45" s="1"/>
      <c r="N45" s="2">
        <f t="shared" si="6"/>
        <v>6.4</v>
      </c>
    </row>
    <row r="46" spans="1:14" ht="15.95" customHeight="1" x14ac:dyDescent="0.25">
      <c r="A46" s="13">
        <v>39</v>
      </c>
      <c r="B46" s="9" t="s">
        <v>3174</v>
      </c>
      <c r="C46" s="10" t="s">
        <v>3175</v>
      </c>
      <c r="D46" s="11" t="s">
        <v>73</v>
      </c>
      <c r="E46" s="27">
        <v>32</v>
      </c>
      <c r="F46" s="27">
        <v>32</v>
      </c>
      <c r="G46" s="27">
        <v>5</v>
      </c>
      <c r="H46" s="28">
        <f t="shared" si="3"/>
        <v>33</v>
      </c>
      <c r="I46" s="29">
        <f t="shared" si="0"/>
        <v>11</v>
      </c>
      <c r="J46" s="27">
        <f t="shared" si="1"/>
        <v>34</v>
      </c>
      <c r="K46" s="27" t="str">
        <f t="shared" si="4"/>
        <v>TIDAK HADIR</v>
      </c>
      <c r="L46" s="13" t="s">
        <v>3264</v>
      </c>
      <c r="M46" s="1"/>
      <c r="N46" s="2">
        <f t="shared" si="6"/>
        <v>1.1000000000000001</v>
      </c>
    </row>
    <row r="47" spans="1:14" x14ac:dyDescent="0.25">
      <c r="L47" s="2"/>
      <c r="N47" s="2">
        <f t="shared" si="6"/>
        <v>0</v>
      </c>
    </row>
    <row r="48" spans="1:14" x14ac:dyDescent="0.25">
      <c r="L48" s="2"/>
      <c r="N48" s="2">
        <f t="shared" si="6"/>
        <v>0</v>
      </c>
    </row>
    <row r="49" spans="12:14" x14ac:dyDescent="0.25">
      <c r="L49" s="2"/>
      <c r="N49" s="2">
        <f t="shared" si="6"/>
        <v>0</v>
      </c>
    </row>
    <row r="50" spans="12:14" x14ac:dyDescent="0.25">
      <c r="L50" s="2"/>
      <c r="N50" s="2">
        <f t="shared" si="6"/>
        <v>0</v>
      </c>
    </row>
    <row r="51" spans="12:14" x14ac:dyDescent="0.25">
      <c r="L51" s="2"/>
      <c r="N51" s="2">
        <f t="shared" si="6"/>
        <v>0</v>
      </c>
    </row>
    <row r="52" spans="12:14" x14ac:dyDescent="0.25">
      <c r="L52" s="2"/>
      <c r="N52" s="2">
        <f t="shared" si="6"/>
        <v>0</v>
      </c>
    </row>
    <row r="53" spans="12:14" x14ac:dyDescent="0.25">
      <c r="L53" s="2"/>
      <c r="N53" s="2">
        <f t="shared" si="6"/>
        <v>0</v>
      </c>
    </row>
    <row r="54" spans="12:14" x14ac:dyDescent="0.25">
      <c r="L54" s="2"/>
      <c r="N54" s="2">
        <f t="shared" si="6"/>
        <v>0</v>
      </c>
    </row>
    <row r="55" spans="12:14" x14ac:dyDescent="0.25">
      <c r="L55" s="2"/>
    </row>
    <row r="56" spans="12:14" x14ac:dyDescent="0.25">
      <c r="L56" s="2"/>
    </row>
    <row r="57" spans="12:14" x14ac:dyDescent="0.25">
      <c r="L57" s="2"/>
    </row>
    <row r="58" spans="12:14" x14ac:dyDescent="0.25">
      <c r="L58" s="2"/>
    </row>
    <row r="59" spans="12:14" x14ac:dyDescent="0.25">
      <c r="L59" s="2"/>
    </row>
    <row r="60" spans="12:14" x14ac:dyDescent="0.25">
      <c r="L60" s="2"/>
    </row>
  </sheetData>
  <mergeCells count="11">
    <mergeCell ref="A4:I4"/>
    <mergeCell ref="L5:L7"/>
    <mergeCell ref="A5:A7"/>
    <mergeCell ref="B5:B7"/>
    <mergeCell ref="C5:C7"/>
    <mergeCell ref="D5:D7"/>
    <mergeCell ref="E5:G5"/>
    <mergeCell ref="H5:H7"/>
    <mergeCell ref="I5:I7"/>
    <mergeCell ref="J5:J7"/>
    <mergeCell ref="K5:K6"/>
  </mergeCells>
  <conditionalFormatting sqref="D8:D10">
    <cfRule type="cellIs" dxfId="116" priority="9" operator="equal">
      <formula>0</formula>
    </cfRule>
  </conditionalFormatting>
  <conditionalFormatting sqref="I8:I46">
    <cfRule type="cellIs" dxfId="115" priority="3" operator="lessThan">
      <formula>60</formula>
    </cfRule>
    <cfRule type="cellIs" dxfId="114" priority="4" operator="lessThan">
      <formula>60</formula>
    </cfRule>
    <cfRule type="cellIs" dxfId="113" priority="5" operator="lessThan">
      <formula>50</formula>
    </cfRule>
  </conditionalFormatting>
  <conditionalFormatting sqref="K8:K46">
    <cfRule type="cellIs" dxfId="112" priority="1" operator="equal">
      <formula>"TIDAK BACA"</formula>
    </cfRule>
    <cfRule type="cellIs" dxfId="111" priority="2" operator="equal">
      <formula>"TIDAK TUNTAS"</formula>
    </cfRule>
    <cfRule type="cellIs" dxfId="110" priority="6" operator="equal">
      <formula>"TUNTAS"</formula>
    </cfRule>
    <cfRule type="cellIs" dxfId="109" priority="7" operator="equal">
      <formula>"TIDAK HADIR"</formula>
    </cfRule>
    <cfRule type="cellIs" dxfId="108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6596D363-D00E-402A-B9E2-90484CC5552A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2C52-E3EC-4CCA-81EB-A260440ADBCE}">
  <sheetPr>
    <tabColor theme="2" tint="-0.249977111117893"/>
  </sheetPr>
  <dimension ref="A1:N64"/>
  <sheetViews>
    <sheetView zoomScaleNormal="100" workbookViewId="0">
      <pane xSplit="1" ySplit="7" topLeftCell="B53" activePane="bottomRight" state="frozen"/>
      <selection activeCell="P66" sqref="P66"/>
      <selection pane="topRight" activeCell="P66" sqref="P66"/>
      <selection pane="bottomLeft" activeCell="P66" sqref="P66"/>
      <selection pane="bottomRight" activeCell="N8" sqref="N8:N64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837</v>
      </c>
      <c r="C8" s="10" t="s">
        <v>351</v>
      </c>
      <c r="D8" s="11" t="s">
        <v>14</v>
      </c>
      <c r="E8" s="27">
        <v>14</v>
      </c>
      <c r="F8" s="27">
        <v>12</v>
      </c>
      <c r="G8" s="27">
        <v>4</v>
      </c>
      <c r="H8" s="28">
        <f>100-E8*3+100-F8*3+100-G8*15</f>
        <v>162</v>
      </c>
      <c r="I8" s="29">
        <f t="shared" ref="I8:I58" si="0">H8/3</f>
        <v>54</v>
      </c>
      <c r="J8" s="27">
        <f t="shared" ref="J8:J39" si="1">RANK(H8,$H$8:$H$94)</f>
        <v>32</v>
      </c>
      <c r="K8" s="27" t="str">
        <f>IF(I8&lt;11.1,"TIDAK HADIR",IF(I8&lt;13.1,"TIDAK BACA",IF(I8&lt;$K$7,"TIDAK TUNTAS","TUNTAS")))</f>
        <v>TIDAK TUNTAS</v>
      </c>
      <c r="L8" s="13" t="str">
        <f>IF(G8&gt;5,"TM"," ")</f>
        <v xml:space="preserve"> </v>
      </c>
      <c r="M8" s="1"/>
      <c r="N8" s="2">
        <f>I8/10</f>
        <v>5.4</v>
      </c>
    </row>
    <row r="9" spans="1:14" ht="15.95" customHeight="1" x14ac:dyDescent="0.25">
      <c r="A9" s="13">
        <v>2</v>
      </c>
      <c r="B9" s="9" t="s">
        <v>839</v>
      </c>
      <c r="C9" s="10" t="s">
        <v>740</v>
      </c>
      <c r="D9" s="11" t="s">
        <v>100</v>
      </c>
      <c r="E9" s="27">
        <v>7</v>
      </c>
      <c r="F9" s="27">
        <v>5</v>
      </c>
      <c r="G9" s="27">
        <v>2</v>
      </c>
      <c r="H9" s="28">
        <f t="shared" ref="H9:H64" si="2">100-E9*3+100-F9*3+100-G9*15</f>
        <v>234</v>
      </c>
      <c r="I9" s="29">
        <f t="shared" si="0"/>
        <v>78</v>
      </c>
      <c r="J9" s="27">
        <f t="shared" si="1"/>
        <v>11</v>
      </c>
      <c r="K9" s="27" t="str">
        <f t="shared" ref="K9:K64" si="3">IF(I9&lt;11.1,"TIDAK HADIR",IF(I9&lt;13.1,"TIDAK BACA",IF(I9&lt;$K$7,"TIDAK TUNTAS","TUNTAS")))</f>
        <v>TUNTAS</v>
      </c>
      <c r="L9" s="13" t="str">
        <f t="shared" ref="L9:L64" si="4">IF(G9&gt;5,"TM"," ")</f>
        <v xml:space="preserve"> </v>
      </c>
      <c r="M9" s="1"/>
      <c r="N9" s="2">
        <f t="shared" ref="N9:N64" si="5">I9/10</f>
        <v>7.8</v>
      </c>
    </row>
    <row r="10" spans="1:14" ht="15.95" customHeight="1" x14ac:dyDescent="0.25">
      <c r="A10" s="13">
        <v>3</v>
      </c>
      <c r="B10" s="9" t="s">
        <v>841</v>
      </c>
      <c r="C10" s="10" t="s">
        <v>641</v>
      </c>
      <c r="D10" s="11" t="s">
        <v>15</v>
      </c>
      <c r="E10" s="27">
        <v>31</v>
      </c>
      <c r="F10" s="27">
        <v>31</v>
      </c>
      <c r="G10" s="27">
        <v>5</v>
      </c>
      <c r="H10" s="28">
        <f t="shared" si="2"/>
        <v>39</v>
      </c>
      <c r="I10" s="29">
        <f>H10/3</f>
        <v>13</v>
      </c>
      <c r="J10" s="27">
        <f t="shared" si="1"/>
        <v>54</v>
      </c>
      <c r="K10" s="27" t="str">
        <f t="shared" si="3"/>
        <v>TIDAK BACA</v>
      </c>
      <c r="L10" s="13" t="str">
        <f t="shared" si="4"/>
        <v xml:space="preserve"> </v>
      </c>
      <c r="M10" s="1"/>
      <c r="N10" s="2">
        <f t="shared" si="5"/>
        <v>1.3</v>
      </c>
    </row>
    <row r="11" spans="1:14" ht="15.95" customHeight="1" x14ac:dyDescent="0.25">
      <c r="A11" s="13">
        <v>4</v>
      </c>
      <c r="B11" s="9" t="s">
        <v>843</v>
      </c>
      <c r="C11" s="10" t="s">
        <v>252</v>
      </c>
      <c r="D11" s="11" t="s">
        <v>19</v>
      </c>
      <c r="E11" s="27">
        <v>8</v>
      </c>
      <c r="F11" s="27">
        <v>3</v>
      </c>
      <c r="G11" s="27">
        <v>2</v>
      </c>
      <c r="H11" s="28">
        <f t="shared" si="2"/>
        <v>237</v>
      </c>
      <c r="I11" s="29">
        <f t="shared" si="0"/>
        <v>79</v>
      </c>
      <c r="J11" s="27">
        <f t="shared" si="1"/>
        <v>9</v>
      </c>
      <c r="K11" s="27" t="str">
        <f t="shared" si="3"/>
        <v>TUNTAS</v>
      </c>
      <c r="L11" s="13" t="str">
        <f t="shared" si="4"/>
        <v xml:space="preserve"> </v>
      </c>
      <c r="M11" s="1"/>
      <c r="N11" s="2">
        <f t="shared" si="5"/>
        <v>7.9</v>
      </c>
    </row>
    <row r="12" spans="1:14" ht="15.95" customHeight="1" x14ac:dyDescent="0.25">
      <c r="A12" s="13">
        <v>5</v>
      </c>
      <c r="B12" s="9" t="s">
        <v>845</v>
      </c>
      <c r="C12" s="10" t="s">
        <v>157</v>
      </c>
      <c r="D12" s="11" t="s">
        <v>22</v>
      </c>
      <c r="E12" s="27">
        <v>14</v>
      </c>
      <c r="F12" s="27">
        <v>11</v>
      </c>
      <c r="G12" s="27">
        <v>4</v>
      </c>
      <c r="H12" s="28">
        <f t="shared" si="2"/>
        <v>165</v>
      </c>
      <c r="I12" s="29">
        <f t="shared" si="0"/>
        <v>55</v>
      </c>
      <c r="J12" s="27">
        <f t="shared" si="1"/>
        <v>30</v>
      </c>
      <c r="K12" s="27" t="str">
        <f t="shared" si="3"/>
        <v>TIDAK TUNTAS</v>
      </c>
      <c r="L12" s="13" t="str">
        <f t="shared" si="4"/>
        <v xml:space="preserve"> </v>
      </c>
      <c r="M12" s="1"/>
      <c r="N12" s="2">
        <f t="shared" si="5"/>
        <v>5.5</v>
      </c>
    </row>
    <row r="13" spans="1:14" ht="15.95" customHeight="1" x14ac:dyDescent="0.25">
      <c r="A13" s="13">
        <v>6</v>
      </c>
      <c r="B13" s="9" t="s">
        <v>846</v>
      </c>
      <c r="C13" s="10" t="s">
        <v>3176</v>
      </c>
      <c r="D13" s="11" t="s">
        <v>23</v>
      </c>
      <c r="E13" s="27">
        <v>13</v>
      </c>
      <c r="F13" s="27">
        <v>4</v>
      </c>
      <c r="G13" s="27">
        <v>3</v>
      </c>
      <c r="H13" s="28">
        <f t="shared" si="2"/>
        <v>204</v>
      </c>
      <c r="I13" s="29">
        <f t="shared" si="0"/>
        <v>68</v>
      </c>
      <c r="J13" s="27">
        <f t="shared" si="1"/>
        <v>20</v>
      </c>
      <c r="K13" s="27" t="str">
        <f t="shared" si="3"/>
        <v>TUNTAS</v>
      </c>
      <c r="L13" s="13" t="str">
        <f t="shared" si="4"/>
        <v xml:space="preserve"> </v>
      </c>
      <c r="M13" s="1"/>
      <c r="N13" s="2">
        <f t="shared" si="5"/>
        <v>6.8</v>
      </c>
    </row>
    <row r="14" spans="1:14" ht="15.95" customHeight="1" x14ac:dyDescent="0.25">
      <c r="A14" s="13">
        <v>7</v>
      </c>
      <c r="B14" s="9" t="s">
        <v>848</v>
      </c>
      <c r="C14" s="10" t="s">
        <v>658</v>
      </c>
      <c r="D14" s="11" t="s">
        <v>145</v>
      </c>
      <c r="E14" s="27">
        <v>25</v>
      </c>
      <c r="F14" s="27">
        <v>23</v>
      </c>
      <c r="G14" s="27">
        <v>6</v>
      </c>
      <c r="H14" s="28">
        <f t="shared" si="2"/>
        <v>66</v>
      </c>
      <c r="I14" s="29">
        <f t="shared" si="0"/>
        <v>22</v>
      </c>
      <c r="J14" s="27">
        <f t="shared" si="1"/>
        <v>49</v>
      </c>
      <c r="K14" s="27" t="str">
        <f t="shared" si="3"/>
        <v>TIDAK TUNTAS</v>
      </c>
      <c r="L14" s="13" t="str">
        <f>IF(G14&gt;5,"TM"," ")</f>
        <v>TM</v>
      </c>
      <c r="M14" s="1"/>
      <c r="N14" s="2">
        <f t="shared" si="5"/>
        <v>2.2000000000000002</v>
      </c>
    </row>
    <row r="15" spans="1:14" ht="15.95" customHeight="1" x14ac:dyDescent="0.25">
      <c r="A15" s="13">
        <v>8</v>
      </c>
      <c r="B15" s="9" t="s">
        <v>850</v>
      </c>
      <c r="C15" s="17" t="s">
        <v>259</v>
      </c>
      <c r="D15" s="18" t="s">
        <v>124</v>
      </c>
      <c r="E15" s="27">
        <v>32</v>
      </c>
      <c r="F15" s="27">
        <v>32</v>
      </c>
      <c r="G15" s="27">
        <v>5</v>
      </c>
      <c r="H15" s="28">
        <f t="shared" si="2"/>
        <v>33</v>
      </c>
      <c r="I15" s="29">
        <f t="shared" si="0"/>
        <v>11</v>
      </c>
      <c r="J15" s="27">
        <f t="shared" si="1"/>
        <v>55</v>
      </c>
      <c r="K15" s="27" t="str">
        <f t="shared" si="3"/>
        <v>TIDAK HADIR</v>
      </c>
      <c r="L15" s="13" t="s">
        <v>3264</v>
      </c>
      <c r="M15" s="1"/>
      <c r="N15" s="2">
        <f t="shared" si="5"/>
        <v>1.1000000000000001</v>
      </c>
    </row>
    <row r="16" spans="1:14" ht="15.95" customHeight="1" x14ac:dyDescent="0.25">
      <c r="A16" s="13">
        <v>9</v>
      </c>
      <c r="B16" s="9" t="s">
        <v>852</v>
      </c>
      <c r="C16" s="10" t="s">
        <v>261</v>
      </c>
      <c r="D16" s="11" t="s">
        <v>25</v>
      </c>
      <c r="E16" s="27">
        <v>11</v>
      </c>
      <c r="F16" s="27">
        <v>9</v>
      </c>
      <c r="G16" s="27">
        <v>4</v>
      </c>
      <c r="H16" s="28">
        <f t="shared" si="2"/>
        <v>180</v>
      </c>
      <c r="I16" s="29">
        <f t="shared" si="0"/>
        <v>60</v>
      </c>
      <c r="J16" s="27">
        <f t="shared" si="1"/>
        <v>24</v>
      </c>
      <c r="K16" s="27" t="str">
        <f t="shared" si="3"/>
        <v>TUNTAS</v>
      </c>
      <c r="L16" s="13" t="str">
        <f t="shared" si="4"/>
        <v xml:space="preserve"> </v>
      </c>
      <c r="M16" s="1"/>
      <c r="N16" s="2">
        <f t="shared" si="5"/>
        <v>6</v>
      </c>
    </row>
    <row r="17" spans="1:14" ht="15.95" customHeight="1" x14ac:dyDescent="0.25">
      <c r="A17" s="13">
        <v>10</v>
      </c>
      <c r="B17" s="9" t="s">
        <v>854</v>
      </c>
      <c r="C17" s="10" t="s">
        <v>371</v>
      </c>
      <c r="D17" s="11" t="s">
        <v>101</v>
      </c>
      <c r="E17" s="27">
        <v>28</v>
      </c>
      <c r="F17" s="27">
        <v>26</v>
      </c>
      <c r="G17" s="27">
        <v>6</v>
      </c>
      <c r="H17" s="28">
        <f t="shared" si="2"/>
        <v>48</v>
      </c>
      <c r="I17" s="29">
        <f t="shared" si="0"/>
        <v>16</v>
      </c>
      <c r="J17" s="27">
        <f t="shared" si="1"/>
        <v>53</v>
      </c>
      <c r="K17" s="27" t="str">
        <f t="shared" si="3"/>
        <v>TIDAK TUNTAS</v>
      </c>
      <c r="L17" s="13" t="str">
        <f t="shared" si="4"/>
        <v>TM</v>
      </c>
      <c r="M17" s="1"/>
      <c r="N17" s="2">
        <f t="shared" si="5"/>
        <v>1.6</v>
      </c>
    </row>
    <row r="18" spans="1:14" ht="15.95" customHeight="1" x14ac:dyDescent="0.25">
      <c r="A18" s="13">
        <v>11</v>
      </c>
      <c r="B18" s="9" t="s">
        <v>856</v>
      </c>
      <c r="C18" s="17" t="s">
        <v>662</v>
      </c>
      <c r="D18" s="18" t="s">
        <v>75</v>
      </c>
      <c r="E18" s="27">
        <v>17</v>
      </c>
      <c r="F18" s="27">
        <v>18</v>
      </c>
      <c r="G18" s="27">
        <v>4</v>
      </c>
      <c r="H18" s="28">
        <f t="shared" si="2"/>
        <v>135</v>
      </c>
      <c r="I18" s="29">
        <f t="shared" si="0"/>
        <v>45</v>
      </c>
      <c r="J18" s="27">
        <f t="shared" si="1"/>
        <v>41</v>
      </c>
      <c r="K18" s="27" t="str">
        <f t="shared" si="3"/>
        <v>TIDAK TUNTAS</v>
      </c>
      <c r="L18" s="13" t="str">
        <f t="shared" si="4"/>
        <v xml:space="preserve"> </v>
      </c>
      <c r="M18" s="1"/>
      <c r="N18" s="2">
        <f t="shared" si="5"/>
        <v>4.5</v>
      </c>
    </row>
    <row r="19" spans="1:14" ht="15.95" customHeight="1" x14ac:dyDescent="0.25">
      <c r="A19" s="13">
        <v>12</v>
      </c>
      <c r="B19" s="9" t="s">
        <v>857</v>
      </c>
      <c r="C19" s="17" t="s">
        <v>1183</v>
      </c>
      <c r="D19" s="18" t="s">
        <v>146</v>
      </c>
      <c r="E19" s="27">
        <v>19</v>
      </c>
      <c r="F19" s="27">
        <v>21</v>
      </c>
      <c r="G19" s="27">
        <v>6</v>
      </c>
      <c r="H19" s="28">
        <f t="shared" si="2"/>
        <v>90</v>
      </c>
      <c r="I19" s="29">
        <f t="shared" si="0"/>
        <v>30</v>
      </c>
      <c r="J19" s="27">
        <f t="shared" si="1"/>
        <v>48</v>
      </c>
      <c r="K19" s="27" t="str">
        <f t="shared" si="3"/>
        <v>TIDAK TUNTAS</v>
      </c>
      <c r="L19" s="13" t="str">
        <f t="shared" si="4"/>
        <v>TM</v>
      </c>
      <c r="M19" s="1"/>
      <c r="N19" s="2">
        <f t="shared" si="5"/>
        <v>3</v>
      </c>
    </row>
    <row r="20" spans="1:14" ht="15.95" customHeight="1" x14ac:dyDescent="0.25">
      <c r="A20" s="13">
        <v>13</v>
      </c>
      <c r="B20" s="9" t="s">
        <v>859</v>
      </c>
      <c r="C20" s="10" t="s">
        <v>467</v>
      </c>
      <c r="D20" s="11" t="s">
        <v>76</v>
      </c>
      <c r="E20" s="27">
        <v>15</v>
      </c>
      <c r="F20" s="27">
        <v>17</v>
      </c>
      <c r="G20" s="27">
        <v>4</v>
      </c>
      <c r="H20" s="28">
        <f t="shared" si="2"/>
        <v>144</v>
      </c>
      <c r="I20" s="29">
        <f t="shared" si="0"/>
        <v>48</v>
      </c>
      <c r="J20" s="27">
        <f t="shared" si="1"/>
        <v>37</v>
      </c>
      <c r="K20" s="27" t="str">
        <f t="shared" si="3"/>
        <v>TIDAK TUNTAS</v>
      </c>
      <c r="L20" s="13" t="str">
        <f t="shared" si="4"/>
        <v xml:space="preserve"> </v>
      </c>
      <c r="M20" s="1"/>
      <c r="N20" s="2">
        <f t="shared" si="5"/>
        <v>4.8</v>
      </c>
    </row>
    <row r="21" spans="1:14" ht="15.95" customHeight="1" x14ac:dyDescent="0.25">
      <c r="A21" s="13">
        <v>14</v>
      </c>
      <c r="B21" s="9" t="s">
        <v>861</v>
      </c>
      <c r="C21" s="10" t="s">
        <v>171</v>
      </c>
      <c r="D21" s="11" t="s">
        <v>125</v>
      </c>
      <c r="E21" s="27">
        <v>15</v>
      </c>
      <c r="F21" s="27">
        <v>10</v>
      </c>
      <c r="G21" s="27">
        <v>3</v>
      </c>
      <c r="H21" s="28">
        <f t="shared" si="2"/>
        <v>180</v>
      </c>
      <c r="I21" s="29">
        <f t="shared" si="0"/>
        <v>60</v>
      </c>
      <c r="J21" s="27">
        <f t="shared" si="1"/>
        <v>24</v>
      </c>
      <c r="K21" s="27" t="str">
        <f t="shared" si="3"/>
        <v>TUNTAS</v>
      </c>
      <c r="L21" s="13" t="str">
        <f t="shared" si="4"/>
        <v xml:space="preserve"> </v>
      </c>
      <c r="M21" s="1"/>
      <c r="N21" s="2">
        <f t="shared" si="5"/>
        <v>6</v>
      </c>
    </row>
    <row r="22" spans="1:14" ht="15.95" customHeight="1" x14ac:dyDescent="0.25">
      <c r="A22" s="13">
        <v>15</v>
      </c>
      <c r="B22" s="9" t="s">
        <v>863</v>
      </c>
      <c r="C22" s="10" t="s">
        <v>765</v>
      </c>
      <c r="D22" s="11" t="s">
        <v>33</v>
      </c>
      <c r="E22" s="27">
        <v>6</v>
      </c>
      <c r="F22" s="27">
        <v>3</v>
      </c>
      <c r="G22" s="27">
        <v>3</v>
      </c>
      <c r="H22" s="28">
        <f t="shared" si="2"/>
        <v>228</v>
      </c>
      <c r="I22" s="29">
        <f t="shared" si="0"/>
        <v>76</v>
      </c>
      <c r="J22" s="27">
        <f t="shared" si="1"/>
        <v>17</v>
      </c>
      <c r="K22" s="27" t="str">
        <f t="shared" si="3"/>
        <v>TUNTAS</v>
      </c>
      <c r="L22" s="13" t="str">
        <f t="shared" si="4"/>
        <v xml:space="preserve"> </v>
      </c>
      <c r="M22" s="1"/>
      <c r="N22" s="2">
        <f t="shared" si="5"/>
        <v>7.6</v>
      </c>
    </row>
    <row r="23" spans="1:14" ht="15.95" customHeight="1" x14ac:dyDescent="0.25">
      <c r="A23" s="13">
        <v>16</v>
      </c>
      <c r="B23" s="9" t="s">
        <v>865</v>
      </c>
      <c r="C23" s="10" t="s">
        <v>566</v>
      </c>
      <c r="D23" s="11" t="s">
        <v>79</v>
      </c>
      <c r="E23" s="27">
        <v>5</v>
      </c>
      <c r="F23" s="27">
        <v>2</v>
      </c>
      <c r="G23" s="27">
        <v>2</v>
      </c>
      <c r="H23" s="28">
        <f t="shared" si="2"/>
        <v>249</v>
      </c>
      <c r="I23" s="29">
        <f t="shared" si="0"/>
        <v>83</v>
      </c>
      <c r="J23" s="27">
        <f t="shared" si="1"/>
        <v>5</v>
      </c>
      <c r="K23" s="27" t="str">
        <f t="shared" si="3"/>
        <v>TUNTAS</v>
      </c>
      <c r="L23" s="13" t="str">
        <f t="shared" si="4"/>
        <v xml:space="preserve"> </v>
      </c>
      <c r="M23" s="1"/>
      <c r="N23" s="2">
        <f t="shared" si="5"/>
        <v>8.3000000000000007</v>
      </c>
    </row>
    <row r="24" spans="1:14" ht="15.95" customHeight="1" x14ac:dyDescent="0.25">
      <c r="A24" s="13">
        <v>17</v>
      </c>
      <c r="B24" s="9" t="s">
        <v>867</v>
      </c>
      <c r="C24" s="10" t="s">
        <v>3177</v>
      </c>
      <c r="D24" s="11" t="s">
        <v>35</v>
      </c>
      <c r="E24" s="27">
        <v>8</v>
      </c>
      <c r="F24" s="27">
        <v>8</v>
      </c>
      <c r="G24" s="27">
        <v>5</v>
      </c>
      <c r="H24" s="28">
        <f t="shared" si="2"/>
        <v>177</v>
      </c>
      <c r="I24" s="29">
        <f t="shared" si="0"/>
        <v>59</v>
      </c>
      <c r="J24" s="27">
        <f t="shared" si="1"/>
        <v>28</v>
      </c>
      <c r="K24" s="27" t="str">
        <f t="shared" si="3"/>
        <v>TIDAK TUNTAS</v>
      </c>
      <c r="L24" s="13" t="str">
        <f t="shared" si="4"/>
        <v xml:space="preserve"> </v>
      </c>
      <c r="M24" s="1"/>
      <c r="N24" s="2">
        <f t="shared" si="5"/>
        <v>5.9</v>
      </c>
    </row>
    <row r="25" spans="1:14" ht="15.95" customHeight="1" x14ac:dyDescent="0.25">
      <c r="A25" s="30">
        <v>18</v>
      </c>
      <c r="B25" s="9" t="s">
        <v>869</v>
      </c>
      <c r="C25" s="10" t="s">
        <v>773</v>
      </c>
      <c r="D25" s="11" t="s">
        <v>93</v>
      </c>
      <c r="E25" s="27">
        <v>5</v>
      </c>
      <c r="F25" s="27">
        <v>2</v>
      </c>
      <c r="G25" s="27">
        <v>3</v>
      </c>
      <c r="H25" s="28">
        <f t="shared" si="2"/>
        <v>234</v>
      </c>
      <c r="I25" s="29">
        <f t="shared" si="0"/>
        <v>78</v>
      </c>
      <c r="J25" s="27">
        <f t="shared" si="1"/>
        <v>11</v>
      </c>
      <c r="K25" s="27" t="str">
        <f t="shared" si="3"/>
        <v>TUNTAS</v>
      </c>
      <c r="L25" s="13" t="str">
        <f t="shared" si="4"/>
        <v xml:space="preserve"> </v>
      </c>
      <c r="M25" s="1"/>
      <c r="N25" s="2">
        <f t="shared" si="5"/>
        <v>7.8</v>
      </c>
    </row>
    <row r="26" spans="1:14" ht="15.95" customHeight="1" x14ac:dyDescent="0.25">
      <c r="A26" s="13">
        <v>19</v>
      </c>
      <c r="B26" s="9" t="s">
        <v>871</v>
      </c>
      <c r="C26" s="10" t="s">
        <v>386</v>
      </c>
      <c r="D26" s="11" t="s">
        <v>36</v>
      </c>
      <c r="E26" s="27">
        <v>15</v>
      </c>
      <c r="F26" s="27">
        <v>10</v>
      </c>
      <c r="G26" s="27">
        <v>4</v>
      </c>
      <c r="H26" s="28">
        <f t="shared" si="2"/>
        <v>165</v>
      </c>
      <c r="I26" s="29">
        <f t="shared" si="0"/>
        <v>55</v>
      </c>
      <c r="J26" s="27">
        <f t="shared" si="1"/>
        <v>30</v>
      </c>
      <c r="K26" s="27" t="str">
        <f t="shared" si="3"/>
        <v>TIDAK TUNTAS</v>
      </c>
      <c r="L26" s="13" t="str">
        <f t="shared" si="4"/>
        <v xml:space="preserve"> </v>
      </c>
      <c r="M26" s="1"/>
      <c r="N26" s="2">
        <f t="shared" si="5"/>
        <v>5.5</v>
      </c>
    </row>
    <row r="27" spans="1:14" ht="15.95" customHeight="1" x14ac:dyDescent="0.25">
      <c r="A27" s="13">
        <v>20</v>
      </c>
      <c r="B27" s="9" t="s">
        <v>873</v>
      </c>
      <c r="C27" s="10" t="s">
        <v>181</v>
      </c>
      <c r="D27" s="11" t="s">
        <v>126</v>
      </c>
      <c r="E27" s="27">
        <v>20</v>
      </c>
      <c r="F27" s="27">
        <v>16</v>
      </c>
      <c r="G27" s="27">
        <v>5</v>
      </c>
      <c r="H27" s="28">
        <f t="shared" si="2"/>
        <v>117</v>
      </c>
      <c r="I27" s="29">
        <f t="shared" si="0"/>
        <v>39</v>
      </c>
      <c r="J27" s="27">
        <f t="shared" si="1"/>
        <v>45</v>
      </c>
      <c r="K27" s="27" t="str">
        <f t="shared" si="3"/>
        <v>TIDAK TUNTAS</v>
      </c>
      <c r="L27" s="13" t="str">
        <f t="shared" si="4"/>
        <v xml:space="preserve"> </v>
      </c>
      <c r="M27" s="1"/>
      <c r="N27" s="2">
        <f t="shared" si="5"/>
        <v>3.9</v>
      </c>
    </row>
    <row r="28" spans="1:14" ht="15.95" customHeight="1" x14ac:dyDescent="0.25">
      <c r="A28" s="13">
        <v>21</v>
      </c>
      <c r="B28" s="9" t="s">
        <v>874</v>
      </c>
      <c r="C28" s="10" t="s">
        <v>880</v>
      </c>
      <c r="D28" s="11" t="s">
        <v>37</v>
      </c>
      <c r="E28" s="27">
        <v>8</v>
      </c>
      <c r="F28" s="27">
        <v>1</v>
      </c>
      <c r="G28" s="27">
        <v>3</v>
      </c>
      <c r="H28" s="28">
        <f t="shared" si="2"/>
        <v>228</v>
      </c>
      <c r="I28" s="29">
        <f t="shared" si="0"/>
        <v>76</v>
      </c>
      <c r="J28" s="27">
        <f t="shared" si="1"/>
        <v>17</v>
      </c>
      <c r="K28" s="27" t="str">
        <f t="shared" si="3"/>
        <v>TUNTAS</v>
      </c>
      <c r="L28" s="13" t="str">
        <f t="shared" si="4"/>
        <v xml:space="preserve"> </v>
      </c>
      <c r="M28" s="1"/>
      <c r="N28" s="2">
        <f t="shared" si="5"/>
        <v>7.6</v>
      </c>
    </row>
    <row r="29" spans="1:14" ht="15.95" customHeight="1" x14ac:dyDescent="0.25">
      <c r="A29" s="13">
        <v>22</v>
      </c>
      <c r="B29" s="9" t="s">
        <v>876</v>
      </c>
      <c r="C29" s="10" t="s">
        <v>681</v>
      </c>
      <c r="D29" s="11" t="s">
        <v>37</v>
      </c>
      <c r="E29" s="27">
        <v>15</v>
      </c>
      <c r="F29" s="27">
        <v>5</v>
      </c>
      <c r="G29" s="27">
        <v>4</v>
      </c>
      <c r="H29" s="28">
        <f t="shared" si="2"/>
        <v>180</v>
      </c>
      <c r="I29" s="29">
        <f t="shared" si="0"/>
        <v>60</v>
      </c>
      <c r="J29" s="27">
        <f t="shared" si="1"/>
        <v>24</v>
      </c>
      <c r="K29" s="27" t="str">
        <f t="shared" si="3"/>
        <v>TUNTAS</v>
      </c>
      <c r="L29" s="13" t="str">
        <f t="shared" si="4"/>
        <v xml:space="preserve"> </v>
      </c>
      <c r="M29" s="1"/>
      <c r="N29" s="2">
        <f t="shared" si="5"/>
        <v>6</v>
      </c>
    </row>
    <row r="30" spans="1:14" ht="15.95" customHeight="1" x14ac:dyDescent="0.25">
      <c r="A30" s="13">
        <v>23</v>
      </c>
      <c r="B30" s="9" t="s">
        <v>877</v>
      </c>
      <c r="C30" s="10" t="s">
        <v>104</v>
      </c>
      <c r="D30" s="11" t="s">
        <v>40</v>
      </c>
      <c r="E30" s="27">
        <v>16</v>
      </c>
      <c r="F30" s="27">
        <v>11</v>
      </c>
      <c r="G30" s="27">
        <v>5</v>
      </c>
      <c r="H30" s="28">
        <f t="shared" si="2"/>
        <v>144</v>
      </c>
      <c r="I30" s="29">
        <f t="shared" si="0"/>
        <v>48</v>
      </c>
      <c r="J30" s="27">
        <f t="shared" si="1"/>
        <v>37</v>
      </c>
      <c r="K30" s="27" t="str">
        <f t="shared" si="3"/>
        <v>TIDAK TUNTAS</v>
      </c>
      <c r="L30" s="13" t="str">
        <f t="shared" si="4"/>
        <v xml:space="preserve"> </v>
      </c>
      <c r="M30" s="1"/>
      <c r="N30" s="2">
        <f t="shared" si="5"/>
        <v>4.8</v>
      </c>
    </row>
    <row r="31" spans="1:14" ht="15.95" customHeight="1" x14ac:dyDescent="0.25">
      <c r="A31" s="13">
        <v>24</v>
      </c>
      <c r="B31" s="9" t="s">
        <v>879</v>
      </c>
      <c r="C31" s="10" t="s">
        <v>398</v>
      </c>
      <c r="D31" s="11" t="s">
        <v>287</v>
      </c>
      <c r="E31" s="27">
        <v>7</v>
      </c>
      <c r="F31" s="27">
        <v>1</v>
      </c>
      <c r="G31" s="27">
        <v>3</v>
      </c>
      <c r="H31" s="28">
        <f t="shared" si="2"/>
        <v>231</v>
      </c>
      <c r="I31" s="29">
        <f t="shared" si="0"/>
        <v>77</v>
      </c>
      <c r="J31" s="27">
        <f t="shared" si="1"/>
        <v>15</v>
      </c>
      <c r="K31" s="27" t="str">
        <f t="shared" si="3"/>
        <v>TUNTAS</v>
      </c>
      <c r="L31" s="13" t="str">
        <f t="shared" si="4"/>
        <v xml:space="preserve"> </v>
      </c>
      <c r="M31" s="1"/>
      <c r="N31" s="2">
        <f t="shared" si="5"/>
        <v>7.7</v>
      </c>
    </row>
    <row r="32" spans="1:14" ht="15.95" customHeight="1" x14ac:dyDescent="0.25">
      <c r="A32" s="13">
        <v>25</v>
      </c>
      <c r="B32" s="9" t="s">
        <v>881</v>
      </c>
      <c r="C32" s="10" t="s">
        <v>781</v>
      </c>
      <c r="D32" s="11" t="s">
        <v>41</v>
      </c>
      <c r="E32" s="27">
        <v>3</v>
      </c>
      <c r="F32" s="27">
        <v>0</v>
      </c>
      <c r="G32" s="27">
        <v>3</v>
      </c>
      <c r="H32" s="28">
        <f t="shared" si="2"/>
        <v>246</v>
      </c>
      <c r="I32" s="29">
        <f t="shared" si="0"/>
        <v>82</v>
      </c>
      <c r="J32" s="27">
        <f t="shared" si="1"/>
        <v>6</v>
      </c>
      <c r="K32" s="27" t="str">
        <f t="shared" si="3"/>
        <v>TUNTAS</v>
      </c>
      <c r="L32" s="13" t="str">
        <f t="shared" si="4"/>
        <v xml:space="preserve"> </v>
      </c>
      <c r="M32" s="1"/>
      <c r="N32" s="2">
        <f t="shared" si="5"/>
        <v>8.1999999999999993</v>
      </c>
    </row>
    <row r="33" spans="1:14" ht="15.95" customHeight="1" x14ac:dyDescent="0.25">
      <c r="A33" s="13">
        <v>26</v>
      </c>
      <c r="B33" s="9" t="s">
        <v>883</v>
      </c>
      <c r="C33" s="10" t="s">
        <v>783</v>
      </c>
      <c r="D33" s="11" t="s">
        <v>106</v>
      </c>
      <c r="E33" s="27">
        <v>15</v>
      </c>
      <c r="F33" s="27">
        <v>12</v>
      </c>
      <c r="G33" s="27">
        <v>4</v>
      </c>
      <c r="H33" s="28">
        <f t="shared" si="2"/>
        <v>159</v>
      </c>
      <c r="I33" s="29">
        <f t="shared" si="0"/>
        <v>53</v>
      </c>
      <c r="J33" s="27">
        <f t="shared" si="1"/>
        <v>33</v>
      </c>
      <c r="K33" s="27" t="str">
        <f t="shared" si="3"/>
        <v>TIDAK TUNTAS</v>
      </c>
      <c r="L33" s="13" t="str">
        <f t="shared" si="4"/>
        <v xml:space="preserve"> </v>
      </c>
      <c r="M33" s="1"/>
      <c r="N33" s="2">
        <f t="shared" si="5"/>
        <v>5.3</v>
      </c>
    </row>
    <row r="34" spans="1:14" ht="15.95" customHeight="1" x14ac:dyDescent="0.25">
      <c r="A34" s="13">
        <v>27</v>
      </c>
      <c r="B34" s="9" t="s">
        <v>885</v>
      </c>
      <c r="C34" s="10" t="s">
        <v>590</v>
      </c>
      <c r="D34" s="11" t="s">
        <v>82</v>
      </c>
      <c r="E34" s="27">
        <v>12</v>
      </c>
      <c r="F34" s="27">
        <v>16</v>
      </c>
      <c r="G34" s="27">
        <v>6</v>
      </c>
      <c r="H34" s="28">
        <f t="shared" si="2"/>
        <v>126</v>
      </c>
      <c r="I34" s="29">
        <f t="shared" si="0"/>
        <v>42</v>
      </c>
      <c r="J34" s="27">
        <f t="shared" si="1"/>
        <v>43</v>
      </c>
      <c r="K34" s="27" t="str">
        <f t="shared" si="3"/>
        <v>TIDAK TUNTAS</v>
      </c>
      <c r="L34" s="13" t="str">
        <f t="shared" si="4"/>
        <v>TM</v>
      </c>
      <c r="M34" s="1"/>
      <c r="N34" s="2">
        <f t="shared" si="5"/>
        <v>4.2</v>
      </c>
    </row>
    <row r="35" spans="1:14" ht="15.95" customHeight="1" x14ac:dyDescent="0.25">
      <c r="A35" s="13">
        <v>28</v>
      </c>
      <c r="B35" s="9" t="s">
        <v>886</v>
      </c>
      <c r="C35" s="10" t="s">
        <v>3178</v>
      </c>
      <c r="D35" s="11" t="s">
        <v>135</v>
      </c>
      <c r="E35" s="27">
        <v>9</v>
      </c>
      <c r="F35" s="27">
        <v>11</v>
      </c>
      <c r="G35" s="27">
        <v>4</v>
      </c>
      <c r="H35" s="28">
        <f t="shared" si="2"/>
        <v>180</v>
      </c>
      <c r="I35" s="29">
        <f t="shared" si="0"/>
        <v>60</v>
      </c>
      <c r="J35" s="27">
        <f t="shared" si="1"/>
        <v>24</v>
      </c>
      <c r="K35" s="27" t="str">
        <f t="shared" si="3"/>
        <v>TUNTAS</v>
      </c>
      <c r="L35" s="13" t="str">
        <f t="shared" si="4"/>
        <v xml:space="preserve"> </v>
      </c>
      <c r="M35" s="1"/>
      <c r="N35" s="2">
        <f t="shared" si="5"/>
        <v>6</v>
      </c>
    </row>
    <row r="36" spans="1:14" ht="15.95" customHeight="1" x14ac:dyDescent="0.25">
      <c r="A36" s="13">
        <v>29</v>
      </c>
      <c r="B36" s="9" t="s">
        <v>887</v>
      </c>
      <c r="C36" s="10" t="s">
        <v>406</v>
      </c>
      <c r="D36" s="11" t="s">
        <v>45</v>
      </c>
      <c r="E36" s="27">
        <v>1</v>
      </c>
      <c r="F36" s="27">
        <v>2</v>
      </c>
      <c r="G36" s="27">
        <v>0</v>
      </c>
      <c r="H36" s="28">
        <f t="shared" si="2"/>
        <v>291</v>
      </c>
      <c r="I36" s="29">
        <f t="shared" si="0"/>
        <v>97</v>
      </c>
      <c r="J36" s="27">
        <f t="shared" si="1"/>
        <v>2</v>
      </c>
      <c r="K36" s="27" t="str">
        <f t="shared" si="3"/>
        <v>TUNTAS</v>
      </c>
      <c r="L36" s="13" t="str">
        <f t="shared" si="4"/>
        <v xml:space="preserve"> </v>
      </c>
      <c r="M36" s="1"/>
      <c r="N36" s="2">
        <f t="shared" si="5"/>
        <v>9.6999999999999993</v>
      </c>
    </row>
    <row r="37" spans="1:14" ht="15.95" customHeight="1" x14ac:dyDescent="0.25">
      <c r="A37" s="13">
        <v>30</v>
      </c>
      <c r="B37" s="9" t="s">
        <v>889</v>
      </c>
      <c r="C37" s="10" t="s">
        <v>3179</v>
      </c>
      <c r="D37" s="11" t="s">
        <v>116</v>
      </c>
      <c r="E37" s="27">
        <v>6</v>
      </c>
      <c r="F37" s="27">
        <v>6</v>
      </c>
      <c r="G37" s="27">
        <v>0</v>
      </c>
      <c r="H37" s="28">
        <f t="shared" si="2"/>
        <v>264</v>
      </c>
      <c r="I37" s="29">
        <f t="shared" si="0"/>
        <v>88</v>
      </c>
      <c r="J37" s="27">
        <f t="shared" si="1"/>
        <v>4</v>
      </c>
      <c r="K37" s="27" t="str">
        <f t="shared" si="3"/>
        <v>TUNTAS</v>
      </c>
      <c r="L37" s="13" t="str">
        <f t="shared" si="4"/>
        <v xml:space="preserve"> </v>
      </c>
      <c r="M37" s="1"/>
      <c r="N37" s="2">
        <f t="shared" si="5"/>
        <v>8.8000000000000007</v>
      </c>
    </row>
    <row r="38" spans="1:14" ht="15.95" customHeight="1" x14ac:dyDescent="0.25">
      <c r="A38" s="13">
        <v>31</v>
      </c>
      <c r="B38" s="9" t="s">
        <v>891</v>
      </c>
      <c r="C38" s="10" t="s">
        <v>301</v>
      </c>
      <c r="D38" s="11" t="s">
        <v>128</v>
      </c>
      <c r="E38" s="27">
        <v>32</v>
      </c>
      <c r="F38" s="27">
        <v>32</v>
      </c>
      <c r="G38" s="27">
        <v>5</v>
      </c>
      <c r="H38" s="28">
        <f t="shared" si="2"/>
        <v>33</v>
      </c>
      <c r="I38" s="29">
        <f t="shared" si="0"/>
        <v>11</v>
      </c>
      <c r="J38" s="27">
        <f t="shared" si="1"/>
        <v>55</v>
      </c>
      <c r="K38" s="27" t="str">
        <f t="shared" si="3"/>
        <v>TIDAK HADIR</v>
      </c>
      <c r="L38" s="13" t="s">
        <v>3267</v>
      </c>
      <c r="M38" s="1"/>
      <c r="N38" s="2">
        <f t="shared" si="5"/>
        <v>1.1000000000000001</v>
      </c>
    </row>
    <row r="39" spans="1:14" ht="15.95" customHeight="1" x14ac:dyDescent="0.25">
      <c r="A39" s="13">
        <v>32</v>
      </c>
      <c r="B39" s="9" t="s">
        <v>893</v>
      </c>
      <c r="C39" s="10" t="s">
        <v>3180</v>
      </c>
      <c r="D39" s="11" t="s">
        <v>46</v>
      </c>
      <c r="E39" s="27">
        <v>8</v>
      </c>
      <c r="F39" s="27">
        <v>15</v>
      </c>
      <c r="G39" s="27">
        <v>6</v>
      </c>
      <c r="H39" s="28">
        <f t="shared" si="2"/>
        <v>141</v>
      </c>
      <c r="I39" s="29">
        <f t="shared" si="0"/>
        <v>47</v>
      </c>
      <c r="J39" s="27">
        <f t="shared" si="1"/>
        <v>39</v>
      </c>
      <c r="K39" s="27" t="str">
        <f t="shared" si="3"/>
        <v>TIDAK TUNTAS</v>
      </c>
      <c r="L39" s="13" t="str">
        <f t="shared" si="4"/>
        <v>TM</v>
      </c>
      <c r="M39" s="1"/>
      <c r="N39" s="2">
        <f t="shared" si="5"/>
        <v>4.7</v>
      </c>
    </row>
    <row r="40" spans="1:14" ht="15.95" customHeight="1" x14ac:dyDescent="0.25">
      <c r="A40" s="13">
        <v>33</v>
      </c>
      <c r="B40" s="9" t="s">
        <v>895</v>
      </c>
      <c r="C40" s="10" t="s">
        <v>148</v>
      </c>
      <c r="D40" s="11" t="s">
        <v>47</v>
      </c>
      <c r="E40" s="27">
        <v>6</v>
      </c>
      <c r="F40" s="27">
        <v>7</v>
      </c>
      <c r="G40" s="27">
        <v>4</v>
      </c>
      <c r="H40" s="28">
        <f t="shared" si="2"/>
        <v>201</v>
      </c>
      <c r="I40" s="29">
        <f t="shared" si="0"/>
        <v>67</v>
      </c>
      <c r="J40" s="27">
        <f t="shared" ref="J40:J64" si="6">RANK(H40,$H$8:$H$94)</f>
        <v>22</v>
      </c>
      <c r="K40" s="27" t="str">
        <f t="shared" si="3"/>
        <v>TUNTAS</v>
      </c>
      <c r="L40" s="13" t="str">
        <f t="shared" si="4"/>
        <v xml:space="preserve"> </v>
      </c>
      <c r="M40" s="1"/>
      <c r="N40" s="2">
        <f t="shared" si="5"/>
        <v>6.7</v>
      </c>
    </row>
    <row r="41" spans="1:14" ht="15.95" customHeight="1" x14ac:dyDescent="0.25">
      <c r="A41" s="13">
        <v>34</v>
      </c>
      <c r="B41" s="9" t="s">
        <v>896</v>
      </c>
      <c r="C41" s="10" t="s">
        <v>3181</v>
      </c>
      <c r="D41" s="11" t="s">
        <v>48</v>
      </c>
      <c r="E41" s="27">
        <v>14</v>
      </c>
      <c r="F41" s="27">
        <v>12</v>
      </c>
      <c r="G41" s="27">
        <v>5</v>
      </c>
      <c r="H41" s="28">
        <f t="shared" si="2"/>
        <v>147</v>
      </c>
      <c r="I41" s="29">
        <f t="shared" si="0"/>
        <v>49</v>
      </c>
      <c r="J41" s="27">
        <f t="shared" si="6"/>
        <v>35</v>
      </c>
      <c r="K41" s="27" t="str">
        <f t="shared" si="3"/>
        <v>TIDAK TUNTAS</v>
      </c>
      <c r="L41" s="13" t="str">
        <f t="shared" si="4"/>
        <v xml:space="preserve"> </v>
      </c>
      <c r="M41" s="1"/>
      <c r="N41" s="2">
        <f t="shared" si="5"/>
        <v>4.9000000000000004</v>
      </c>
    </row>
    <row r="42" spans="1:14" ht="15.95" customHeight="1" x14ac:dyDescent="0.25">
      <c r="A42" s="13">
        <v>35</v>
      </c>
      <c r="B42" s="9" t="s">
        <v>897</v>
      </c>
      <c r="C42" s="10" t="s">
        <v>306</v>
      </c>
      <c r="D42" s="11" t="s">
        <v>108</v>
      </c>
      <c r="E42" s="27">
        <v>15</v>
      </c>
      <c r="F42" s="27">
        <v>11</v>
      </c>
      <c r="G42" s="27">
        <v>5</v>
      </c>
      <c r="H42" s="28">
        <f t="shared" si="2"/>
        <v>147</v>
      </c>
      <c r="I42" s="29">
        <f t="shared" si="0"/>
        <v>49</v>
      </c>
      <c r="J42" s="27">
        <f t="shared" si="6"/>
        <v>35</v>
      </c>
      <c r="K42" s="27" t="str">
        <f t="shared" si="3"/>
        <v>TIDAK TUNTAS</v>
      </c>
      <c r="L42" s="13" t="str">
        <f t="shared" si="4"/>
        <v xml:space="preserve"> </v>
      </c>
      <c r="M42" s="1"/>
      <c r="N42" s="2">
        <f t="shared" si="5"/>
        <v>4.9000000000000004</v>
      </c>
    </row>
    <row r="43" spans="1:14" ht="15.95" customHeight="1" x14ac:dyDescent="0.25">
      <c r="A43" s="13">
        <v>36</v>
      </c>
      <c r="B43" s="9" t="s">
        <v>899</v>
      </c>
      <c r="C43" s="10" t="s">
        <v>308</v>
      </c>
      <c r="D43" s="11" t="s">
        <v>50</v>
      </c>
      <c r="E43" s="27">
        <v>16</v>
      </c>
      <c r="F43" s="27">
        <v>10</v>
      </c>
      <c r="G43" s="27">
        <v>3</v>
      </c>
      <c r="H43" s="28">
        <f t="shared" si="2"/>
        <v>177</v>
      </c>
      <c r="I43" s="29">
        <f t="shared" si="0"/>
        <v>59</v>
      </c>
      <c r="J43" s="27">
        <f t="shared" si="6"/>
        <v>28</v>
      </c>
      <c r="K43" s="27" t="str">
        <f t="shared" si="3"/>
        <v>TIDAK TUNTAS</v>
      </c>
      <c r="L43" s="13" t="str">
        <f t="shared" si="4"/>
        <v xml:space="preserve"> </v>
      </c>
      <c r="M43" s="1"/>
      <c r="N43" s="2">
        <f t="shared" si="5"/>
        <v>5.9</v>
      </c>
    </row>
    <row r="44" spans="1:14" ht="15.95" customHeight="1" x14ac:dyDescent="0.25">
      <c r="A44" s="13">
        <v>37</v>
      </c>
      <c r="B44" s="9" t="s">
        <v>900</v>
      </c>
      <c r="C44" s="10" t="s">
        <v>604</v>
      </c>
      <c r="D44" s="11" t="s">
        <v>52</v>
      </c>
      <c r="E44" s="27">
        <v>20</v>
      </c>
      <c r="F44" s="27">
        <v>18</v>
      </c>
      <c r="G44" s="27">
        <v>4</v>
      </c>
      <c r="H44" s="28">
        <f t="shared" si="2"/>
        <v>126</v>
      </c>
      <c r="I44" s="29">
        <f t="shared" si="0"/>
        <v>42</v>
      </c>
      <c r="J44" s="27">
        <f t="shared" si="6"/>
        <v>43</v>
      </c>
      <c r="K44" s="27" t="str">
        <f t="shared" si="3"/>
        <v>TIDAK TUNTAS</v>
      </c>
      <c r="L44" s="13" t="str">
        <f t="shared" si="4"/>
        <v xml:space="preserve"> </v>
      </c>
      <c r="M44" s="1"/>
      <c r="N44" s="2">
        <f t="shared" si="5"/>
        <v>4.2</v>
      </c>
    </row>
    <row r="45" spans="1:14" ht="15.95" customHeight="1" x14ac:dyDescent="0.25">
      <c r="A45" s="13">
        <v>38</v>
      </c>
      <c r="B45" s="9" t="s">
        <v>902</v>
      </c>
      <c r="C45" s="10" t="s">
        <v>211</v>
      </c>
      <c r="D45" s="11" t="s">
        <v>55</v>
      </c>
      <c r="E45" s="27">
        <v>7</v>
      </c>
      <c r="F45" s="27">
        <v>5</v>
      </c>
      <c r="G45" s="27">
        <v>2</v>
      </c>
      <c r="H45" s="28">
        <f t="shared" si="2"/>
        <v>234</v>
      </c>
      <c r="I45" s="29">
        <f t="shared" si="0"/>
        <v>78</v>
      </c>
      <c r="J45" s="27">
        <f t="shared" si="6"/>
        <v>11</v>
      </c>
      <c r="K45" s="27" t="str">
        <f t="shared" si="3"/>
        <v>TUNTAS</v>
      </c>
      <c r="L45" s="13" t="str">
        <f t="shared" si="4"/>
        <v xml:space="preserve"> </v>
      </c>
      <c r="M45" s="1"/>
      <c r="N45" s="2">
        <f t="shared" si="5"/>
        <v>7.8</v>
      </c>
    </row>
    <row r="46" spans="1:14" ht="15.95" customHeight="1" x14ac:dyDescent="0.25">
      <c r="A46" s="13">
        <v>39</v>
      </c>
      <c r="B46" s="9" t="s">
        <v>904</v>
      </c>
      <c r="C46" s="10" t="s">
        <v>3182</v>
      </c>
      <c r="D46" s="11" t="s">
        <v>56</v>
      </c>
      <c r="E46" s="27">
        <v>10</v>
      </c>
      <c r="F46" s="27">
        <v>5</v>
      </c>
      <c r="G46" s="27">
        <v>1</v>
      </c>
      <c r="H46" s="28">
        <f t="shared" si="2"/>
        <v>240</v>
      </c>
      <c r="I46" s="29">
        <f t="shared" si="0"/>
        <v>80</v>
      </c>
      <c r="J46" s="27">
        <f t="shared" si="6"/>
        <v>8</v>
      </c>
      <c r="K46" s="27" t="str">
        <f t="shared" si="3"/>
        <v>TUNTAS</v>
      </c>
      <c r="L46" s="13" t="str">
        <f t="shared" si="4"/>
        <v xml:space="preserve"> </v>
      </c>
      <c r="M46" s="1"/>
      <c r="N46" s="2">
        <f t="shared" si="5"/>
        <v>8</v>
      </c>
    </row>
    <row r="47" spans="1:14" ht="15.95" customHeight="1" x14ac:dyDescent="0.25">
      <c r="A47" s="13">
        <v>40</v>
      </c>
      <c r="B47" s="9" t="s">
        <v>906</v>
      </c>
      <c r="C47" s="10" t="s">
        <v>710</v>
      </c>
      <c r="D47" s="11" t="s">
        <v>129</v>
      </c>
      <c r="E47" s="27">
        <v>7</v>
      </c>
      <c r="F47" s="27">
        <v>2</v>
      </c>
      <c r="G47" s="27">
        <v>3</v>
      </c>
      <c r="H47" s="28">
        <f t="shared" si="2"/>
        <v>228</v>
      </c>
      <c r="I47" s="29">
        <f t="shared" si="0"/>
        <v>76</v>
      </c>
      <c r="J47" s="27">
        <f t="shared" si="6"/>
        <v>17</v>
      </c>
      <c r="K47" s="27" t="str">
        <f t="shared" si="3"/>
        <v>TUNTAS</v>
      </c>
      <c r="L47" s="13" t="str">
        <f t="shared" si="4"/>
        <v xml:space="preserve"> </v>
      </c>
      <c r="M47" s="1"/>
      <c r="N47" s="2">
        <f t="shared" si="5"/>
        <v>7.6</v>
      </c>
    </row>
    <row r="48" spans="1:14" ht="15.95" customHeight="1" x14ac:dyDescent="0.25">
      <c r="A48" s="13">
        <v>41</v>
      </c>
      <c r="B48" s="9" t="s">
        <v>908</v>
      </c>
      <c r="C48" s="10" t="s">
        <v>423</v>
      </c>
      <c r="D48" s="11" t="s">
        <v>57</v>
      </c>
      <c r="E48" s="27">
        <v>28</v>
      </c>
      <c r="F48" s="27">
        <v>24</v>
      </c>
      <c r="G48" s="27">
        <v>6</v>
      </c>
      <c r="H48" s="28">
        <f t="shared" si="2"/>
        <v>54</v>
      </c>
      <c r="I48" s="29">
        <f t="shared" si="0"/>
        <v>18</v>
      </c>
      <c r="J48" s="27">
        <f t="shared" si="6"/>
        <v>52</v>
      </c>
      <c r="K48" s="27" t="str">
        <f t="shared" si="3"/>
        <v>TIDAK TUNTAS</v>
      </c>
      <c r="L48" s="13" t="str">
        <f t="shared" si="4"/>
        <v>TM</v>
      </c>
      <c r="M48" s="1"/>
      <c r="N48" s="2">
        <f t="shared" si="5"/>
        <v>1.8</v>
      </c>
    </row>
    <row r="49" spans="1:14" ht="15.95" customHeight="1" x14ac:dyDescent="0.25">
      <c r="A49" s="13">
        <v>42</v>
      </c>
      <c r="B49" s="9" t="s">
        <v>910</v>
      </c>
      <c r="C49" s="10" t="s">
        <v>616</v>
      </c>
      <c r="D49" s="11" t="s">
        <v>95</v>
      </c>
      <c r="E49" s="27">
        <v>4</v>
      </c>
      <c r="F49" s="27">
        <v>3</v>
      </c>
      <c r="G49" s="27">
        <v>3</v>
      </c>
      <c r="H49" s="28">
        <f t="shared" si="2"/>
        <v>234</v>
      </c>
      <c r="I49" s="29">
        <f t="shared" si="0"/>
        <v>78</v>
      </c>
      <c r="J49" s="27">
        <f t="shared" si="6"/>
        <v>11</v>
      </c>
      <c r="K49" s="27" t="str">
        <f t="shared" si="3"/>
        <v>TUNTAS</v>
      </c>
      <c r="L49" s="13" t="str">
        <f t="shared" si="4"/>
        <v xml:space="preserve"> </v>
      </c>
      <c r="M49" s="1"/>
      <c r="N49" s="2">
        <f t="shared" si="5"/>
        <v>7.8</v>
      </c>
    </row>
    <row r="50" spans="1:14" ht="15.95" customHeight="1" x14ac:dyDescent="0.25">
      <c r="A50" s="13">
        <v>43</v>
      </c>
      <c r="B50" s="9" t="s">
        <v>912</v>
      </c>
      <c r="C50" s="10" t="s">
        <v>322</v>
      </c>
      <c r="D50" s="11" t="s">
        <v>58</v>
      </c>
      <c r="E50" s="27">
        <v>18</v>
      </c>
      <c r="F50" s="27">
        <v>13</v>
      </c>
      <c r="G50" s="27">
        <v>5</v>
      </c>
      <c r="H50" s="28">
        <f t="shared" si="2"/>
        <v>132</v>
      </c>
      <c r="I50" s="29">
        <f t="shared" si="0"/>
        <v>44</v>
      </c>
      <c r="J50" s="27">
        <f t="shared" si="6"/>
        <v>42</v>
      </c>
      <c r="K50" s="27" t="str">
        <f t="shared" si="3"/>
        <v>TIDAK TUNTAS</v>
      </c>
      <c r="L50" s="13" t="str">
        <f t="shared" si="4"/>
        <v xml:space="preserve"> </v>
      </c>
      <c r="M50" s="1"/>
      <c r="N50" s="2">
        <f t="shared" si="5"/>
        <v>4.4000000000000004</v>
      </c>
    </row>
    <row r="51" spans="1:14" ht="15.95" customHeight="1" x14ac:dyDescent="0.25">
      <c r="A51" s="13">
        <v>44</v>
      </c>
      <c r="B51" s="9" t="s">
        <v>914</v>
      </c>
      <c r="C51" s="10" t="s">
        <v>909</v>
      </c>
      <c r="D51" s="11" t="s">
        <v>97</v>
      </c>
      <c r="E51" s="27">
        <v>32</v>
      </c>
      <c r="F51" s="27">
        <v>32</v>
      </c>
      <c r="G51" s="27">
        <v>5</v>
      </c>
      <c r="H51" s="28">
        <f t="shared" si="2"/>
        <v>33</v>
      </c>
      <c r="I51" s="29">
        <f t="shared" si="0"/>
        <v>11</v>
      </c>
      <c r="J51" s="27">
        <f t="shared" si="6"/>
        <v>55</v>
      </c>
      <c r="K51" s="27" t="str">
        <f t="shared" si="3"/>
        <v>TIDAK HADIR</v>
      </c>
      <c r="L51" s="13" t="s">
        <v>3264</v>
      </c>
      <c r="M51" s="1"/>
      <c r="N51" s="2">
        <f t="shared" si="5"/>
        <v>1.1000000000000001</v>
      </c>
    </row>
    <row r="52" spans="1:14" ht="15.95" customHeight="1" x14ac:dyDescent="0.25">
      <c r="A52" s="13">
        <v>45</v>
      </c>
      <c r="B52" s="9" t="s">
        <v>915</v>
      </c>
      <c r="C52" s="10" t="s">
        <v>428</v>
      </c>
      <c r="D52" s="11" t="s">
        <v>97</v>
      </c>
      <c r="E52" s="27">
        <v>25</v>
      </c>
      <c r="F52" s="27">
        <v>25</v>
      </c>
      <c r="G52" s="27">
        <v>6</v>
      </c>
      <c r="H52" s="28">
        <f t="shared" si="2"/>
        <v>60</v>
      </c>
      <c r="I52" s="29">
        <f t="shared" si="0"/>
        <v>20</v>
      </c>
      <c r="J52" s="27">
        <f t="shared" si="6"/>
        <v>51</v>
      </c>
      <c r="K52" s="27" t="str">
        <f t="shared" si="3"/>
        <v>TIDAK TUNTAS</v>
      </c>
      <c r="L52" s="13" t="str">
        <f t="shared" si="4"/>
        <v>TM</v>
      </c>
      <c r="M52" s="1"/>
      <c r="N52" s="2">
        <f t="shared" si="5"/>
        <v>2</v>
      </c>
    </row>
    <row r="53" spans="1:14" ht="15.95" customHeight="1" x14ac:dyDescent="0.25">
      <c r="A53" s="13">
        <v>46</v>
      </c>
      <c r="B53" s="9" t="s">
        <v>917</v>
      </c>
      <c r="C53" s="10" t="s">
        <v>718</v>
      </c>
      <c r="D53" s="11" t="s">
        <v>63</v>
      </c>
      <c r="E53" s="27">
        <v>1</v>
      </c>
      <c r="F53" s="27">
        <v>0</v>
      </c>
      <c r="G53" s="27">
        <v>4</v>
      </c>
      <c r="H53" s="28">
        <f t="shared" si="2"/>
        <v>237</v>
      </c>
      <c r="I53" s="29">
        <f t="shared" si="0"/>
        <v>79</v>
      </c>
      <c r="J53" s="27">
        <f t="shared" si="6"/>
        <v>9</v>
      </c>
      <c r="K53" s="27" t="str">
        <f t="shared" si="3"/>
        <v>TUNTAS</v>
      </c>
      <c r="L53" s="13" t="str">
        <f t="shared" si="4"/>
        <v xml:space="preserve"> </v>
      </c>
      <c r="M53" s="1"/>
      <c r="N53" s="2">
        <f t="shared" si="5"/>
        <v>7.9</v>
      </c>
    </row>
    <row r="54" spans="1:14" x14ac:dyDescent="0.25">
      <c r="A54" s="13">
        <v>47</v>
      </c>
      <c r="B54" s="9" t="s">
        <v>919</v>
      </c>
      <c r="C54" s="10" t="s">
        <v>225</v>
      </c>
      <c r="D54" s="11" t="s">
        <v>64</v>
      </c>
      <c r="E54" s="27">
        <v>0</v>
      </c>
      <c r="F54" s="27">
        <v>0</v>
      </c>
      <c r="G54" s="27">
        <v>0</v>
      </c>
      <c r="H54" s="28">
        <f t="shared" si="2"/>
        <v>300</v>
      </c>
      <c r="I54" s="29">
        <f t="shared" si="0"/>
        <v>100</v>
      </c>
      <c r="J54" s="27">
        <f t="shared" si="6"/>
        <v>1</v>
      </c>
      <c r="K54" s="27" t="str">
        <f t="shared" si="3"/>
        <v>TUNTAS</v>
      </c>
      <c r="L54" s="13" t="str">
        <f t="shared" si="4"/>
        <v xml:space="preserve"> </v>
      </c>
      <c r="M54" s="1"/>
      <c r="N54" s="2">
        <f t="shared" si="5"/>
        <v>10</v>
      </c>
    </row>
    <row r="55" spans="1:14" x14ac:dyDescent="0.25">
      <c r="A55" s="13">
        <v>48</v>
      </c>
      <c r="B55" s="9" t="s">
        <v>920</v>
      </c>
      <c r="C55" s="10" t="s">
        <v>724</v>
      </c>
      <c r="D55" s="11" t="s">
        <v>66</v>
      </c>
      <c r="E55" s="27">
        <v>25</v>
      </c>
      <c r="F55" s="27">
        <v>28</v>
      </c>
      <c r="G55" s="27">
        <v>5</v>
      </c>
      <c r="H55" s="28">
        <f t="shared" si="2"/>
        <v>66</v>
      </c>
      <c r="I55" s="29">
        <f t="shared" si="0"/>
        <v>22</v>
      </c>
      <c r="J55" s="27">
        <f t="shared" si="6"/>
        <v>49</v>
      </c>
      <c r="K55" s="27" t="str">
        <f t="shared" si="3"/>
        <v>TIDAK TUNTAS</v>
      </c>
      <c r="L55" s="13" t="str">
        <f t="shared" si="4"/>
        <v xml:space="preserve"> </v>
      </c>
      <c r="M55" s="1"/>
      <c r="N55" s="2">
        <f t="shared" si="5"/>
        <v>2.2000000000000002</v>
      </c>
    </row>
    <row r="56" spans="1:14" x14ac:dyDescent="0.25">
      <c r="A56" s="13">
        <v>49</v>
      </c>
      <c r="B56" s="9" t="s">
        <v>922</v>
      </c>
      <c r="C56" s="10" t="s">
        <v>3183</v>
      </c>
      <c r="D56" s="11" t="s">
        <v>113</v>
      </c>
      <c r="E56" s="27">
        <v>18</v>
      </c>
      <c r="F56" s="27">
        <v>22</v>
      </c>
      <c r="G56" s="27">
        <v>5</v>
      </c>
      <c r="H56" s="28">
        <f t="shared" si="2"/>
        <v>105</v>
      </c>
      <c r="I56" s="29">
        <f t="shared" si="0"/>
        <v>35</v>
      </c>
      <c r="J56" s="27">
        <f t="shared" si="6"/>
        <v>46</v>
      </c>
      <c r="K56" s="27" t="str">
        <f t="shared" si="3"/>
        <v>TIDAK TUNTAS</v>
      </c>
      <c r="L56" s="13" t="str">
        <f t="shared" si="4"/>
        <v xml:space="preserve"> </v>
      </c>
      <c r="M56" s="1"/>
      <c r="N56" s="2">
        <f t="shared" si="5"/>
        <v>3.5</v>
      </c>
    </row>
    <row r="57" spans="1:14" x14ac:dyDescent="0.25">
      <c r="A57" s="13">
        <v>50</v>
      </c>
      <c r="B57" s="9" t="s">
        <v>924</v>
      </c>
      <c r="C57" s="10" t="s">
        <v>530</v>
      </c>
      <c r="D57" s="11" t="s">
        <v>67</v>
      </c>
      <c r="E57" s="27">
        <v>21</v>
      </c>
      <c r="F57" s="27">
        <v>17</v>
      </c>
      <c r="G57" s="27">
        <v>6</v>
      </c>
      <c r="H57" s="28">
        <f t="shared" si="2"/>
        <v>96</v>
      </c>
      <c r="I57" s="29">
        <f t="shared" si="0"/>
        <v>32</v>
      </c>
      <c r="J57" s="27">
        <f t="shared" si="6"/>
        <v>47</v>
      </c>
      <c r="K57" s="27" t="str">
        <f t="shared" si="3"/>
        <v>TIDAK TUNTAS</v>
      </c>
      <c r="L57" s="13" t="str">
        <f t="shared" si="4"/>
        <v>TM</v>
      </c>
      <c r="M57" s="1"/>
      <c r="N57" s="2">
        <f t="shared" si="5"/>
        <v>3.2</v>
      </c>
    </row>
    <row r="58" spans="1:14" x14ac:dyDescent="0.25">
      <c r="A58" s="13">
        <v>51</v>
      </c>
      <c r="B58" s="9" t="s">
        <v>926</v>
      </c>
      <c r="C58" s="10" t="s">
        <v>229</v>
      </c>
      <c r="D58" s="11" t="s">
        <v>67</v>
      </c>
      <c r="E58" s="27">
        <v>16</v>
      </c>
      <c r="F58" s="27">
        <v>13</v>
      </c>
      <c r="G58" s="27">
        <v>5</v>
      </c>
      <c r="H58" s="28">
        <f t="shared" si="2"/>
        <v>138</v>
      </c>
      <c r="I58" s="29">
        <f t="shared" si="0"/>
        <v>46</v>
      </c>
      <c r="J58" s="27">
        <f t="shared" si="6"/>
        <v>40</v>
      </c>
      <c r="K58" s="27" t="str">
        <f t="shared" si="3"/>
        <v>TIDAK TUNTAS</v>
      </c>
      <c r="L58" s="13" t="str">
        <f t="shared" si="4"/>
        <v xml:space="preserve"> </v>
      </c>
      <c r="M58" s="1"/>
      <c r="N58" s="2">
        <f t="shared" si="5"/>
        <v>4.5999999999999996</v>
      </c>
    </row>
    <row r="59" spans="1:14" x14ac:dyDescent="0.25">
      <c r="A59" s="13">
        <v>52</v>
      </c>
      <c r="B59" s="9" t="s">
        <v>928</v>
      </c>
      <c r="C59" s="10" t="s">
        <v>831</v>
      </c>
      <c r="D59" s="11" t="s">
        <v>68</v>
      </c>
      <c r="E59" s="27">
        <v>4</v>
      </c>
      <c r="F59" s="27">
        <v>0</v>
      </c>
      <c r="G59" s="27">
        <v>3</v>
      </c>
      <c r="H59" s="28">
        <f t="shared" si="2"/>
        <v>243</v>
      </c>
      <c r="I59" s="29">
        <f t="shared" ref="I59:I64" si="7">H59/3</f>
        <v>81</v>
      </c>
      <c r="J59" s="27">
        <f t="shared" si="6"/>
        <v>7</v>
      </c>
      <c r="K59" s="27" t="str">
        <f t="shared" si="3"/>
        <v>TUNTAS</v>
      </c>
      <c r="L59" s="13" t="str">
        <f t="shared" si="4"/>
        <v xml:space="preserve"> </v>
      </c>
      <c r="N59" s="2">
        <f t="shared" si="5"/>
        <v>8.1</v>
      </c>
    </row>
    <row r="60" spans="1:14" x14ac:dyDescent="0.25">
      <c r="A60" s="13">
        <v>53</v>
      </c>
      <c r="B60" s="9" t="s">
        <v>929</v>
      </c>
      <c r="C60" s="10" t="s">
        <v>442</v>
      </c>
      <c r="D60" s="11" t="s">
        <v>69</v>
      </c>
      <c r="E60" s="27">
        <v>8</v>
      </c>
      <c r="F60" s="27">
        <v>15</v>
      </c>
      <c r="G60" s="27">
        <v>5</v>
      </c>
      <c r="H60" s="28">
        <f t="shared" si="2"/>
        <v>156</v>
      </c>
      <c r="I60" s="29">
        <f t="shared" si="7"/>
        <v>52</v>
      </c>
      <c r="J60" s="27">
        <f t="shared" si="6"/>
        <v>34</v>
      </c>
      <c r="K60" s="27" t="str">
        <f t="shared" si="3"/>
        <v>TIDAK TUNTAS</v>
      </c>
      <c r="L60" s="13" t="str">
        <f t="shared" si="4"/>
        <v xml:space="preserve"> </v>
      </c>
      <c r="N60" s="2">
        <f t="shared" si="5"/>
        <v>5.2</v>
      </c>
    </row>
    <row r="61" spans="1:14" x14ac:dyDescent="0.25">
      <c r="A61" s="13">
        <v>54</v>
      </c>
      <c r="B61" s="9" t="s">
        <v>930</v>
      </c>
      <c r="C61" s="10" t="s">
        <v>3184</v>
      </c>
      <c r="D61" s="11" t="s">
        <v>99</v>
      </c>
      <c r="E61" s="27">
        <v>8</v>
      </c>
      <c r="F61" s="27">
        <v>9</v>
      </c>
      <c r="G61" s="27">
        <v>3</v>
      </c>
      <c r="H61" s="28">
        <f t="shared" si="2"/>
        <v>204</v>
      </c>
      <c r="I61" s="29">
        <f t="shared" si="7"/>
        <v>68</v>
      </c>
      <c r="J61" s="27">
        <f t="shared" si="6"/>
        <v>20</v>
      </c>
      <c r="K61" s="27" t="str">
        <f t="shared" si="3"/>
        <v>TUNTAS</v>
      </c>
      <c r="L61" s="13" t="str">
        <f t="shared" si="4"/>
        <v xml:space="preserve"> </v>
      </c>
      <c r="N61" s="2">
        <f t="shared" si="5"/>
        <v>6.8</v>
      </c>
    </row>
    <row r="62" spans="1:14" x14ac:dyDescent="0.25">
      <c r="A62" s="13">
        <v>55</v>
      </c>
      <c r="B62" s="9" t="s">
        <v>932</v>
      </c>
      <c r="C62" s="10" t="s">
        <v>3185</v>
      </c>
      <c r="D62" s="11" t="s">
        <v>70</v>
      </c>
      <c r="E62" s="27">
        <v>7</v>
      </c>
      <c r="F62" s="27">
        <v>6</v>
      </c>
      <c r="G62" s="27">
        <v>2</v>
      </c>
      <c r="H62" s="28">
        <f t="shared" si="2"/>
        <v>231</v>
      </c>
      <c r="I62" s="29">
        <f t="shared" si="7"/>
        <v>77</v>
      </c>
      <c r="J62" s="27">
        <f t="shared" si="6"/>
        <v>15</v>
      </c>
      <c r="K62" s="27" t="str">
        <f t="shared" si="3"/>
        <v>TUNTAS</v>
      </c>
      <c r="L62" s="13" t="str">
        <f t="shared" si="4"/>
        <v xml:space="preserve"> </v>
      </c>
      <c r="N62" s="2">
        <f t="shared" si="5"/>
        <v>7.7</v>
      </c>
    </row>
    <row r="63" spans="1:14" x14ac:dyDescent="0.25">
      <c r="A63" s="13">
        <v>56</v>
      </c>
      <c r="B63" s="9" t="s">
        <v>933</v>
      </c>
      <c r="C63" s="10" t="s">
        <v>835</v>
      </c>
      <c r="D63" s="11" t="s">
        <v>89</v>
      </c>
      <c r="E63" s="27">
        <v>4</v>
      </c>
      <c r="F63" s="27">
        <v>2</v>
      </c>
      <c r="G63" s="27">
        <v>1</v>
      </c>
      <c r="H63" s="28">
        <f t="shared" si="2"/>
        <v>267</v>
      </c>
      <c r="I63" s="29">
        <f t="shared" si="7"/>
        <v>89</v>
      </c>
      <c r="J63" s="27">
        <f t="shared" si="6"/>
        <v>3</v>
      </c>
      <c r="K63" s="27" t="str">
        <f t="shared" si="3"/>
        <v>TUNTAS</v>
      </c>
      <c r="L63" s="13" t="str">
        <f t="shared" si="4"/>
        <v xml:space="preserve"> </v>
      </c>
      <c r="N63" s="2">
        <f t="shared" si="5"/>
        <v>8.9</v>
      </c>
    </row>
    <row r="64" spans="1:14" x14ac:dyDescent="0.25">
      <c r="A64" s="13">
        <v>57</v>
      </c>
      <c r="B64" s="9" t="s">
        <v>935</v>
      </c>
      <c r="C64" s="10" t="s">
        <v>243</v>
      </c>
      <c r="D64" s="11" t="s">
        <v>89</v>
      </c>
      <c r="E64" s="27">
        <v>9</v>
      </c>
      <c r="F64" s="27">
        <v>9</v>
      </c>
      <c r="G64" s="27">
        <v>4</v>
      </c>
      <c r="H64" s="28">
        <f t="shared" si="2"/>
        <v>186</v>
      </c>
      <c r="I64" s="29">
        <f t="shared" si="7"/>
        <v>62</v>
      </c>
      <c r="J64" s="27">
        <f t="shared" si="6"/>
        <v>23</v>
      </c>
      <c r="K64" s="27" t="str">
        <f t="shared" si="3"/>
        <v>TUNTAS</v>
      </c>
      <c r="L64" s="13" t="str">
        <f t="shared" si="4"/>
        <v xml:space="preserve"> </v>
      </c>
      <c r="N64" s="2">
        <f t="shared" si="5"/>
        <v>6.2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phoneticPr fontId="13" type="noConversion"/>
  <conditionalFormatting sqref="D8:D10">
    <cfRule type="cellIs" dxfId="107" priority="14" operator="equal">
      <formula>0</formula>
    </cfRule>
  </conditionalFormatting>
  <conditionalFormatting sqref="I8:I64">
    <cfRule type="cellIs" dxfId="106" priority="8" operator="lessThan">
      <formula>60</formula>
    </cfRule>
    <cfRule type="cellIs" dxfId="105" priority="9" operator="lessThan">
      <formula>60</formula>
    </cfRule>
    <cfRule type="cellIs" dxfId="104" priority="10" operator="lessThan">
      <formula>50</formula>
    </cfRule>
  </conditionalFormatting>
  <conditionalFormatting sqref="K8:K64">
    <cfRule type="cellIs" dxfId="103" priority="1" operator="equal">
      <formula>"TIDAK BACA"</formula>
    </cfRule>
    <cfRule type="cellIs" dxfId="102" priority="2" operator="equal">
      <formula>"TIDAK TUNTAS"</formula>
    </cfRule>
    <cfRule type="cellIs" dxfId="101" priority="3" operator="equal">
      <formula>"TUNTAS"</formula>
    </cfRule>
    <cfRule type="cellIs" dxfId="100" priority="4" operator="equal">
      <formula>"TIDAK HADIR"</formula>
    </cfRule>
    <cfRule type="cellIs" dxfId="99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D5C6345D-1334-4C62-BE32-DD7A0509C035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63C3-D00B-4BB5-9A90-4F8FECCACC16}">
  <sheetPr>
    <tabColor theme="2" tint="-0.249977111117893"/>
  </sheetPr>
  <dimension ref="A1:N66"/>
  <sheetViews>
    <sheetView zoomScaleNormal="100" workbookViewId="0">
      <pane xSplit="1" ySplit="7" topLeftCell="B53" activePane="bottomRight" state="frozen"/>
      <selection activeCell="P66" sqref="P66"/>
      <selection pane="topRight" activeCell="P66" sqref="P66"/>
      <selection pane="bottomLeft" activeCell="P66" sqref="P66"/>
      <selection pane="bottomRight" activeCell="I73" sqref="I73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961</v>
      </c>
      <c r="C8" s="10" t="s">
        <v>3187</v>
      </c>
      <c r="D8" s="11" t="s">
        <v>29</v>
      </c>
      <c r="E8" s="27">
        <v>0</v>
      </c>
      <c r="F8" s="27">
        <v>0</v>
      </c>
      <c r="G8" s="27">
        <v>0</v>
      </c>
      <c r="H8" s="28">
        <f>100-E8*3+100-F8*3+100-G8*15</f>
        <v>300</v>
      </c>
      <c r="I8" s="29">
        <f>H8/3</f>
        <v>100</v>
      </c>
      <c r="J8" s="27">
        <f>RANK(H8,$H$8:$H$97)</f>
        <v>1</v>
      </c>
      <c r="K8" s="27" t="str">
        <f>IF(I8&lt;11.1,"TIDAK HADIR",IF(I8&lt;13.1,"TIDAK BACA",IF(I8&lt;$K$7,"TIDAK TUNTAS","TUNTAS")))</f>
        <v>TUNTAS</v>
      </c>
      <c r="L8" s="13" t="str">
        <f>IF(G8&gt;5,"TM"," ")</f>
        <v xml:space="preserve"> </v>
      </c>
      <c r="M8" s="1"/>
      <c r="N8" s="2">
        <f>I8/10</f>
        <v>10</v>
      </c>
    </row>
    <row r="9" spans="1:14" ht="15.95" customHeight="1" x14ac:dyDescent="0.25">
      <c r="A9" s="13">
        <v>2</v>
      </c>
      <c r="B9" s="9" t="s">
        <v>967</v>
      </c>
      <c r="C9" s="10" t="s">
        <v>147</v>
      </c>
      <c r="D9" s="11" t="s">
        <v>33</v>
      </c>
      <c r="E9" s="27">
        <v>5</v>
      </c>
      <c r="F9" s="27">
        <v>2</v>
      </c>
      <c r="G9" s="27">
        <v>1</v>
      </c>
      <c r="H9" s="28">
        <f>100-E9*3+100-F9*3+100-G9*15</f>
        <v>264</v>
      </c>
      <c r="I9" s="29">
        <f>H9/3</f>
        <v>88</v>
      </c>
      <c r="J9" s="27">
        <f>RANK(H9,$H$8:$H$97)</f>
        <v>2</v>
      </c>
      <c r="K9" s="27" t="str">
        <f>IF(I9&lt;11.1,"TIDAK HADIR",IF(I9&lt;13.1,"TIDAK BACA",IF(I9&lt;$K$7,"TIDAK TUNTAS","TUNTAS")))</f>
        <v>TUNTAS</v>
      </c>
      <c r="L9" s="13" t="str">
        <f>IF(G9&gt;5,"TM"," ")</f>
        <v xml:space="preserve"> </v>
      </c>
      <c r="M9" s="1"/>
      <c r="N9" s="2">
        <f t="shared" ref="N9:N66" si="0">I9/10</f>
        <v>8.8000000000000007</v>
      </c>
    </row>
    <row r="10" spans="1:14" ht="15.95" customHeight="1" x14ac:dyDescent="0.25">
      <c r="A10" s="13">
        <v>3</v>
      </c>
      <c r="B10" s="9" t="s">
        <v>954</v>
      </c>
      <c r="C10" s="10" t="s">
        <v>369</v>
      </c>
      <c r="D10" s="11" t="s">
        <v>25</v>
      </c>
      <c r="E10" s="27">
        <v>3</v>
      </c>
      <c r="F10" s="27">
        <v>1</v>
      </c>
      <c r="G10" s="27">
        <v>2</v>
      </c>
      <c r="H10" s="28">
        <f>100-E10*3+100-F10*3+100-G10*15</f>
        <v>258</v>
      </c>
      <c r="I10" s="29">
        <f>H10/3</f>
        <v>86</v>
      </c>
      <c r="J10" s="27">
        <f>RANK(H10,$H$8:$H$97)</f>
        <v>3</v>
      </c>
      <c r="K10" s="27" t="str">
        <f>IF(I10&lt;11.1,"TIDAK HADIR",IF(I10&lt;13.1,"TIDAK BACA",IF(I10&lt;$K$7,"TIDAK TUNTAS","TUNTAS")))</f>
        <v>TUNTAS</v>
      </c>
      <c r="L10" s="13" t="str">
        <f>IF(G10&gt;5,"TM"," ")</f>
        <v xml:space="preserve"> </v>
      </c>
      <c r="M10" s="1"/>
      <c r="N10" s="2">
        <f t="shared" si="0"/>
        <v>8.6</v>
      </c>
    </row>
    <row r="11" spans="1:14" ht="15.95" customHeight="1" x14ac:dyDescent="0.25">
      <c r="A11" s="13">
        <v>4</v>
      </c>
      <c r="B11" s="9" t="s">
        <v>974</v>
      </c>
      <c r="C11" s="10" t="s">
        <v>3188</v>
      </c>
      <c r="D11" s="11" t="s">
        <v>93</v>
      </c>
      <c r="E11" s="27">
        <v>3</v>
      </c>
      <c r="F11" s="27">
        <v>1</v>
      </c>
      <c r="G11" s="27">
        <v>2</v>
      </c>
      <c r="H11" s="28">
        <f>100-E11*3+100-F11*3+100-G11*15</f>
        <v>258</v>
      </c>
      <c r="I11" s="29">
        <f>H11/3</f>
        <v>86</v>
      </c>
      <c r="J11" s="27">
        <f>RANK(H11,$H$8:$H$97)</f>
        <v>3</v>
      </c>
      <c r="K11" s="27" t="str">
        <f>IF(I11&lt;11.1,"TIDAK HADIR",IF(I11&lt;13.1,"TIDAK BACA",IF(I11&lt;$K$7,"TIDAK TUNTAS","TUNTAS")))</f>
        <v>TUNTAS</v>
      </c>
      <c r="L11" s="13" t="str">
        <f>IF(G11&gt;5,"TM"," ")</f>
        <v xml:space="preserve"> </v>
      </c>
      <c r="M11" s="1"/>
      <c r="N11" s="2">
        <f t="shared" si="0"/>
        <v>8.6</v>
      </c>
    </row>
    <row r="12" spans="1:14" ht="15.95" customHeight="1" x14ac:dyDescent="0.25">
      <c r="A12" s="13">
        <v>5</v>
      </c>
      <c r="B12" s="9" t="s">
        <v>992</v>
      </c>
      <c r="C12" s="10" t="s">
        <v>409</v>
      </c>
      <c r="D12" s="11" t="s">
        <v>128</v>
      </c>
      <c r="E12" s="27">
        <v>3</v>
      </c>
      <c r="F12" s="27">
        <v>2</v>
      </c>
      <c r="G12" s="27">
        <v>2</v>
      </c>
      <c r="H12" s="28">
        <f>100-E12*3+100-F12*3+100-G12*15</f>
        <v>255</v>
      </c>
      <c r="I12" s="29">
        <f>H12/3</f>
        <v>85</v>
      </c>
      <c r="J12" s="27">
        <f>RANK(H12,$H$8:$H$97)</f>
        <v>5</v>
      </c>
      <c r="K12" s="27" t="str">
        <f>IF(I12&lt;11.1,"TIDAK HADIR",IF(I12&lt;13.1,"TIDAK BACA",IF(I12&lt;$K$7,"TIDAK TUNTAS","TUNTAS")))</f>
        <v>TUNTAS</v>
      </c>
      <c r="L12" s="13" t="str">
        <f>IF(G12&gt;5,"TM"," ")</f>
        <v xml:space="preserve"> </v>
      </c>
      <c r="M12" s="1"/>
      <c r="N12" s="2">
        <f t="shared" si="0"/>
        <v>8.5</v>
      </c>
    </row>
    <row r="13" spans="1:14" ht="15.95" customHeight="1" x14ac:dyDescent="0.25">
      <c r="A13" s="13">
        <v>6</v>
      </c>
      <c r="B13" s="9" t="s">
        <v>1014</v>
      </c>
      <c r="C13" s="10" t="s">
        <v>217</v>
      </c>
      <c r="D13" s="11" t="s">
        <v>58</v>
      </c>
      <c r="E13" s="27">
        <v>4</v>
      </c>
      <c r="F13" s="27">
        <v>1</v>
      </c>
      <c r="G13" s="27">
        <v>2</v>
      </c>
      <c r="H13" s="28">
        <f>100-E13*3+100-F13*3+100-G13*15</f>
        <v>255</v>
      </c>
      <c r="I13" s="29">
        <f>H13/3</f>
        <v>85</v>
      </c>
      <c r="J13" s="27">
        <f>RANK(H13,$H$8:$H$97)</f>
        <v>5</v>
      </c>
      <c r="K13" s="27" t="str">
        <f>IF(I13&lt;11.1,"TIDAK HADIR",IF(I13&lt;13.1,"TIDAK BACA",IF(I13&lt;$K$7,"TIDAK TUNTAS","TUNTAS")))</f>
        <v>TUNTAS</v>
      </c>
      <c r="L13" s="13" t="str">
        <f>IF(G13&gt;5,"TM"," ")</f>
        <v xml:space="preserve"> </v>
      </c>
      <c r="M13" s="1"/>
      <c r="N13" s="2">
        <f t="shared" si="0"/>
        <v>8.5</v>
      </c>
    </row>
    <row r="14" spans="1:14" ht="15.95" customHeight="1" x14ac:dyDescent="0.25">
      <c r="A14" s="13">
        <v>7</v>
      </c>
      <c r="B14" s="9" t="s">
        <v>991</v>
      </c>
      <c r="C14" s="10" t="s">
        <v>593</v>
      </c>
      <c r="D14" s="11" t="s">
        <v>116</v>
      </c>
      <c r="E14" s="27">
        <v>5</v>
      </c>
      <c r="F14" s="27">
        <v>2</v>
      </c>
      <c r="G14" s="27">
        <v>2</v>
      </c>
      <c r="H14" s="28">
        <f>100-E14*3+100-F14*3+100-G14*15</f>
        <v>249</v>
      </c>
      <c r="I14" s="29">
        <f>H14/3</f>
        <v>83</v>
      </c>
      <c r="J14" s="27">
        <f>RANK(H14,$H$8:$H$97)</f>
        <v>7</v>
      </c>
      <c r="K14" s="27" t="str">
        <f>IF(I14&lt;11.1,"TIDAK HADIR",IF(I14&lt;13.1,"TIDAK BACA",IF(I14&lt;$K$7,"TIDAK TUNTAS","TUNTAS")))</f>
        <v>TUNTAS</v>
      </c>
      <c r="L14" s="13" t="str">
        <f>IF(G14&gt;5,"TM"," ")</f>
        <v xml:space="preserve"> </v>
      </c>
      <c r="M14" s="1"/>
      <c r="N14" s="2">
        <f t="shared" si="0"/>
        <v>8.3000000000000007</v>
      </c>
    </row>
    <row r="15" spans="1:14" ht="15.95" customHeight="1" x14ac:dyDescent="0.25">
      <c r="A15" s="13">
        <v>8</v>
      </c>
      <c r="B15" s="9" t="s">
        <v>945</v>
      </c>
      <c r="C15" s="10" t="s">
        <v>361</v>
      </c>
      <c r="D15" s="11" t="s">
        <v>22</v>
      </c>
      <c r="E15" s="27">
        <v>4</v>
      </c>
      <c r="F15" s="27">
        <v>1</v>
      </c>
      <c r="G15" s="27">
        <v>3</v>
      </c>
      <c r="H15" s="28">
        <f>100-E15*3+100-F15*3+100-G15*15</f>
        <v>240</v>
      </c>
      <c r="I15" s="29">
        <f>H15/3</f>
        <v>80</v>
      </c>
      <c r="J15" s="27">
        <f>RANK(H15,$H$8:$H$97)</f>
        <v>8</v>
      </c>
      <c r="K15" s="27" t="str">
        <f>IF(I15&lt;11.1,"TIDAK HADIR",IF(I15&lt;13.1,"TIDAK BACA",IF(I15&lt;$K$7,"TIDAK TUNTAS","TUNTAS")))</f>
        <v>TUNTAS</v>
      </c>
      <c r="L15" s="13" t="str">
        <f>IF(G15&gt;5,"TM"," ")</f>
        <v xml:space="preserve"> </v>
      </c>
      <c r="M15" s="1"/>
      <c r="N15" s="2">
        <f t="shared" si="0"/>
        <v>8</v>
      </c>
    </row>
    <row r="16" spans="1:14" ht="15.95" customHeight="1" x14ac:dyDescent="0.25">
      <c r="A16" s="13">
        <v>9</v>
      </c>
      <c r="B16" s="9" t="s">
        <v>947</v>
      </c>
      <c r="C16" s="10" t="s">
        <v>3186</v>
      </c>
      <c r="D16" s="11" t="s">
        <v>123</v>
      </c>
      <c r="E16" s="27">
        <v>3</v>
      </c>
      <c r="F16" s="27">
        <v>7</v>
      </c>
      <c r="G16" s="27">
        <v>2</v>
      </c>
      <c r="H16" s="28">
        <f>100-E16*3+100-F16*3+100-G16*15</f>
        <v>240</v>
      </c>
      <c r="I16" s="29">
        <f>H16/3</f>
        <v>80</v>
      </c>
      <c r="J16" s="27">
        <f>RANK(H16,$H$8:$H$97)</f>
        <v>8</v>
      </c>
      <c r="K16" s="27" t="str">
        <f>IF(I16&lt;11.1,"TIDAK HADIR",IF(I16&lt;13.1,"TIDAK BACA",IF(I16&lt;$K$7,"TIDAK TUNTAS","TUNTAS")))</f>
        <v>TUNTAS</v>
      </c>
      <c r="L16" s="13" t="str">
        <f>IF(G16&gt;5,"TM"," ")</f>
        <v xml:space="preserve"> </v>
      </c>
      <c r="M16" s="1"/>
      <c r="N16" s="2">
        <f t="shared" si="0"/>
        <v>8</v>
      </c>
    </row>
    <row r="17" spans="1:14" ht="15.95" customHeight="1" x14ac:dyDescent="0.25">
      <c r="A17" s="13">
        <v>10</v>
      </c>
      <c r="B17" s="9" t="s">
        <v>1018</v>
      </c>
      <c r="C17" s="10" t="s">
        <v>523</v>
      </c>
      <c r="D17" s="11" t="s">
        <v>327</v>
      </c>
      <c r="E17" s="27">
        <v>6</v>
      </c>
      <c r="F17" s="27">
        <v>0</v>
      </c>
      <c r="G17" s="27">
        <v>3</v>
      </c>
      <c r="H17" s="28">
        <f>100-E17*3+100-F17*3+100-G17*15</f>
        <v>237</v>
      </c>
      <c r="I17" s="29">
        <f>H17/3</f>
        <v>79</v>
      </c>
      <c r="J17" s="27">
        <f>RANK(H17,$H$8:$H$97)</f>
        <v>10</v>
      </c>
      <c r="K17" s="27" t="str">
        <f>IF(I17&lt;11.1,"TIDAK HADIR",IF(I17&lt;13.1,"TIDAK BACA",IF(I17&lt;$K$7,"TIDAK TUNTAS","TUNTAS")))</f>
        <v>TUNTAS</v>
      </c>
      <c r="L17" s="13" t="str">
        <f>IF(G17&gt;5,"TM"," ")</f>
        <v xml:space="preserve"> </v>
      </c>
      <c r="M17" s="1"/>
      <c r="N17" s="2">
        <f t="shared" si="0"/>
        <v>7.9</v>
      </c>
    </row>
    <row r="18" spans="1:14" ht="15.95" customHeight="1" x14ac:dyDescent="0.25">
      <c r="A18" s="13">
        <v>11</v>
      </c>
      <c r="B18" s="9" t="s">
        <v>985</v>
      </c>
      <c r="C18" s="10" t="s">
        <v>494</v>
      </c>
      <c r="D18" s="11" t="s">
        <v>106</v>
      </c>
      <c r="E18" s="27">
        <v>7</v>
      </c>
      <c r="F18" s="27">
        <v>0</v>
      </c>
      <c r="G18" s="27">
        <v>3</v>
      </c>
      <c r="H18" s="28">
        <f>100-E18*3+100-F18*3+100-G18*15</f>
        <v>234</v>
      </c>
      <c r="I18" s="29">
        <f>H18/3</f>
        <v>78</v>
      </c>
      <c r="J18" s="27">
        <f>RANK(H18,$H$8:$H$97)</f>
        <v>11</v>
      </c>
      <c r="K18" s="27" t="str">
        <f>IF(I18&lt;11.1,"TIDAK HADIR",IF(I18&lt;13.1,"TIDAK BACA",IF(I18&lt;$K$7,"TIDAK TUNTAS","TUNTAS")))</f>
        <v>TUNTAS</v>
      </c>
      <c r="L18" s="13" t="str">
        <f>IF(G18&gt;5,"TM"," ")</f>
        <v xml:space="preserve"> </v>
      </c>
      <c r="M18" s="1"/>
      <c r="N18" s="2">
        <f t="shared" si="0"/>
        <v>7.8</v>
      </c>
    </row>
    <row r="19" spans="1:14" ht="15.95" customHeight="1" x14ac:dyDescent="0.25">
      <c r="A19" s="13">
        <v>12</v>
      </c>
      <c r="B19" s="9" t="s">
        <v>1021</v>
      </c>
      <c r="C19" s="10" t="s">
        <v>435</v>
      </c>
      <c r="D19" s="11" t="s">
        <v>64</v>
      </c>
      <c r="E19" s="27">
        <v>3</v>
      </c>
      <c r="F19" s="27">
        <v>4</v>
      </c>
      <c r="G19" s="27">
        <v>3</v>
      </c>
      <c r="H19" s="28">
        <f>100-E19*3+100-F19*3+100-G19*15</f>
        <v>234</v>
      </c>
      <c r="I19" s="29">
        <f>H19/3</f>
        <v>78</v>
      </c>
      <c r="J19" s="27">
        <f>RANK(H19,$H$8:$H$97)</f>
        <v>11</v>
      </c>
      <c r="K19" s="27" t="str">
        <f>IF(I19&lt;11.1,"TIDAK HADIR",IF(I19&lt;13.1,"TIDAK BACA",IF(I19&lt;$K$7,"TIDAK TUNTAS","TUNTAS")))</f>
        <v>TUNTAS</v>
      </c>
      <c r="L19" s="13" t="str">
        <f>IF(G19&gt;5,"TM"," ")</f>
        <v xml:space="preserve"> </v>
      </c>
      <c r="M19" s="1"/>
      <c r="N19" s="2">
        <f t="shared" si="0"/>
        <v>7.8</v>
      </c>
    </row>
    <row r="20" spans="1:14" ht="15.95" customHeight="1" x14ac:dyDescent="0.25">
      <c r="A20" s="13">
        <v>13</v>
      </c>
      <c r="B20" s="9" t="s">
        <v>987</v>
      </c>
      <c r="C20" s="10" t="s">
        <v>294</v>
      </c>
      <c r="D20" s="11" t="s">
        <v>44</v>
      </c>
      <c r="E20" s="27">
        <v>5</v>
      </c>
      <c r="F20" s="27">
        <v>3</v>
      </c>
      <c r="G20" s="27">
        <v>3</v>
      </c>
      <c r="H20" s="28">
        <f>100-E20*3+100-F20*3+100-G20*15</f>
        <v>231</v>
      </c>
      <c r="I20" s="29">
        <f>H20/3</f>
        <v>77</v>
      </c>
      <c r="J20" s="27">
        <f>RANK(H20,$H$8:$H$97)</f>
        <v>13</v>
      </c>
      <c r="K20" s="27" t="str">
        <f>IF(I20&lt;11.1,"TIDAK HADIR",IF(I20&lt;13.1,"TIDAK BACA",IF(I20&lt;$K$7,"TIDAK TUNTAS","TUNTAS")))</f>
        <v>TUNTAS</v>
      </c>
      <c r="L20" s="13" t="str">
        <f>IF(G20&gt;5,"TM"," ")</f>
        <v xml:space="preserve"> </v>
      </c>
      <c r="M20" s="1"/>
      <c r="N20" s="2">
        <f t="shared" si="0"/>
        <v>7.7</v>
      </c>
    </row>
    <row r="21" spans="1:14" ht="15.95" customHeight="1" x14ac:dyDescent="0.25">
      <c r="A21" s="13">
        <v>14</v>
      </c>
      <c r="B21" s="9" t="s">
        <v>966</v>
      </c>
      <c r="C21" s="10" t="s">
        <v>173</v>
      </c>
      <c r="D21" s="11" t="s">
        <v>33</v>
      </c>
      <c r="E21" s="27">
        <v>7</v>
      </c>
      <c r="F21" s="27">
        <v>5</v>
      </c>
      <c r="G21" s="27">
        <v>3</v>
      </c>
      <c r="H21" s="28">
        <f>100-E21*3+100-F21*3+100-G21*15</f>
        <v>219</v>
      </c>
      <c r="I21" s="29">
        <f>H21/3</f>
        <v>73</v>
      </c>
      <c r="J21" s="27">
        <f>RANK(H21,$H$8:$H$97)</f>
        <v>14</v>
      </c>
      <c r="K21" s="27" t="str">
        <f>IF(I21&lt;11.1,"TIDAK HADIR",IF(I21&lt;13.1,"TIDAK BACA",IF(I21&lt;$K$7,"TIDAK TUNTAS","TUNTAS")))</f>
        <v>TUNTAS</v>
      </c>
      <c r="L21" s="13" t="str">
        <f>IF(G21&gt;5,"TM"," ")</f>
        <v xml:space="preserve"> </v>
      </c>
      <c r="M21" s="1"/>
      <c r="N21" s="2">
        <f t="shared" si="0"/>
        <v>7.3</v>
      </c>
    </row>
    <row r="22" spans="1:14" ht="15.95" customHeight="1" x14ac:dyDescent="0.25">
      <c r="A22" s="13">
        <v>15</v>
      </c>
      <c r="B22" s="9" t="s">
        <v>1034</v>
      </c>
      <c r="C22" s="10" t="s">
        <v>239</v>
      </c>
      <c r="D22" s="11" t="s">
        <v>99</v>
      </c>
      <c r="E22" s="27">
        <v>7</v>
      </c>
      <c r="F22" s="27">
        <v>10</v>
      </c>
      <c r="G22" s="27">
        <v>2</v>
      </c>
      <c r="H22" s="28">
        <f>100-E22*3+100-F22*3+100-G22*15</f>
        <v>219</v>
      </c>
      <c r="I22" s="29">
        <f>H22/3</f>
        <v>73</v>
      </c>
      <c r="J22" s="27">
        <f>RANK(H22,$H$8:$H$97)</f>
        <v>14</v>
      </c>
      <c r="K22" s="27" t="str">
        <f>IF(I22&lt;11.1,"TIDAK HADIR",IF(I22&lt;13.1,"TIDAK BACA",IF(I22&lt;$K$7,"TIDAK TUNTAS","TUNTAS")))</f>
        <v>TUNTAS</v>
      </c>
      <c r="L22" s="13" t="str">
        <f>IF(G22&gt;5,"TM"," ")</f>
        <v xml:space="preserve"> </v>
      </c>
      <c r="M22" s="1"/>
      <c r="N22" s="2">
        <f t="shared" si="0"/>
        <v>7.3</v>
      </c>
    </row>
    <row r="23" spans="1:14" ht="15.95" customHeight="1" x14ac:dyDescent="0.25">
      <c r="A23" s="13">
        <v>16</v>
      </c>
      <c r="B23" s="9" t="s">
        <v>963</v>
      </c>
      <c r="C23" s="10" t="s">
        <v>562</v>
      </c>
      <c r="D23" s="11" t="s">
        <v>30</v>
      </c>
      <c r="E23" s="27">
        <v>8</v>
      </c>
      <c r="F23" s="27">
        <v>6</v>
      </c>
      <c r="G23" s="27">
        <v>3</v>
      </c>
      <c r="H23" s="28">
        <f>100-E23*3+100-F23*3+100-G23*15</f>
        <v>213</v>
      </c>
      <c r="I23" s="29">
        <f>H23/3</f>
        <v>71</v>
      </c>
      <c r="J23" s="27">
        <f>RANK(H23,$H$8:$H$97)</f>
        <v>16</v>
      </c>
      <c r="K23" s="27" t="str">
        <f>IF(I23&lt;11.1,"TIDAK HADIR",IF(I23&lt;13.1,"TIDAK BACA",IF(I23&lt;$K$7,"TIDAK TUNTAS","TUNTAS")))</f>
        <v>TUNTAS</v>
      </c>
      <c r="L23" s="13" t="str">
        <f>IF(G23&gt;5,"TM"," ")</f>
        <v xml:space="preserve"> </v>
      </c>
      <c r="M23" s="1"/>
      <c r="N23" s="2">
        <f t="shared" si="0"/>
        <v>7.1</v>
      </c>
    </row>
    <row r="24" spans="1:14" ht="15.95" customHeight="1" x14ac:dyDescent="0.25">
      <c r="A24" s="13">
        <v>17</v>
      </c>
      <c r="B24" s="9" t="s">
        <v>972</v>
      </c>
      <c r="C24" s="10" t="s">
        <v>572</v>
      </c>
      <c r="D24" s="11" t="s">
        <v>35</v>
      </c>
      <c r="E24" s="27">
        <v>6</v>
      </c>
      <c r="F24" s="27">
        <v>3</v>
      </c>
      <c r="G24" s="27">
        <v>4</v>
      </c>
      <c r="H24" s="28">
        <f>100-E24*3+100-F24*3+100-G24*15</f>
        <v>213</v>
      </c>
      <c r="I24" s="29">
        <f>H24/3</f>
        <v>71</v>
      </c>
      <c r="J24" s="27">
        <f>RANK(H24,$H$8:$H$97)</f>
        <v>16</v>
      </c>
      <c r="K24" s="27" t="str">
        <f>IF(I24&lt;11.1,"TIDAK HADIR",IF(I24&lt;13.1,"TIDAK BACA",IF(I24&lt;$K$7,"TIDAK TUNTAS","TUNTAS")))</f>
        <v>TUNTAS</v>
      </c>
      <c r="L24" s="13" t="str">
        <f>IF(G24&gt;5,"TM"," ")</f>
        <v xml:space="preserve"> </v>
      </c>
      <c r="M24" s="1"/>
      <c r="N24" s="2">
        <f t="shared" si="0"/>
        <v>7.1</v>
      </c>
    </row>
    <row r="25" spans="1:14" ht="15.95" customHeight="1" x14ac:dyDescent="0.25">
      <c r="A25" s="13">
        <v>18</v>
      </c>
      <c r="B25" s="9" t="s">
        <v>951</v>
      </c>
      <c r="C25" s="17" t="s">
        <v>753</v>
      </c>
      <c r="D25" s="18" t="s">
        <v>145</v>
      </c>
      <c r="E25" s="27">
        <v>8</v>
      </c>
      <c r="F25" s="27">
        <v>7</v>
      </c>
      <c r="G25" s="27">
        <v>3</v>
      </c>
      <c r="H25" s="28">
        <f>100-E25*3+100-F25*3+100-G25*15</f>
        <v>210</v>
      </c>
      <c r="I25" s="29">
        <f>H25/3</f>
        <v>70</v>
      </c>
      <c r="J25" s="27">
        <f>RANK(H25,$H$8:$H$97)</f>
        <v>18</v>
      </c>
      <c r="K25" s="27" t="str">
        <f>IF(I25&lt;11.1,"TIDAK HADIR",IF(I25&lt;13.1,"TIDAK BACA",IF(I25&lt;$K$7,"TIDAK TUNTAS","TUNTAS")))</f>
        <v>TUNTAS</v>
      </c>
      <c r="L25" s="13" t="str">
        <f>IF(G25&gt;5,"TM"," ")</f>
        <v xml:space="preserve"> </v>
      </c>
      <c r="M25" s="1"/>
      <c r="N25" s="2">
        <f t="shared" si="0"/>
        <v>7</v>
      </c>
    </row>
    <row r="26" spans="1:14" ht="15.95" customHeight="1" x14ac:dyDescent="0.25">
      <c r="A26" s="13">
        <v>19</v>
      </c>
      <c r="B26" s="9" t="s">
        <v>982</v>
      </c>
      <c r="C26" s="10" t="s">
        <v>492</v>
      </c>
      <c r="D26" s="11" t="s">
        <v>287</v>
      </c>
      <c r="E26" s="27">
        <v>5</v>
      </c>
      <c r="F26" s="27">
        <v>5</v>
      </c>
      <c r="G26" s="27">
        <v>4</v>
      </c>
      <c r="H26" s="28">
        <f>100-E26*3+100-F26*3+100-G26*15</f>
        <v>210</v>
      </c>
      <c r="I26" s="29">
        <f>H26/3</f>
        <v>70</v>
      </c>
      <c r="J26" s="27">
        <f>RANK(H26,$H$8:$H$97)</f>
        <v>18</v>
      </c>
      <c r="K26" s="27" t="str">
        <f>IF(I26&lt;11.1,"TIDAK HADIR",IF(I26&lt;13.1,"TIDAK BACA",IF(I26&lt;$K$7,"TIDAK TUNTAS","TUNTAS")))</f>
        <v>TUNTAS</v>
      </c>
      <c r="L26" s="13" t="str">
        <f>IF(G26&gt;5,"TM"," ")</f>
        <v xml:space="preserve"> </v>
      </c>
      <c r="M26" s="1"/>
      <c r="N26" s="2">
        <f t="shared" si="0"/>
        <v>7</v>
      </c>
    </row>
    <row r="27" spans="1:14" ht="15.95" customHeight="1" x14ac:dyDescent="0.25">
      <c r="A27" s="13">
        <v>20</v>
      </c>
      <c r="B27" s="9" t="s">
        <v>977</v>
      </c>
      <c r="C27" s="10" t="s">
        <v>183</v>
      </c>
      <c r="D27" s="11" t="s">
        <v>37</v>
      </c>
      <c r="E27" s="27">
        <v>6</v>
      </c>
      <c r="F27" s="27">
        <v>6</v>
      </c>
      <c r="G27" s="27">
        <v>4</v>
      </c>
      <c r="H27" s="28">
        <f>100-E27*3+100-F27*3+100-G27*15</f>
        <v>204</v>
      </c>
      <c r="I27" s="29">
        <f>H27/3</f>
        <v>68</v>
      </c>
      <c r="J27" s="27">
        <f>RANK(H27,$H$8:$H$97)</f>
        <v>20</v>
      </c>
      <c r="K27" s="27" t="str">
        <f>IF(I27&lt;11.1,"TIDAK HADIR",IF(I27&lt;13.1,"TIDAK BACA",IF(I27&lt;$K$7,"TIDAK TUNTAS","TUNTAS")))</f>
        <v>TUNTAS</v>
      </c>
      <c r="L27" s="13" t="str">
        <f>IF(G27&gt;5,"TM"," ")</f>
        <v xml:space="preserve"> </v>
      </c>
      <c r="M27" s="1"/>
      <c r="N27" s="2">
        <f t="shared" si="0"/>
        <v>6.8</v>
      </c>
    </row>
    <row r="28" spans="1:14" ht="15.95" customHeight="1" x14ac:dyDescent="0.25">
      <c r="A28" s="13">
        <v>21</v>
      </c>
      <c r="B28" s="9" t="s">
        <v>1030</v>
      </c>
      <c r="C28" s="10" t="s">
        <v>1281</v>
      </c>
      <c r="D28" s="11" t="s">
        <v>68</v>
      </c>
      <c r="E28" s="27">
        <v>5</v>
      </c>
      <c r="F28" s="27">
        <v>2</v>
      </c>
      <c r="G28" s="27">
        <v>5</v>
      </c>
      <c r="H28" s="28">
        <f>100-E28*3+100-F28*3+100-G28*15</f>
        <v>204</v>
      </c>
      <c r="I28" s="29">
        <f>H28/3</f>
        <v>68</v>
      </c>
      <c r="J28" s="27">
        <f>RANK(H28,$H$8:$H$97)</f>
        <v>20</v>
      </c>
      <c r="K28" s="27" t="str">
        <f>IF(I28&lt;11.1,"TIDAK HADIR",IF(I28&lt;13.1,"TIDAK BACA",IF(I28&lt;$K$7,"TIDAK TUNTAS","TUNTAS")))</f>
        <v>TUNTAS</v>
      </c>
      <c r="L28" s="13" t="str">
        <f>IF(G28&gt;5,"TM"," ")</f>
        <v xml:space="preserve"> </v>
      </c>
      <c r="M28" s="1"/>
      <c r="N28" s="2">
        <f t="shared" si="0"/>
        <v>6.8</v>
      </c>
    </row>
    <row r="29" spans="1:14" ht="15.95" customHeight="1" x14ac:dyDescent="0.25">
      <c r="A29" s="13">
        <v>22</v>
      </c>
      <c r="B29" s="9" t="s">
        <v>943</v>
      </c>
      <c r="C29" s="10" t="s">
        <v>746</v>
      </c>
      <c r="D29" s="11" t="s">
        <v>19</v>
      </c>
      <c r="E29" s="27">
        <v>8</v>
      </c>
      <c r="F29" s="27">
        <v>5</v>
      </c>
      <c r="G29" s="27">
        <v>4</v>
      </c>
      <c r="H29" s="28">
        <f>100-E29*3+100-F29*3+100-G29*15</f>
        <v>201</v>
      </c>
      <c r="I29" s="29">
        <f>H29/3</f>
        <v>67</v>
      </c>
      <c r="J29" s="27">
        <f>RANK(H29,$H$8:$H$97)</f>
        <v>22</v>
      </c>
      <c r="K29" s="27" t="str">
        <f>IF(I29&lt;11.1,"TIDAK HADIR",IF(I29&lt;13.1,"TIDAK BACA",IF(I29&lt;$K$7,"TIDAK TUNTAS","TUNTAS")))</f>
        <v>TUNTAS</v>
      </c>
      <c r="L29" s="13" t="str">
        <f>IF(G29&gt;5,"TM"," ")</f>
        <v xml:space="preserve"> </v>
      </c>
      <c r="M29" s="1"/>
      <c r="N29" s="2">
        <f t="shared" si="0"/>
        <v>6.7</v>
      </c>
    </row>
    <row r="30" spans="1:14" ht="15.95" customHeight="1" x14ac:dyDescent="0.25">
      <c r="A30" s="13">
        <v>23</v>
      </c>
      <c r="B30" s="9" t="s">
        <v>1009</v>
      </c>
      <c r="C30" s="10" t="s">
        <v>806</v>
      </c>
      <c r="D30" s="11" t="s">
        <v>56</v>
      </c>
      <c r="E30" s="27">
        <v>12</v>
      </c>
      <c r="F30" s="27">
        <v>6</v>
      </c>
      <c r="G30" s="27">
        <v>3</v>
      </c>
      <c r="H30" s="28">
        <f>100-E30*3+100-F30*3+100-G30*15</f>
        <v>201</v>
      </c>
      <c r="I30" s="29">
        <f>H30/3</f>
        <v>67</v>
      </c>
      <c r="J30" s="27">
        <f>RANK(H30,$H$8:$H$97)</f>
        <v>22</v>
      </c>
      <c r="K30" s="27" t="str">
        <f>IF(I30&lt;11.1,"TIDAK HADIR",IF(I30&lt;13.1,"TIDAK BACA",IF(I30&lt;$K$7,"TIDAK TUNTAS","TUNTAS")))</f>
        <v>TUNTAS</v>
      </c>
      <c r="L30" s="13" t="str">
        <f>IF(G30&gt;5,"TM"," ")</f>
        <v xml:space="preserve"> </v>
      </c>
      <c r="M30" s="1"/>
      <c r="N30" s="2">
        <f t="shared" si="0"/>
        <v>6.7</v>
      </c>
    </row>
    <row r="31" spans="1:14" ht="15.95" customHeight="1" x14ac:dyDescent="0.25">
      <c r="A31" s="13">
        <v>24</v>
      </c>
      <c r="B31" s="9" t="s">
        <v>1032</v>
      </c>
      <c r="C31" s="10" t="s">
        <v>734</v>
      </c>
      <c r="D31" s="11" t="s">
        <v>69</v>
      </c>
      <c r="E31" s="27">
        <v>10</v>
      </c>
      <c r="F31" s="27">
        <v>8</v>
      </c>
      <c r="G31" s="27">
        <v>3</v>
      </c>
      <c r="H31" s="28">
        <f>100-E31*3+100-F31*3+100-G31*15</f>
        <v>201</v>
      </c>
      <c r="I31" s="29">
        <f>H31/3</f>
        <v>67</v>
      </c>
      <c r="J31" s="27">
        <f>RANK(H31,$H$8:$H$97)</f>
        <v>22</v>
      </c>
      <c r="K31" s="27" t="str">
        <f>IF(I31&lt;11.1,"TIDAK HADIR",IF(I31&lt;13.1,"TIDAK BACA",IF(I31&lt;$K$7,"TIDAK TUNTAS","TUNTAS")))</f>
        <v>TUNTAS</v>
      </c>
      <c r="L31" s="13" t="str">
        <f>IF(G31&gt;5,"TM"," ")</f>
        <v xml:space="preserve"> </v>
      </c>
      <c r="M31" s="1"/>
      <c r="N31" s="2">
        <f t="shared" si="0"/>
        <v>6.7</v>
      </c>
    </row>
    <row r="32" spans="1:14" ht="15.95" customHeight="1" x14ac:dyDescent="0.25">
      <c r="A32" s="13">
        <v>25</v>
      </c>
      <c r="B32" s="9" t="s">
        <v>989</v>
      </c>
      <c r="C32" s="10" t="s">
        <v>297</v>
      </c>
      <c r="D32" s="11" t="s">
        <v>45</v>
      </c>
      <c r="E32" s="27">
        <v>10</v>
      </c>
      <c r="F32" s="27">
        <v>10</v>
      </c>
      <c r="G32" s="27">
        <v>3</v>
      </c>
      <c r="H32" s="28">
        <f>100-E32*3+100-F32*3+100-G32*15</f>
        <v>195</v>
      </c>
      <c r="I32" s="29">
        <f>H32/3</f>
        <v>65</v>
      </c>
      <c r="J32" s="27">
        <f>RANK(H32,$H$8:$H$97)</f>
        <v>25</v>
      </c>
      <c r="K32" s="27" t="str">
        <f>IF(I32&lt;11.1,"TIDAK HADIR",IF(I32&lt;13.1,"TIDAK BACA",IF(I32&lt;$K$7,"TIDAK TUNTAS","TUNTAS")))</f>
        <v>TUNTAS</v>
      </c>
      <c r="L32" s="13" t="str">
        <f>IF(G32&gt;5,"TM"," ")</f>
        <v xml:space="preserve"> </v>
      </c>
      <c r="M32" s="1"/>
      <c r="N32" s="2">
        <f t="shared" si="0"/>
        <v>6.5</v>
      </c>
    </row>
    <row r="33" spans="1:14" ht="15.95" customHeight="1" x14ac:dyDescent="0.25">
      <c r="A33" s="13">
        <v>26</v>
      </c>
      <c r="B33" s="9" t="s">
        <v>1016</v>
      </c>
      <c r="C33" s="10" t="s">
        <v>521</v>
      </c>
      <c r="D33" s="11" t="s">
        <v>61</v>
      </c>
      <c r="E33" s="27">
        <v>7</v>
      </c>
      <c r="F33" s="27">
        <v>9</v>
      </c>
      <c r="G33" s="27">
        <v>4</v>
      </c>
      <c r="H33" s="28">
        <f>100-E33*3+100-F33*3+100-G33*15</f>
        <v>192</v>
      </c>
      <c r="I33" s="29">
        <f>H33/3</f>
        <v>64</v>
      </c>
      <c r="J33" s="27">
        <f>RANK(H33,$H$8:$H$97)</f>
        <v>26</v>
      </c>
      <c r="K33" s="27" t="str">
        <f>IF(I33&lt;11.1,"TIDAK HADIR",IF(I33&lt;13.1,"TIDAK BACA",IF(I33&lt;$K$7,"TIDAK TUNTAS","TUNTAS")))</f>
        <v>TUNTAS</v>
      </c>
      <c r="L33" s="13" t="str">
        <f>IF(G33&gt;5,"TM"," ")</f>
        <v xml:space="preserve"> </v>
      </c>
      <c r="M33" s="1"/>
      <c r="N33" s="2">
        <f t="shared" si="0"/>
        <v>6.4</v>
      </c>
    </row>
    <row r="34" spans="1:14" ht="15.95" customHeight="1" x14ac:dyDescent="0.25">
      <c r="A34" s="13">
        <v>27</v>
      </c>
      <c r="B34" s="9" t="s">
        <v>1003</v>
      </c>
      <c r="C34" s="10" t="s">
        <v>314</v>
      </c>
      <c r="D34" s="11" t="s">
        <v>54</v>
      </c>
      <c r="E34" s="27">
        <v>15</v>
      </c>
      <c r="F34" s="27">
        <v>10</v>
      </c>
      <c r="G34" s="27">
        <v>3</v>
      </c>
      <c r="H34" s="28">
        <f>100-E34*3+100-F34*3+100-G34*15</f>
        <v>180</v>
      </c>
      <c r="I34" s="29">
        <f>H34/3</f>
        <v>60</v>
      </c>
      <c r="J34" s="27">
        <f>RANK(H34,$H$8:$H$97)</f>
        <v>27</v>
      </c>
      <c r="K34" s="27" t="str">
        <f>IF(I34&lt;11.1,"TIDAK HADIR",IF(I34&lt;13.1,"TIDAK BACA",IF(I34&lt;$K$7,"TIDAK TUNTAS","TUNTAS")))</f>
        <v>TUNTAS</v>
      </c>
      <c r="L34" s="13" t="str">
        <f>IF(G34&gt;5,"TM"," ")</f>
        <v xml:space="preserve"> </v>
      </c>
      <c r="M34" s="1"/>
      <c r="N34" s="2">
        <f t="shared" si="0"/>
        <v>6</v>
      </c>
    </row>
    <row r="35" spans="1:14" ht="15.95" customHeight="1" x14ac:dyDescent="0.25">
      <c r="A35" s="13">
        <v>28</v>
      </c>
      <c r="B35" s="9" t="s">
        <v>1012</v>
      </c>
      <c r="C35" s="10" t="s">
        <v>3189</v>
      </c>
      <c r="D35" s="11" t="s">
        <v>139</v>
      </c>
      <c r="E35" s="27">
        <v>8</v>
      </c>
      <c r="F35" s="27">
        <v>7</v>
      </c>
      <c r="G35" s="27">
        <v>5</v>
      </c>
      <c r="H35" s="28">
        <f>100-E35*3+100-F35*3+100-G35*15</f>
        <v>180</v>
      </c>
      <c r="I35" s="29">
        <f>H35/3</f>
        <v>60</v>
      </c>
      <c r="J35" s="27">
        <f>RANK(H35,$H$8:$H$97)</f>
        <v>27</v>
      </c>
      <c r="K35" s="27" t="str">
        <f>IF(I35&lt;11.1,"TIDAK HADIR",IF(I35&lt;13.1,"TIDAK BACA",IF(I35&lt;$K$7,"TIDAK TUNTAS","TUNTAS")))</f>
        <v>TUNTAS</v>
      </c>
      <c r="L35" s="13" t="str">
        <f>IF(G35&gt;5,"TM"," ")</f>
        <v xml:space="preserve"> </v>
      </c>
      <c r="M35" s="1"/>
      <c r="N35" s="2">
        <f t="shared" si="0"/>
        <v>6</v>
      </c>
    </row>
    <row r="36" spans="1:14" ht="15.95" customHeight="1" x14ac:dyDescent="0.25">
      <c r="A36" s="13">
        <v>29</v>
      </c>
      <c r="B36" s="9" t="s">
        <v>976</v>
      </c>
      <c r="C36" s="10" t="s">
        <v>679</v>
      </c>
      <c r="D36" s="11" t="s">
        <v>36</v>
      </c>
      <c r="E36" s="27">
        <v>13</v>
      </c>
      <c r="F36" s="27">
        <v>8</v>
      </c>
      <c r="G36" s="27">
        <v>4</v>
      </c>
      <c r="H36" s="28">
        <f>100-E36*3+100-F36*3+100-G36*15</f>
        <v>177</v>
      </c>
      <c r="I36" s="29">
        <f>H36/3</f>
        <v>59</v>
      </c>
      <c r="J36" s="27">
        <f>RANK(H36,$H$8:$H$97)</f>
        <v>29</v>
      </c>
      <c r="K36" s="27" t="str">
        <f>IF(I36&lt;11.1,"TIDAK HADIR",IF(I36&lt;13.1,"TIDAK BACA",IF(I36&lt;$K$7,"TIDAK TUNTAS","TUNTAS")))</f>
        <v>TIDAK TUNTAS</v>
      </c>
      <c r="L36" s="13" t="str">
        <f>IF(G36&gt;5,"TM"," ")</f>
        <v xml:space="preserve"> </v>
      </c>
      <c r="M36" s="1"/>
      <c r="N36" s="2">
        <f t="shared" si="0"/>
        <v>5.9</v>
      </c>
    </row>
    <row r="37" spans="1:14" ht="15.95" customHeight="1" x14ac:dyDescent="0.25">
      <c r="A37" s="13">
        <v>30</v>
      </c>
      <c r="B37" s="9" t="s">
        <v>1026</v>
      </c>
      <c r="C37" s="10" t="s">
        <v>337</v>
      </c>
      <c r="D37" s="11" t="s">
        <v>67</v>
      </c>
      <c r="E37" s="27">
        <v>5</v>
      </c>
      <c r="F37" s="27">
        <v>11</v>
      </c>
      <c r="G37" s="27">
        <v>5</v>
      </c>
      <c r="H37" s="28">
        <f>100-E37*3+100-F37*3+100-G37*15</f>
        <v>177</v>
      </c>
      <c r="I37" s="29">
        <f>H37/3</f>
        <v>59</v>
      </c>
      <c r="J37" s="27">
        <f>RANK(H37,$H$8:$H$97)</f>
        <v>29</v>
      </c>
      <c r="K37" s="27" t="str">
        <f>IF(I37&lt;11.1,"TIDAK HADIR",IF(I37&lt;13.1,"TIDAK BACA",IF(I37&lt;$K$7,"TIDAK TUNTAS","TUNTAS")))</f>
        <v>TIDAK TUNTAS</v>
      </c>
      <c r="L37" s="13" t="str">
        <f>IF(G37&gt;5,"TM"," ")</f>
        <v xml:space="preserve"> </v>
      </c>
      <c r="M37" s="1"/>
      <c r="N37" s="2">
        <f t="shared" si="0"/>
        <v>5.9</v>
      </c>
    </row>
    <row r="38" spans="1:14" ht="15.95" customHeight="1" x14ac:dyDescent="0.25">
      <c r="A38" s="13">
        <v>31</v>
      </c>
      <c r="B38" s="9" t="s">
        <v>1028</v>
      </c>
      <c r="C38" s="10" t="s">
        <v>340</v>
      </c>
      <c r="D38" s="11" t="s">
        <v>130</v>
      </c>
      <c r="E38" s="27">
        <v>11</v>
      </c>
      <c r="F38" s="27">
        <v>6</v>
      </c>
      <c r="G38" s="27">
        <v>5</v>
      </c>
      <c r="H38" s="28">
        <f>100-E38*3+100-F38*3+100-G38*15</f>
        <v>174</v>
      </c>
      <c r="I38" s="29">
        <f>H38/3</f>
        <v>58</v>
      </c>
      <c r="J38" s="27">
        <f>RANK(H38,$H$8:$H$97)</f>
        <v>31</v>
      </c>
      <c r="K38" s="27" t="str">
        <f>IF(I38&lt;11.1,"TIDAK HADIR",IF(I38&lt;13.1,"TIDAK BACA",IF(I38&lt;$K$7,"TIDAK TUNTAS","TUNTAS")))</f>
        <v>TIDAK TUNTAS</v>
      </c>
      <c r="L38" s="13" t="str">
        <f>IF(G38&gt;5,"TM"," ")</f>
        <v xml:space="preserve"> </v>
      </c>
      <c r="M38" s="1"/>
      <c r="N38" s="2">
        <f t="shared" si="0"/>
        <v>5.8</v>
      </c>
    </row>
    <row r="39" spans="1:14" ht="15.95" customHeight="1" x14ac:dyDescent="0.25">
      <c r="A39" s="13">
        <v>32</v>
      </c>
      <c r="B39" s="9" t="s">
        <v>949</v>
      </c>
      <c r="C39" s="10" t="s">
        <v>365</v>
      </c>
      <c r="D39" s="11" t="s">
        <v>23</v>
      </c>
      <c r="E39" s="27">
        <v>6</v>
      </c>
      <c r="F39" s="27">
        <v>7</v>
      </c>
      <c r="G39" s="27">
        <v>6</v>
      </c>
      <c r="H39" s="28">
        <f>100-E39*3+100-F39*3+100-G39*15</f>
        <v>171</v>
      </c>
      <c r="I39" s="29">
        <f>H39/3</f>
        <v>57</v>
      </c>
      <c r="J39" s="27">
        <f>RANK(H39,$H$8:$H$97)</f>
        <v>32</v>
      </c>
      <c r="K39" s="27" t="str">
        <f>IF(I39&lt;11.1,"TIDAK HADIR",IF(I39&lt;13.1,"TIDAK BACA",IF(I39&lt;$K$7,"TIDAK TUNTAS","TUNTAS")))</f>
        <v>TIDAK TUNTAS</v>
      </c>
      <c r="L39" s="13" t="str">
        <f>IF(G39&gt;5,"TM"," ")</f>
        <v>TM</v>
      </c>
      <c r="M39" s="1"/>
      <c r="N39" s="2">
        <f t="shared" si="0"/>
        <v>5.7</v>
      </c>
    </row>
    <row r="40" spans="1:14" ht="15.95" customHeight="1" x14ac:dyDescent="0.25">
      <c r="A40" s="13">
        <v>33</v>
      </c>
      <c r="B40" s="9" t="s">
        <v>978</v>
      </c>
      <c r="C40" s="10" t="s">
        <v>1146</v>
      </c>
      <c r="D40" s="11" t="s">
        <v>39</v>
      </c>
      <c r="E40" s="27">
        <v>10</v>
      </c>
      <c r="F40" s="27">
        <v>13</v>
      </c>
      <c r="G40" s="27">
        <v>4</v>
      </c>
      <c r="H40" s="28">
        <f>100-E40*3+100-F40*3+100-G40*15</f>
        <v>171</v>
      </c>
      <c r="I40" s="29">
        <f>H40/3</f>
        <v>57</v>
      </c>
      <c r="J40" s="27">
        <f>RANK(H40,$H$8:$H$97)</f>
        <v>32</v>
      </c>
      <c r="K40" s="27" t="str">
        <f>IF(I40&lt;11.1,"TIDAK HADIR",IF(I40&lt;13.1,"TIDAK BACA",IF(I40&lt;$K$7,"TIDAK TUNTAS","TUNTAS")))</f>
        <v>TIDAK TUNTAS</v>
      </c>
      <c r="L40" s="13" t="str">
        <f>IF(G40&gt;5,"TM"," ")</f>
        <v xml:space="preserve"> </v>
      </c>
      <c r="M40" s="1"/>
      <c r="N40" s="2">
        <f t="shared" si="0"/>
        <v>5.7</v>
      </c>
    </row>
    <row r="41" spans="1:14" ht="15.95" customHeight="1" x14ac:dyDescent="0.25">
      <c r="A41" s="13">
        <v>34</v>
      </c>
      <c r="B41" s="9" t="s">
        <v>980</v>
      </c>
      <c r="C41" s="10" t="s">
        <v>685</v>
      </c>
      <c r="D41" s="11" t="s">
        <v>40</v>
      </c>
      <c r="E41" s="27">
        <v>15</v>
      </c>
      <c r="F41" s="27">
        <v>10</v>
      </c>
      <c r="G41" s="27">
        <v>4</v>
      </c>
      <c r="H41" s="28">
        <f>100-E41*3+100-F41*3+100-G41*15</f>
        <v>165</v>
      </c>
      <c r="I41" s="29">
        <f>H41/3</f>
        <v>55</v>
      </c>
      <c r="J41" s="27">
        <f>RANK(H41,$H$8:$H$97)</f>
        <v>34</v>
      </c>
      <c r="K41" s="27" t="str">
        <f>IF(I41&lt;11.1,"TIDAK HADIR",IF(I41&lt;13.1,"TIDAK BACA",IF(I41&lt;$K$7,"TIDAK TUNTAS","TUNTAS")))</f>
        <v>TIDAK TUNTAS</v>
      </c>
      <c r="L41" s="13" t="str">
        <f>IF(G41&gt;5,"TM"," ")</f>
        <v xml:space="preserve"> </v>
      </c>
      <c r="M41" s="1"/>
      <c r="N41" s="2">
        <f t="shared" si="0"/>
        <v>5.5</v>
      </c>
    </row>
    <row r="42" spans="1:14" ht="15.95" customHeight="1" x14ac:dyDescent="0.25">
      <c r="A42" s="13">
        <v>35</v>
      </c>
      <c r="B42" s="9" t="s">
        <v>999</v>
      </c>
      <c r="C42" s="10" t="s">
        <v>602</v>
      </c>
      <c r="D42" s="11" t="s">
        <v>51</v>
      </c>
      <c r="E42" s="27">
        <v>15</v>
      </c>
      <c r="F42" s="27">
        <v>15</v>
      </c>
      <c r="G42" s="27">
        <v>3</v>
      </c>
      <c r="H42" s="28">
        <f>100-E42*3+100-F42*3+100-G42*15</f>
        <v>165</v>
      </c>
      <c r="I42" s="29">
        <f>H42/3</f>
        <v>55</v>
      </c>
      <c r="J42" s="27">
        <f>RANK(H42,$H$8:$H$97)</f>
        <v>34</v>
      </c>
      <c r="K42" s="27" t="str">
        <f>IF(I42&lt;11.1,"TIDAK HADIR",IF(I42&lt;13.1,"TIDAK BACA",IF(I42&lt;$K$7,"TIDAK TUNTAS","TUNTAS")))</f>
        <v>TIDAK TUNTAS</v>
      </c>
      <c r="L42" s="13" t="str">
        <f>IF(G42&gt;5,"TM"," ")</f>
        <v xml:space="preserve"> </v>
      </c>
      <c r="M42" s="1"/>
      <c r="N42" s="2">
        <f t="shared" si="0"/>
        <v>5.5</v>
      </c>
    </row>
    <row r="43" spans="1:14" ht="15.95" customHeight="1" x14ac:dyDescent="0.25">
      <c r="A43" s="13">
        <v>36</v>
      </c>
      <c r="B43" s="9" t="s">
        <v>959</v>
      </c>
      <c r="C43" s="10" t="s">
        <v>860</v>
      </c>
      <c r="D43" s="11" t="s">
        <v>28</v>
      </c>
      <c r="E43" s="27">
        <v>11</v>
      </c>
      <c r="F43" s="27">
        <v>10</v>
      </c>
      <c r="G43" s="27">
        <v>5</v>
      </c>
      <c r="H43" s="28">
        <f>100-E43*3+100-F43*3+100-G43*15</f>
        <v>162</v>
      </c>
      <c r="I43" s="29">
        <f>H43/3</f>
        <v>54</v>
      </c>
      <c r="J43" s="27">
        <f>RANK(H43,$H$8:$H$97)</f>
        <v>36</v>
      </c>
      <c r="K43" s="27" t="str">
        <f>IF(I43&lt;11.1,"TIDAK HADIR",IF(I43&lt;13.1,"TIDAK BACA",IF(I43&lt;$K$7,"TIDAK TUNTAS","TUNTAS")))</f>
        <v>TIDAK TUNTAS</v>
      </c>
      <c r="L43" s="13" t="str">
        <f>IF(G43&gt;5,"TM"," ")</f>
        <v xml:space="preserve"> </v>
      </c>
      <c r="M43" s="1"/>
      <c r="N43" s="2">
        <f t="shared" si="0"/>
        <v>5.4</v>
      </c>
    </row>
    <row r="44" spans="1:14" ht="15.95" customHeight="1" x14ac:dyDescent="0.25">
      <c r="A44" s="13">
        <v>37</v>
      </c>
      <c r="B44" s="9" t="s">
        <v>939</v>
      </c>
      <c r="C44" s="10" t="s">
        <v>248</v>
      </c>
      <c r="D44" s="11" t="s">
        <v>16</v>
      </c>
      <c r="E44" s="27">
        <v>15</v>
      </c>
      <c r="F44" s="27">
        <v>12</v>
      </c>
      <c r="G44" s="27">
        <v>4</v>
      </c>
      <c r="H44" s="28">
        <f>100-E44*3+100-F44*3+100-G44*15</f>
        <v>159</v>
      </c>
      <c r="I44" s="29">
        <f>H44/3</f>
        <v>53</v>
      </c>
      <c r="J44" s="27">
        <f>RANK(H44,$H$8:$H$97)</f>
        <v>37</v>
      </c>
      <c r="K44" s="27" t="str">
        <f>IF(I44&lt;11.1,"TIDAK HADIR",IF(I44&lt;13.1,"TIDAK BACA",IF(I44&lt;$K$7,"TIDAK TUNTAS","TUNTAS")))</f>
        <v>TIDAK TUNTAS</v>
      </c>
      <c r="L44" s="13" t="str">
        <f>IF(G44&gt;5,"TM"," ")</f>
        <v xml:space="preserve"> </v>
      </c>
      <c r="M44" s="1"/>
      <c r="N44" s="2">
        <f t="shared" si="0"/>
        <v>5.3</v>
      </c>
    </row>
    <row r="45" spans="1:14" ht="15.95" customHeight="1" x14ac:dyDescent="0.25">
      <c r="A45" s="13">
        <v>38</v>
      </c>
      <c r="B45" s="9" t="s">
        <v>1020</v>
      </c>
      <c r="C45" s="10" t="s">
        <v>525</v>
      </c>
      <c r="D45" s="11" t="s">
        <v>63</v>
      </c>
      <c r="E45" s="27">
        <v>11</v>
      </c>
      <c r="F45" s="27">
        <v>11</v>
      </c>
      <c r="G45" s="27">
        <v>5</v>
      </c>
      <c r="H45" s="28">
        <f>100-E45*3+100-F45*3+100-G45*15</f>
        <v>159</v>
      </c>
      <c r="I45" s="29">
        <f>H45/3</f>
        <v>53</v>
      </c>
      <c r="J45" s="27">
        <f>RANK(H45,$H$8:$H$97)</f>
        <v>37</v>
      </c>
      <c r="K45" s="27" t="str">
        <f>IF(I45&lt;11.1,"TIDAK HADIR",IF(I45&lt;13.1,"TIDAK BACA",IF(I45&lt;$K$7,"TIDAK TUNTAS","TUNTAS")))</f>
        <v>TIDAK TUNTAS</v>
      </c>
      <c r="L45" s="13" t="str">
        <f>IF(G45&gt;5,"TM"," ")</f>
        <v xml:space="preserve"> </v>
      </c>
      <c r="M45" s="1"/>
      <c r="N45" s="2">
        <f t="shared" si="0"/>
        <v>5.3</v>
      </c>
    </row>
    <row r="46" spans="1:14" ht="15.95" customHeight="1" x14ac:dyDescent="0.25">
      <c r="A46" s="13">
        <v>39</v>
      </c>
      <c r="B46" s="9" t="s">
        <v>994</v>
      </c>
      <c r="C46" s="10" t="s">
        <v>792</v>
      </c>
      <c r="D46" s="11" t="s">
        <v>47</v>
      </c>
      <c r="E46" s="27">
        <v>12</v>
      </c>
      <c r="F46" s="27">
        <v>12</v>
      </c>
      <c r="G46" s="27">
        <v>5</v>
      </c>
      <c r="H46" s="28">
        <f>100-E46*3+100-F46*3+100-G46*15</f>
        <v>153</v>
      </c>
      <c r="I46" s="29">
        <f>H46/3</f>
        <v>51</v>
      </c>
      <c r="J46" s="27">
        <f>RANK(H46,$H$8:$H$97)</f>
        <v>39</v>
      </c>
      <c r="K46" s="27" t="str">
        <f>IF(I46&lt;11.1,"TIDAK HADIR",IF(I46&lt;13.1,"TIDAK BACA",IF(I46&lt;$K$7,"TIDAK TUNTAS","TUNTAS")))</f>
        <v>TIDAK TUNTAS</v>
      </c>
      <c r="L46" s="13" t="str">
        <f>IF(G46&gt;5,"TM"," ")</f>
        <v xml:space="preserve"> </v>
      </c>
      <c r="M46" s="1"/>
      <c r="N46" s="2">
        <f t="shared" si="0"/>
        <v>5.0999999999999996</v>
      </c>
    </row>
    <row r="47" spans="1:14" ht="15.95" customHeight="1" x14ac:dyDescent="0.25">
      <c r="A47" s="13">
        <v>40</v>
      </c>
      <c r="B47" s="9" t="s">
        <v>956</v>
      </c>
      <c r="C47" s="17" t="s">
        <v>166</v>
      </c>
      <c r="D47" s="18" t="s">
        <v>27</v>
      </c>
      <c r="E47" s="27">
        <v>13</v>
      </c>
      <c r="F47" s="27">
        <v>20</v>
      </c>
      <c r="G47" s="27">
        <v>4</v>
      </c>
      <c r="H47" s="28">
        <f>100-E47*3+100-F47*3+100-G47*15</f>
        <v>141</v>
      </c>
      <c r="I47" s="29">
        <f>H47/3</f>
        <v>47</v>
      </c>
      <c r="J47" s="27">
        <f>RANK(H47,$H$8:$H$97)</f>
        <v>40</v>
      </c>
      <c r="K47" s="27" t="str">
        <f>IF(I47&lt;11.1,"TIDAK HADIR",IF(I47&lt;13.1,"TIDAK BACA",IF(I47&lt;$K$7,"TIDAK TUNTAS","TUNTAS")))</f>
        <v>TIDAK TUNTAS</v>
      </c>
      <c r="L47" s="13" t="str">
        <f>IF(G47&gt;5,"TM"," ")</f>
        <v xml:space="preserve"> </v>
      </c>
      <c r="M47" s="1"/>
      <c r="N47" s="2">
        <f t="shared" si="0"/>
        <v>4.7</v>
      </c>
    </row>
    <row r="48" spans="1:14" ht="15.95" customHeight="1" x14ac:dyDescent="0.25">
      <c r="A48" s="13">
        <v>41</v>
      </c>
      <c r="B48" s="9" t="s">
        <v>937</v>
      </c>
      <c r="C48" s="10" t="s">
        <v>353</v>
      </c>
      <c r="D48" s="11" t="s">
        <v>15</v>
      </c>
      <c r="E48" s="27">
        <v>16</v>
      </c>
      <c r="F48" s="27">
        <v>14</v>
      </c>
      <c r="G48" s="27">
        <v>5</v>
      </c>
      <c r="H48" s="28">
        <f>100-E48*3+100-F48*3+100-G48*15</f>
        <v>135</v>
      </c>
      <c r="I48" s="29">
        <f>H48/3</f>
        <v>45</v>
      </c>
      <c r="J48" s="27">
        <f>RANK(H48,$H$8:$H$97)</f>
        <v>41</v>
      </c>
      <c r="K48" s="27" t="str">
        <f>IF(I48&lt;11.1,"TIDAK HADIR",IF(I48&lt;13.1,"TIDAK BACA",IF(I48&lt;$K$7,"TIDAK TUNTAS","TUNTAS")))</f>
        <v>TIDAK TUNTAS</v>
      </c>
      <c r="L48" s="13" t="str">
        <f>IF(G48&gt;5,"TM"," ")</f>
        <v xml:space="preserve"> </v>
      </c>
      <c r="M48" s="1"/>
      <c r="N48" s="2">
        <f t="shared" si="0"/>
        <v>4.5</v>
      </c>
    </row>
    <row r="49" spans="1:14" ht="15.95" customHeight="1" x14ac:dyDescent="0.25">
      <c r="A49" s="13">
        <v>42</v>
      </c>
      <c r="B49" s="9" t="s">
        <v>941</v>
      </c>
      <c r="C49" s="10" t="s">
        <v>546</v>
      </c>
      <c r="D49" s="11" t="s">
        <v>19</v>
      </c>
      <c r="E49" s="27">
        <v>11</v>
      </c>
      <c r="F49" s="27">
        <v>20</v>
      </c>
      <c r="G49" s="27">
        <v>5</v>
      </c>
      <c r="H49" s="28">
        <f>100-E49*3+100-F49*3+100-G49*15</f>
        <v>132</v>
      </c>
      <c r="I49" s="29">
        <f>H49/3</f>
        <v>44</v>
      </c>
      <c r="J49" s="27">
        <f>RANK(H49,$H$8:$H$97)</f>
        <v>42</v>
      </c>
      <c r="K49" s="27" t="str">
        <f>IF(I49&lt;11.1,"TIDAK HADIR",IF(I49&lt;13.1,"TIDAK BACA",IF(I49&lt;$K$7,"TIDAK TUNTAS","TUNTAS")))</f>
        <v>TIDAK TUNTAS</v>
      </c>
      <c r="L49" s="13" t="str">
        <f>IF(G49&gt;5,"TM"," ")</f>
        <v xml:space="preserve"> </v>
      </c>
      <c r="M49" s="1"/>
      <c r="N49" s="2">
        <f t="shared" si="0"/>
        <v>4.4000000000000004</v>
      </c>
    </row>
    <row r="50" spans="1:14" ht="15.95" customHeight="1" x14ac:dyDescent="0.25">
      <c r="A50" s="13">
        <v>43</v>
      </c>
      <c r="B50" s="9" t="s">
        <v>1038</v>
      </c>
      <c r="C50" s="10" t="s">
        <v>3190</v>
      </c>
      <c r="D50" s="11" t="s">
        <v>89</v>
      </c>
      <c r="E50" s="27">
        <v>18</v>
      </c>
      <c r="F50" s="27">
        <v>13</v>
      </c>
      <c r="G50" s="27">
        <v>5</v>
      </c>
      <c r="H50" s="28">
        <f>100-E50*3+100-F50*3+100-G50*15</f>
        <v>132</v>
      </c>
      <c r="I50" s="29">
        <f>H50/3</f>
        <v>44</v>
      </c>
      <c r="J50" s="27">
        <f>RANK(H50,$H$8:$H$97)</f>
        <v>42</v>
      </c>
      <c r="K50" s="27" t="str">
        <f>IF(I50&lt;11.1,"TIDAK HADIR",IF(I50&lt;13.1,"TIDAK BACA",IF(I50&lt;$K$7,"TIDAK TUNTAS","TUNTAS")))</f>
        <v>TIDAK TUNTAS</v>
      </c>
      <c r="L50" s="13" t="str">
        <f>IF(G50&gt;5,"TM"," ")</f>
        <v xml:space="preserve"> </v>
      </c>
      <c r="M50" s="1"/>
      <c r="N50" s="2">
        <f t="shared" si="0"/>
        <v>4.4000000000000004</v>
      </c>
    </row>
    <row r="51" spans="1:14" ht="15.95" customHeight="1" x14ac:dyDescent="0.25">
      <c r="A51" s="13">
        <v>44</v>
      </c>
      <c r="B51" s="9" t="s">
        <v>1036</v>
      </c>
      <c r="C51" s="10" t="s">
        <v>444</v>
      </c>
      <c r="D51" s="11" t="s">
        <v>131</v>
      </c>
      <c r="E51" s="27">
        <v>14</v>
      </c>
      <c r="F51" s="27">
        <v>19</v>
      </c>
      <c r="G51" s="27">
        <v>5</v>
      </c>
      <c r="H51" s="28">
        <f>100-E51*3+100-F51*3+100-G51*15</f>
        <v>126</v>
      </c>
      <c r="I51" s="29">
        <f>H51/3</f>
        <v>42</v>
      </c>
      <c r="J51" s="27">
        <f>RANK(H51,$H$8:$H$97)</f>
        <v>44</v>
      </c>
      <c r="K51" s="27" t="str">
        <f>IF(I51&lt;11.1,"TIDAK HADIR",IF(I51&lt;13.1,"TIDAK BACA",IF(I51&lt;$K$7,"TIDAK TUNTAS","TUNTAS")))</f>
        <v>TIDAK TUNTAS</v>
      </c>
      <c r="L51" s="13" t="str">
        <f>IF(G51&gt;5,"TM"," ")</f>
        <v xml:space="preserve"> </v>
      </c>
      <c r="M51" s="1"/>
      <c r="N51" s="2">
        <f t="shared" si="0"/>
        <v>4.2</v>
      </c>
    </row>
    <row r="52" spans="1:14" ht="15.95" customHeight="1" x14ac:dyDescent="0.25">
      <c r="A52" s="13">
        <v>45</v>
      </c>
      <c r="B52" s="9" t="s">
        <v>997</v>
      </c>
      <c r="C52" s="10" t="s">
        <v>600</v>
      </c>
      <c r="D52" s="11" t="s">
        <v>108</v>
      </c>
      <c r="E52" s="27">
        <v>20</v>
      </c>
      <c r="F52" s="27">
        <v>9</v>
      </c>
      <c r="G52" s="27">
        <v>6</v>
      </c>
      <c r="H52" s="28">
        <f>100-E52*3+100-F52*3+100-G52*15</f>
        <v>123</v>
      </c>
      <c r="I52" s="29">
        <f>H52/3</f>
        <v>41</v>
      </c>
      <c r="J52" s="27">
        <f>RANK(H52,$H$8:$H$97)</f>
        <v>45</v>
      </c>
      <c r="K52" s="27" t="str">
        <f>IF(I52&lt;11.1,"TIDAK HADIR",IF(I52&lt;13.1,"TIDAK BACA",IF(I52&lt;$K$7,"TIDAK TUNTAS","TUNTAS")))</f>
        <v>TIDAK TUNTAS</v>
      </c>
      <c r="L52" s="13" t="str">
        <f>IF(G52&gt;5,"TM"," ")</f>
        <v>TM</v>
      </c>
      <c r="M52" s="1"/>
      <c r="N52" s="2">
        <f t="shared" si="0"/>
        <v>4.0999999999999996</v>
      </c>
    </row>
    <row r="53" spans="1:14" ht="15.95" customHeight="1" x14ac:dyDescent="0.25">
      <c r="A53" s="13">
        <v>46</v>
      </c>
      <c r="B53" s="9" t="s">
        <v>1031</v>
      </c>
      <c r="C53" s="10" t="s">
        <v>732</v>
      </c>
      <c r="D53" s="11" t="s">
        <v>68</v>
      </c>
      <c r="E53" s="27">
        <v>16</v>
      </c>
      <c r="F53" s="27">
        <v>13</v>
      </c>
      <c r="G53" s="27">
        <v>6</v>
      </c>
      <c r="H53" s="28">
        <f>100-E53*3+100-F53*3+100-G53*15</f>
        <v>123</v>
      </c>
      <c r="I53" s="29">
        <f>H53/3</f>
        <v>41</v>
      </c>
      <c r="J53" s="27">
        <f>RANK(H53,$H$8:$H$97)</f>
        <v>45</v>
      </c>
      <c r="K53" s="27" t="str">
        <f>IF(I53&lt;11.1,"TIDAK HADIR",IF(I53&lt;13.1,"TIDAK BACA",IF(I53&lt;$K$7,"TIDAK TUNTAS","TUNTAS")))</f>
        <v>TIDAK TUNTAS</v>
      </c>
      <c r="L53" s="4" t="str">
        <f>IF(G53&gt;5,"TM"," ")</f>
        <v>TM</v>
      </c>
      <c r="M53" s="1"/>
      <c r="N53" s="2">
        <f t="shared" si="0"/>
        <v>4.0999999999999996</v>
      </c>
    </row>
    <row r="54" spans="1:14" x14ac:dyDescent="0.25">
      <c r="A54" s="13">
        <v>47</v>
      </c>
      <c r="B54" s="9" t="s">
        <v>1024</v>
      </c>
      <c r="C54" s="10" t="s">
        <v>629</v>
      </c>
      <c r="D54" s="11" t="s">
        <v>113</v>
      </c>
      <c r="E54" s="27">
        <v>18</v>
      </c>
      <c r="F54" s="27">
        <v>17</v>
      </c>
      <c r="G54" s="27">
        <v>5</v>
      </c>
      <c r="H54" s="28">
        <f>100-E54*3+100-F54*3+100-G54*15</f>
        <v>120</v>
      </c>
      <c r="I54" s="29">
        <f>H54/3</f>
        <v>40</v>
      </c>
      <c r="J54" s="27">
        <f>RANK(H54,$H$8:$H$97)</f>
        <v>47</v>
      </c>
      <c r="K54" s="27" t="str">
        <f>IF(I54&lt;11.1,"TIDAK HADIR",IF(I54&lt;13.1,"TIDAK BACA",IF(I54&lt;$K$7,"TIDAK TUNTAS","TUNTAS")))</f>
        <v>TIDAK TUNTAS</v>
      </c>
      <c r="L54" s="13" t="str">
        <f>IF(G54&gt;5,"TM"," ")</f>
        <v xml:space="preserve"> </v>
      </c>
      <c r="M54" s="1"/>
      <c r="N54" s="2">
        <f t="shared" si="0"/>
        <v>4</v>
      </c>
    </row>
    <row r="55" spans="1:14" x14ac:dyDescent="0.25">
      <c r="A55" s="13">
        <v>48</v>
      </c>
      <c r="B55" s="9" t="s">
        <v>995</v>
      </c>
      <c r="C55" s="10" t="s">
        <v>503</v>
      </c>
      <c r="D55" s="11" t="s">
        <v>48</v>
      </c>
      <c r="E55" s="27">
        <v>16</v>
      </c>
      <c r="F55" s="27">
        <v>16</v>
      </c>
      <c r="G55" s="27">
        <v>6</v>
      </c>
      <c r="H55" s="28">
        <f>100-E55*3+100-F55*3+100-G55*15</f>
        <v>114</v>
      </c>
      <c r="I55" s="29">
        <f>H55/3</f>
        <v>38</v>
      </c>
      <c r="J55" s="27">
        <f>RANK(H55,$H$8:$H$97)</f>
        <v>48</v>
      </c>
      <c r="K55" s="27" t="str">
        <f>IF(I55&lt;11.1,"TIDAK HADIR",IF(I55&lt;13.1,"TIDAK BACA",IF(I55&lt;$K$7,"TIDAK TUNTAS","TUNTAS")))</f>
        <v>TIDAK TUNTAS</v>
      </c>
      <c r="L55" s="13" t="str">
        <f>IF(G55&gt;5,"TM"," ")</f>
        <v>TM</v>
      </c>
      <c r="M55" s="1"/>
      <c r="N55" s="2">
        <f t="shared" si="0"/>
        <v>3.8</v>
      </c>
    </row>
    <row r="56" spans="1:14" x14ac:dyDescent="0.25">
      <c r="A56" s="13">
        <v>49</v>
      </c>
      <c r="B56" s="9" t="s">
        <v>1005</v>
      </c>
      <c r="C56" s="10" t="s">
        <v>209</v>
      </c>
      <c r="D56" s="11" t="s">
        <v>54</v>
      </c>
      <c r="E56" s="27">
        <v>24</v>
      </c>
      <c r="F56" s="27">
        <v>20</v>
      </c>
      <c r="G56" s="27">
        <v>5</v>
      </c>
      <c r="H56" s="28">
        <f>100-E56*3+100-F56*3+100-G56*15</f>
        <v>93</v>
      </c>
      <c r="I56" s="29">
        <f>H56/3</f>
        <v>31</v>
      </c>
      <c r="J56" s="27">
        <f>RANK(H56,$H$8:$H$97)</f>
        <v>49</v>
      </c>
      <c r="K56" s="27" t="str">
        <f>IF(I56&lt;11.1,"TIDAK HADIR",IF(I56&lt;13.1,"TIDAK BACA",IF(I56&lt;$K$7,"TIDAK TUNTAS","TUNTAS")))</f>
        <v>TIDAK TUNTAS</v>
      </c>
      <c r="L56" s="13" t="str">
        <f>IF(G56&gt;5,"TM"," ")</f>
        <v xml:space="preserve"> </v>
      </c>
      <c r="M56" s="1"/>
      <c r="N56" s="2">
        <f t="shared" si="0"/>
        <v>3.1</v>
      </c>
    </row>
    <row r="57" spans="1:14" x14ac:dyDescent="0.25">
      <c r="A57" s="13">
        <v>50</v>
      </c>
      <c r="B57" s="9" t="s">
        <v>968</v>
      </c>
      <c r="C57" s="10" t="s">
        <v>673</v>
      </c>
      <c r="D57" s="11" t="s">
        <v>79</v>
      </c>
      <c r="E57" s="27">
        <v>20</v>
      </c>
      <c r="F57" s="27">
        <v>20</v>
      </c>
      <c r="G57" s="27">
        <v>6</v>
      </c>
      <c r="H57" s="28">
        <f>100-E57*3+100-F57*3+100-G57*15</f>
        <v>90</v>
      </c>
      <c r="I57" s="29">
        <f>H57/3</f>
        <v>30</v>
      </c>
      <c r="J57" s="27">
        <f>RANK(H57,$H$8:$H$97)</f>
        <v>50</v>
      </c>
      <c r="K57" s="27" t="str">
        <f>IF(I57&lt;11.1,"TIDAK HADIR",IF(I57&lt;13.1,"TIDAK BACA",IF(I57&lt;$K$7,"TIDAK TUNTAS","TUNTAS")))</f>
        <v>TIDAK TUNTAS</v>
      </c>
      <c r="L57" s="13" t="str">
        <f>IF(G57&gt;5,"TM"," ")</f>
        <v>TM</v>
      </c>
      <c r="M57" s="1"/>
      <c r="N57" s="2">
        <f t="shared" si="0"/>
        <v>3</v>
      </c>
    </row>
    <row r="58" spans="1:14" x14ac:dyDescent="0.25">
      <c r="A58" s="13">
        <v>51</v>
      </c>
      <c r="B58" s="9" t="s">
        <v>1010</v>
      </c>
      <c r="C58" s="10" t="s">
        <v>808</v>
      </c>
      <c r="D58" s="11" t="s">
        <v>129</v>
      </c>
      <c r="E58" s="27">
        <v>25</v>
      </c>
      <c r="F58" s="27">
        <v>25</v>
      </c>
      <c r="G58" s="27">
        <v>6</v>
      </c>
      <c r="H58" s="28">
        <f>100-E58*3+100-F58*3+100-G58*15</f>
        <v>60</v>
      </c>
      <c r="I58" s="29">
        <f>H58/3</f>
        <v>20</v>
      </c>
      <c r="J58" s="27">
        <f>RANK(H58,$H$8:$H$97)</f>
        <v>51</v>
      </c>
      <c r="K58" s="27" t="str">
        <f>IF(I58&lt;11.1,"TIDAK HADIR",IF(I58&lt;13.1,"TIDAK BACA",IF(I58&lt;$K$7,"TIDAK TUNTAS","TUNTAS")))</f>
        <v>TIDAK TUNTAS</v>
      </c>
      <c r="L58" s="13" t="str">
        <f>IF(G58&gt;5,"TM"," ")</f>
        <v>TM</v>
      </c>
      <c r="M58" s="1"/>
      <c r="N58" s="2">
        <f t="shared" si="0"/>
        <v>2</v>
      </c>
    </row>
    <row r="59" spans="1:14" x14ac:dyDescent="0.25">
      <c r="A59" s="13">
        <v>52</v>
      </c>
      <c r="B59" s="9" t="s">
        <v>958</v>
      </c>
      <c r="C59" s="17" t="s">
        <v>373</v>
      </c>
      <c r="D59" s="18" t="s">
        <v>75</v>
      </c>
      <c r="E59" s="27">
        <v>24</v>
      </c>
      <c r="F59" s="27">
        <v>28</v>
      </c>
      <c r="G59" s="27">
        <v>6</v>
      </c>
      <c r="H59" s="28">
        <f>100-E59*3+100-F59*3+100-G59*15</f>
        <v>54</v>
      </c>
      <c r="I59" s="29">
        <f>H59/3</f>
        <v>18</v>
      </c>
      <c r="J59" s="27">
        <f>RANK(H59,$H$8:$H$97)</f>
        <v>52</v>
      </c>
      <c r="K59" s="27" t="str">
        <f>IF(I59&lt;11.1,"TIDAK HADIR",IF(I59&lt;13.1,"TIDAK BACA",IF(I59&lt;$K$7,"TIDAK TUNTAS","TUNTAS")))</f>
        <v>TIDAK TUNTAS</v>
      </c>
      <c r="L59" s="13" t="str">
        <f>IF(G59&gt;5,"TM"," ")</f>
        <v>TM</v>
      </c>
      <c r="N59" s="2">
        <f t="shared" si="0"/>
        <v>1.8</v>
      </c>
    </row>
    <row r="60" spans="1:14" x14ac:dyDescent="0.25">
      <c r="A60" s="13">
        <v>53</v>
      </c>
      <c r="B60" s="9" t="s">
        <v>983</v>
      </c>
      <c r="C60" s="10" t="s">
        <v>187</v>
      </c>
      <c r="D60" s="11" t="s">
        <v>81</v>
      </c>
      <c r="E60" s="27">
        <v>28</v>
      </c>
      <c r="F60" s="27">
        <v>29</v>
      </c>
      <c r="G60" s="27">
        <v>5</v>
      </c>
      <c r="H60" s="28">
        <f>100-E60*3+100-F60*3+100-G60*15</f>
        <v>54</v>
      </c>
      <c r="I60" s="29">
        <f>H60/3</f>
        <v>18</v>
      </c>
      <c r="J60" s="27">
        <f>RANK(H60,$H$8:$H$97)</f>
        <v>52</v>
      </c>
      <c r="K60" s="27" t="str">
        <f>IF(I60&lt;11.1,"TIDAK HADIR",IF(I60&lt;13.1,"TIDAK BACA",IF(I60&lt;$K$7,"TIDAK TUNTAS","TUNTAS")))</f>
        <v>TIDAK TUNTAS</v>
      </c>
      <c r="L60" s="13" t="str">
        <f>IF(G60&gt;5,"TM"," ")</f>
        <v xml:space="preserve"> </v>
      </c>
      <c r="N60" s="2">
        <f t="shared" si="0"/>
        <v>1.8</v>
      </c>
    </row>
    <row r="61" spans="1:14" x14ac:dyDescent="0.25">
      <c r="A61" s="13">
        <v>54</v>
      </c>
      <c r="B61" s="9" t="s">
        <v>1007</v>
      </c>
      <c r="C61" s="10" t="s">
        <v>513</v>
      </c>
      <c r="D61" s="11" t="s">
        <v>94</v>
      </c>
      <c r="E61" s="27">
        <v>28</v>
      </c>
      <c r="F61" s="27">
        <v>24</v>
      </c>
      <c r="G61" s="27">
        <v>6</v>
      </c>
      <c r="H61" s="28">
        <f>100-E61*3+100-F61*3+100-G61*15</f>
        <v>54</v>
      </c>
      <c r="I61" s="29">
        <f>H61/3</f>
        <v>18</v>
      </c>
      <c r="J61" s="27">
        <f>RANK(H61,$H$8:$H$97)</f>
        <v>52</v>
      </c>
      <c r="K61" s="27" t="str">
        <f>IF(I61&lt;11.1,"TIDAK HADIR",IF(I61&lt;13.1,"TIDAK BACA",IF(I61&lt;$K$7,"TIDAK TUNTAS","TUNTAS")))</f>
        <v>TIDAK TUNTAS</v>
      </c>
      <c r="L61" s="13" t="str">
        <f>IF(G61&gt;5,"TM"," ")</f>
        <v>TM</v>
      </c>
      <c r="N61" s="2">
        <f t="shared" si="0"/>
        <v>1.8</v>
      </c>
    </row>
    <row r="62" spans="1:14" x14ac:dyDescent="0.25">
      <c r="A62" s="13">
        <v>55</v>
      </c>
      <c r="B62" s="9" t="s">
        <v>965</v>
      </c>
      <c r="C62" s="10" t="s">
        <v>473</v>
      </c>
      <c r="D62" s="11" t="s">
        <v>91</v>
      </c>
      <c r="E62" s="27">
        <v>30</v>
      </c>
      <c r="F62" s="27">
        <v>30</v>
      </c>
      <c r="G62" s="27">
        <v>5</v>
      </c>
      <c r="H62" s="28">
        <f>100-E62*3+100-F62*3+100-G62*15</f>
        <v>45</v>
      </c>
      <c r="I62" s="29">
        <f>H62/3</f>
        <v>15</v>
      </c>
      <c r="J62" s="27">
        <f>RANK(H62,$H$8:$H$97)</f>
        <v>55</v>
      </c>
      <c r="K62" s="27" t="str">
        <f>IF(I62&lt;11.1,"TIDAK HADIR",IF(I62&lt;13.1,"TIDAK BACA",IF(I62&lt;$K$7,"TIDAK TUNTAS","TUNTAS")))</f>
        <v>TIDAK TUNTAS</v>
      </c>
      <c r="L62" s="13" t="str">
        <f>IF(G62&gt;5,"TM"," ")</f>
        <v xml:space="preserve"> </v>
      </c>
      <c r="N62" s="2">
        <f t="shared" si="0"/>
        <v>1.5</v>
      </c>
    </row>
    <row r="63" spans="1:14" x14ac:dyDescent="0.25">
      <c r="A63" s="13">
        <v>56</v>
      </c>
      <c r="B63" s="9" t="s">
        <v>953</v>
      </c>
      <c r="C63" s="10" t="s">
        <v>554</v>
      </c>
      <c r="D63" s="11" t="s">
        <v>124</v>
      </c>
      <c r="E63" s="27">
        <v>32</v>
      </c>
      <c r="F63" s="27">
        <v>32</v>
      </c>
      <c r="G63" s="27">
        <v>5</v>
      </c>
      <c r="H63" s="28">
        <f>100-E63*3+100-F63*3+100-G63*15</f>
        <v>33</v>
      </c>
      <c r="I63" s="29">
        <f>H63/3</f>
        <v>11</v>
      </c>
      <c r="J63" s="27">
        <f>RANK(H63,$H$8:$H$97)</f>
        <v>56</v>
      </c>
      <c r="K63" s="27" t="str">
        <f>IF(I63&lt;11.1,"TIDAK HADIR",IF(I63&lt;13.1,"TIDAK BACA",IF(I63&lt;$K$7,"TIDAK TUNTAS","TUNTAS")))</f>
        <v>TIDAK HADIR</v>
      </c>
      <c r="L63" s="4" t="s">
        <v>3264</v>
      </c>
      <c r="N63" s="2">
        <f t="shared" si="0"/>
        <v>1.1000000000000001</v>
      </c>
    </row>
    <row r="64" spans="1:14" x14ac:dyDescent="0.25">
      <c r="A64" s="13">
        <v>57</v>
      </c>
      <c r="B64" s="9" t="s">
        <v>970</v>
      </c>
      <c r="C64" s="10" t="s">
        <v>479</v>
      </c>
      <c r="D64" s="11" t="s">
        <v>103</v>
      </c>
      <c r="E64" s="27">
        <v>32</v>
      </c>
      <c r="F64" s="27">
        <v>32</v>
      </c>
      <c r="G64" s="27">
        <v>5</v>
      </c>
      <c r="H64" s="28">
        <f>100-E64*3+100-F64*3+100-G64*15</f>
        <v>33</v>
      </c>
      <c r="I64" s="29">
        <f>H64/3</f>
        <v>11</v>
      </c>
      <c r="J64" s="27">
        <f>RANK(H64,$H$8:$H$97)</f>
        <v>56</v>
      </c>
      <c r="K64" s="27" t="str">
        <f>IF(I64&lt;11.1,"TIDAK HADIR",IF(I64&lt;13.1,"TIDAK BACA",IF(I64&lt;$K$7,"TIDAK TUNTAS","TUNTAS")))</f>
        <v>TIDAK HADIR</v>
      </c>
      <c r="L64" s="4" t="s">
        <v>3264</v>
      </c>
      <c r="N64" s="2">
        <f t="shared" si="0"/>
        <v>1.1000000000000001</v>
      </c>
    </row>
    <row r="65" spans="1:14" x14ac:dyDescent="0.25">
      <c r="A65" s="13">
        <v>58</v>
      </c>
      <c r="B65" s="9" t="s">
        <v>1001</v>
      </c>
      <c r="C65" s="10" t="s">
        <v>507</v>
      </c>
      <c r="D65" s="11" t="s">
        <v>52</v>
      </c>
      <c r="E65" s="27">
        <v>32</v>
      </c>
      <c r="F65" s="27">
        <v>32</v>
      </c>
      <c r="G65" s="27">
        <v>5</v>
      </c>
      <c r="H65" s="28">
        <f>100-E65*3+100-F65*3+100-G65*15</f>
        <v>33</v>
      </c>
      <c r="I65" s="29">
        <f>H65/3</f>
        <v>11</v>
      </c>
      <c r="J65" s="27">
        <f>RANK(H65,$H$8:$H$97)</f>
        <v>56</v>
      </c>
      <c r="K65" s="27" t="str">
        <f>IF(I65&lt;11.1,"TIDAK HADIR",IF(I65&lt;13.1,"TIDAK BACA",IF(I65&lt;$K$7,"TIDAK TUNTAS","TUNTAS")))</f>
        <v>TIDAK HADIR</v>
      </c>
      <c r="L65" s="4" t="s">
        <v>3264</v>
      </c>
      <c r="N65" s="2">
        <f t="shared" si="0"/>
        <v>1.1000000000000001</v>
      </c>
    </row>
    <row r="66" spans="1:14" x14ac:dyDescent="0.25">
      <c r="A66" s="13">
        <v>59</v>
      </c>
      <c r="B66" s="9" t="s">
        <v>1023</v>
      </c>
      <c r="C66" s="10" t="s">
        <v>822</v>
      </c>
      <c r="D66" s="11" t="s">
        <v>88</v>
      </c>
      <c r="E66" s="27">
        <v>32</v>
      </c>
      <c r="F66" s="27">
        <v>32</v>
      </c>
      <c r="G66" s="27">
        <v>5</v>
      </c>
      <c r="H66" s="28">
        <f>100-E66*3+100-F66*3+100-G66*15</f>
        <v>33</v>
      </c>
      <c r="I66" s="29">
        <f>H66/3</f>
        <v>11</v>
      </c>
      <c r="J66" s="27">
        <f>RANK(H66,$H$8:$H$97)</f>
        <v>56</v>
      </c>
      <c r="K66" s="27" t="str">
        <f>IF(I66&lt;11.1,"TIDAK HADIR",IF(I66&lt;13.1,"TIDAK BACA",IF(I66&lt;$K$7,"TIDAK TUNTAS","TUNTAS")))</f>
        <v>TIDAK HADIR</v>
      </c>
      <c r="L66" s="4" t="s">
        <v>3267</v>
      </c>
      <c r="N66" s="2">
        <f t="shared" si="0"/>
        <v>1.1000000000000001</v>
      </c>
    </row>
  </sheetData>
  <autoFilter ref="A5:L7" xr:uid="{BE1163C3-D00B-4BB5-9A90-4F8FECCACC16}">
    <filterColumn colId="4" showButton="0"/>
    <filterColumn colId="5" showButton="0"/>
    <sortState xmlns:xlrd2="http://schemas.microsoft.com/office/spreadsheetml/2017/richdata2" ref="A10:L66">
      <sortCondition ref="A5:A7"/>
    </sortState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phoneticPr fontId="13" type="noConversion"/>
  <conditionalFormatting sqref="D8:D10">
    <cfRule type="cellIs" dxfId="98" priority="14" operator="equal">
      <formula>0</formula>
    </cfRule>
  </conditionalFormatting>
  <conditionalFormatting sqref="I8:I66">
    <cfRule type="cellIs" dxfId="97" priority="8" operator="lessThan">
      <formula>60</formula>
    </cfRule>
    <cfRule type="cellIs" dxfId="96" priority="9" operator="lessThan">
      <formula>60</formula>
    </cfRule>
    <cfRule type="cellIs" dxfId="95" priority="10" operator="lessThan">
      <formula>50</formula>
    </cfRule>
  </conditionalFormatting>
  <conditionalFormatting sqref="K8:K66">
    <cfRule type="cellIs" dxfId="94" priority="1" operator="equal">
      <formula>"TIDAK BACA"</formula>
    </cfRule>
    <cfRule type="cellIs" dxfId="93" priority="2" operator="equal">
      <formula>"TIDAK TUNTAS"</formula>
    </cfRule>
    <cfRule type="cellIs" dxfId="92" priority="3" operator="equal">
      <formula>"TUNTAS"</formula>
    </cfRule>
    <cfRule type="cellIs" dxfId="91" priority="4" operator="equal">
      <formula>"TIDAK HADIR"</formula>
    </cfRule>
    <cfRule type="cellIs" dxfId="9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AABE6845-9D2B-4C34-89F8-34C246D2C38E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DA6D7-B431-4066-812D-016E5E7D7182}">
  <sheetPr>
    <tabColor theme="2" tint="-0.249977111117893"/>
  </sheetPr>
  <dimension ref="A1:N65"/>
  <sheetViews>
    <sheetView zoomScaleNormal="100" workbookViewId="0">
      <pane xSplit="1" ySplit="7" topLeftCell="B53" activePane="bottomRight" state="frozen"/>
      <selection activeCell="P66" sqref="P66"/>
      <selection pane="topRight" activeCell="P66" sqref="P66"/>
      <selection pane="bottomLeft" activeCell="P66" sqref="P66"/>
      <selection pane="bottomRight" activeCell="N65" sqref="N8:N65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s="33" customFormat="1" ht="19.899999999999999" customHeight="1" x14ac:dyDescent="0.25">
      <c r="A4" s="51" t="s">
        <v>3268</v>
      </c>
      <c r="B4" s="51"/>
      <c r="C4" s="51"/>
      <c r="D4" s="51"/>
      <c r="E4" s="51"/>
      <c r="F4" s="51"/>
      <c r="G4" s="51"/>
      <c r="H4" s="51"/>
      <c r="I4" s="51"/>
      <c r="K4" s="33" t="s">
        <v>3269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1040</v>
      </c>
      <c r="C8" s="10" t="s">
        <v>3191</v>
      </c>
      <c r="D8" s="11" t="s">
        <v>14</v>
      </c>
      <c r="E8" s="27">
        <v>13</v>
      </c>
      <c r="F8" s="27">
        <v>11</v>
      </c>
      <c r="G8" s="27">
        <v>4</v>
      </c>
      <c r="H8" s="28">
        <f t="shared" ref="H8:H39" si="0">100-E8*3+100-F8*3+100-G8*15</f>
        <v>168</v>
      </c>
      <c r="I8" s="29">
        <f t="shared" ref="I8:I39" si="1">H8/3</f>
        <v>56</v>
      </c>
      <c r="J8" s="27">
        <f t="shared" ref="J8:J39" si="2">RANK(H8,$H$8:$H$97)</f>
        <v>31</v>
      </c>
      <c r="K8" s="27" t="str">
        <f t="shared" ref="K8:K39" si="3">IF(I8&lt;11.1,"TIDAK HADIR",IF(I8&lt;13.1,"TIDAK BACA",IF(I8&lt;$K$7,"TIDAK TUNTAS","TUNTAS")))</f>
        <v>TIDAK TUNTAS</v>
      </c>
      <c r="L8" s="4" t="str">
        <f t="shared" ref="L8:L15" si="4">IF(G8&gt;5,"TM"," ")</f>
        <v xml:space="preserve"> </v>
      </c>
      <c r="M8" s="1"/>
      <c r="N8" s="2">
        <f>I8/10</f>
        <v>5.6</v>
      </c>
    </row>
    <row r="9" spans="1:14" ht="15.95" customHeight="1" x14ac:dyDescent="0.25">
      <c r="A9" s="13">
        <v>2</v>
      </c>
      <c r="B9" s="9" t="s">
        <v>1041</v>
      </c>
      <c r="C9" s="10" t="s">
        <v>540</v>
      </c>
      <c r="D9" s="11" t="s">
        <v>15</v>
      </c>
      <c r="E9" s="27">
        <v>32</v>
      </c>
      <c r="F9" s="27">
        <v>32</v>
      </c>
      <c r="G9" s="27">
        <v>5</v>
      </c>
      <c r="H9" s="28">
        <f t="shared" si="0"/>
        <v>33</v>
      </c>
      <c r="I9" s="29">
        <f t="shared" si="1"/>
        <v>11</v>
      </c>
      <c r="J9" s="27">
        <f t="shared" si="2"/>
        <v>54</v>
      </c>
      <c r="K9" s="27" t="str">
        <f t="shared" si="3"/>
        <v>TIDAK HADIR</v>
      </c>
      <c r="L9" s="4" t="str">
        <f t="shared" si="4"/>
        <v xml:space="preserve"> </v>
      </c>
      <c r="M9" s="1"/>
      <c r="N9" s="2">
        <f t="shared" ref="N9:N65" si="5">I9/10</f>
        <v>1.1000000000000001</v>
      </c>
    </row>
    <row r="10" spans="1:14" ht="15.95" customHeight="1" x14ac:dyDescent="0.25">
      <c r="A10" s="13">
        <v>3</v>
      </c>
      <c r="B10" s="9" t="s">
        <v>1043</v>
      </c>
      <c r="C10" s="10" t="s">
        <v>645</v>
      </c>
      <c r="D10" s="11" t="s">
        <v>17</v>
      </c>
      <c r="E10" s="27">
        <v>10</v>
      </c>
      <c r="F10" s="27">
        <v>7</v>
      </c>
      <c r="G10" s="27">
        <v>3</v>
      </c>
      <c r="H10" s="28">
        <f t="shared" si="0"/>
        <v>204</v>
      </c>
      <c r="I10" s="29">
        <f t="shared" si="1"/>
        <v>68</v>
      </c>
      <c r="J10" s="27">
        <f t="shared" si="2"/>
        <v>24</v>
      </c>
      <c r="K10" s="27" t="str">
        <f t="shared" si="3"/>
        <v>TUNTAS</v>
      </c>
      <c r="L10" s="4" t="str">
        <f t="shared" si="4"/>
        <v xml:space="preserve"> </v>
      </c>
      <c r="M10" s="1"/>
      <c r="N10" s="2">
        <f t="shared" si="5"/>
        <v>6.8</v>
      </c>
    </row>
    <row r="11" spans="1:14" ht="15.95" customHeight="1" x14ac:dyDescent="0.25">
      <c r="A11" s="13">
        <v>4</v>
      </c>
      <c r="B11" s="9" t="s">
        <v>1045</v>
      </c>
      <c r="C11" s="10" t="s">
        <v>3192</v>
      </c>
      <c r="D11" s="11" t="s">
        <v>18</v>
      </c>
      <c r="E11" s="27">
        <v>15</v>
      </c>
      <c r="F11" s="27">
        <v>18</v>
      </c>
      <c r="G11" s="27">
        <v>4</v>
      </c>
      <c r="H11" s="28">
        <f t="shared" si="0"/>
        <v>141</v>
      </c>
      <c r="I11" s="29">
        <f t="shared" si="1"/>
        <v>47</v>
      </c>
      <c r="J11" s="27">
        <f t="shared" si="2"/>
        <v>39</v>
      </c>
      <c r="K11" s="27" t="str">
        <f t="shared" si="3"/>
        <v>TIDAK TUNTAS</v>
      </c>
      <c r="L11" s="4" t="str">
        <f t="shared" si="4"/>
        <v xml:space="preserve"> </v>
      </c>
      <c r="M11" s="1"/>
      <c r="N11" s="2">
        <f t="shared" si="5"/>
        <v>4.7</v>
      </c>
    </row>
    <row r="12" spans="1:14" ht="15.95" customHeight="1" x14ac:dyDescent="0.25">
      <c r="A12" s="13">
        <v>5</v>
      </c>
      <c r="B12" s="9" t="s">
        <v>1047</v>
      </c>
      <c r="C12" s="10" t="s">
        <v>3193</v>
      </c>
      <c r="D12" s="11" t="s">
        <v>19</v>
      </c>
      <c r="E12" s="27">
        <v>11</v>
      </c>
      <c r="F12" s="27">
        <v>12</v>
      </c>
      <c r="G12" s="27">
        <v>2</v>
      </c>
      <c r="H12" s="28">
        <f t="shared" si="0"/>
        <v>201</v>
      </c>
      <c r="I12" s="29">
        <f t="shared" si="1"/>
        <v>67</v>
      </c>
      <c r="J12" s="27">
        <f t="shared" si="2"/>
        <v>26</v>
      </c>
      <c r="K12" s="27" t="str">
        <f t="shared" si="3"/>
        <v>TUNTAS</v>
      </c>
      <c r="L12" s="4" t="str">
        <f t="shared" si="4"/>
        <v xml:space="preserve"> </v>
      </c>
      <c r="M12" s="1"/>
      <c r="N12" s="2">
        <f t="shared" si="5"/>
        <v>6.7</v>
      </c>
    </row>
    <row r="13" spans="1:14" ht="15.95" customHeight="1" x14ac:dyDescent="0.25">
      <c r="A13" s="13">
        <v>6</v>
      </c>
      <c r="B13" s="9" t="s">
        <v>1048</v>
      </c>
      <c r="C13" s="10" t="s">
        <v>748</v>
      </c>
      <c r="D13" s="11" t="s">
        <v>20</v>
      </c>
      <c r="E13" s="27">
        <v>3</v>
      </c>
      <c r="F13" s="27">
        <v>2</v>
      </c>
      <c r="G13" s="27">
        <v>1</v>
      </c>
      <c r="H13" s="28">
        <f t="shared" si="0"/>
        <v>270</v>
      </c>
      <c r="I13" s="29">
        <f t="shared" si="1"/>
        <v>90</v>
      </c>
      <c r="J13" s="27">
        <f t="shared" si="2"/>
        <v>9</v>
      </c>
      <c r="K13" s="27" t="str">
        <f t="shared" si="3"/>
        <v>TUNTAS</v>
      </c>
      <c r="L13" s="4" t="str">
        <f t="shared" si="4"/>
        <v xml:space="preserve"> </v>
      </c>
      <c r="M13" s="1"/>
      <c r="N13" s="2">
        <f t="shared" si="5"/>
        <v>9</v>
      </c>
    </row>
    <row r="14" spans="1:14" ht="15.95" customHeight="1" x14ac:dyDescent="0.25">
      <c r="A14" s="13">
        <v>7</v>
      </c>
      <c r="B14" s="9" t="s">
        <v>1050</v>
      </c>
      <c r="C14" s="10" t="s">
        <v>652</v>
      </c>
      <c r="D14" s="11" t="s">
        <v>22</v>
      </c>
      <c r="E14" s="27">
        <v>30</v>
      </c>
      <c r="F14" s="27">
        <v>30</v>
      </c>
      <c r="G14" s="27">
        <v>5</v>
      </c>
      <c r="H14" s="28">
        <f t="shared" si="0"/>
        <v>45</v>
      </c>
      <c r="I14" s="29">
        <f t="shared" si="1"/>
        <v>15</v>
      </c>
      <c r="J14" s="27">
        <f t="shared" si="2"/>
        <v>52</v>
      </c>
      <c r="K14" s="27" t="str">
        <f t="shared" si="3"/>
        <v>TIDAK TUNTAS</v>
      </c>
      <c r="L14" s="4" t="str">
        <f t="shared" si="4"/>
        <v xml:space="preserve"> </v>
      </c>
      <c r="M14" s="1"/>
      <c r="N14" s="2">
        <f t="shared" si="5"/>
        <v>1.5</v>
      </c>
    </row>
    <row r="15" spans="1:14" ht="15.95" customHeight="1" x14ac:dyDescent="0.25">
      <c r="A15" s="13">
        <v>8</v>
      </c>
      <c r="B15" s="9" t="s">
        <v>1052</v>
      </c>
      <c r="C15" s="17" t="s">
        <v>654</v>
      </c>
      <c r="D15" s="18" t="s">
        <v>123</v>
      </c>
      <c r="E15" s="27">
        <v>20</v>
      </c>
      <c r="F15" s="27">
        <v>13</v>
      </c>
      <c r="G15" s="27">
        <v>4</v>
      </c>
      <c r="H15" s="28">
        <f t="shared" si="0"/>
        <v>141</v>
      </c>
      <c r="I15" s="29">
        <f t="shared" si="1"/>
        <v>47</v>
      </c>
      <c r="J15" s="27">
        <f t="shared" si="2"/>
        <v>39</v>
      </c>
      <c r="K15" s="27" t="str">
        <f t="shared" si="3"/>
        <v>TIDAK TUNTAS</v>
      </c>
      <c r="L15" s="4" t="str">
        <f t="shared" si="4"/>
        <v xml:space="preserve"> </v>
      </c>
      <c r="M15" s="1"/>
      <c r="N15" s="2">
        <f t="shared" si="5"/>
        <v>4.7</v>
      </c>
    </row>
    <row r="16" spans="1:14" ht="15.95" customHeight="1" x14ac:dyDescent="0.25">
      <c r="A16" s="13">
        <v>9</v>
      </c>
      <c r="B16" s="9" t="s">
        <v>1053</v>
      </c>
      <c r="C16" s="10" t="s">
        <v>3194</v>
      </c>
      <c r="D16" s="11" t="s">
        <v>145</v>
      </c>
      <c r="E16" s="27">
        <v>19</v>
      </c>
      <c r="F16" s="27">
        <v>10</v>
      </c>
      <c r="G16" s="27">
        <v>3</v>
      </c>
      <c r="H16" s="28">
        <f t="shared" si="0"/>
        <v>168</v>
      </c>
      <c r="I16" s="29">
        <f t="shared" si="1"/>
        <v>56</v>
      </c>
      <c r="J16" s="27">
        <f t="shared" si="2"/>
        <v>31</v>
      </c>
      <c r="K16" s="27" t="str">
        <f t="shared" si="3"/>
        <v>TIDAK TUNTAS</v>
      </c>
      <c r="L16" s="4"/>
      <c r="M16" s="1"/>
      <c r="N16" s="2">
        <f t="shared" si="5"/>
        <v>5.6</v>
      </c>
    </row>
    <row r="17" spans="1:14" ht="15.95" customHeight="1" x14ac:dyDescent="0.25">
      <c r="A17" s="13">
        <v>10</v>
      </c>
      <c r="B17" s="9" t="s">
        <v>1055</v>
      </c>
      <c r="C17" s="10" t="s">
        <v>367</v>
      </c>
      <c r="D17" s="11" t="s">
        <v>124</v>
      </c>
      <c r="E17" s="27">
        <v>18</v>
      </c>
      <c r="F17" s="27">
        <v>24</v>
      </c>
      <c r="G17" s="27">
        <v>6</v>
      </c>
      <c r="H17" s="28">
        <f t="shared" si="0"/>
        <v>84</v>
      </c>
      <c r="I17" s="29">
        <f t="shared" si="1"/>
        <v>28</v>
      </c>
      <c r="J17" s="27">
        <f t="shared" si="2"/>
        <v>45</v>
      </c>
      <c r="K17" s="27" t="str">
        <f t="shared" si="3"/>
        <v>TIDAK TUNTAS</v>
      </c>
      <c r="L17" s="4" t="str">
        <f>IF(G17&gt;5,"TM"," ")</f>
        <v>TM</v>
      </c>
      <c r="M17" s="1"/>
      <c r="N17" s="2">
        <f t="shared" si="5"/>
        <v>2.8</v>
      </c>
    </row>
    <row r="18" spans="1:14" ht="15.95" customHeight="1" x14ac:dyDescent="0.25">
      <c r="A18" s="13">
        <v>11</v>
      </c>
      <c r="B18" s="9" t="s">
        <v>1057</v>
      </c>
      <c r="C18" s="17" t="s">
        <v>755</v>
      </c>
      <c r="D18" s="18" t="s">
        <v>25</v>
      </c>
      <c r="E18" s="27">
        <v>20</v>
      </c>
      <c r="F18" s="27">
        <v>28</v>
      </c>
      <c r="G18" s="27">
        <v>6</v>
      </c>
      <c r="H18" s="28">
        <f t="shared" si="0"/>
        <v>66</v>
      </c>
      <c r="I18" s="29">
        <f t="shared" si="1"/>
        <v>22</v>
      </c>
      <c r="J18" s="27">
        <f t="shared" si="2"/>
        <v>48</v>
      </c>
      <c r="K18" s="27" t="str">
        <f t="shared" si="3"/>
        <v>TIDAK TUNTAS</v>
      </c>
      <c r="L18" s="4" t="str">
        <f>IF(G18&gt;5,"TM"," ")</f>
        <v>TM</v>
      </c>
      <c r="M18" s="1"/>
      <c r="N18" s="2">
        <f t="shared" si="5"/>
        <v>2.2000000000000002</v>
      </c>
    </row>
    <row r="19" spans="1:14" ht="15.95" customHeight="1" x14ac:dyDescent="0.25">
      <c r="A19" s="13">
        <v>12</v>
      </c>
      <c r="B19" s="9" t="s">
        <v>1059</v>
      </c>
      <c r="C19" s="17" t="s">
        <v>263</v>
      </c>
      <c r="D19" s="18" t="s">
        <v>27</v>
      </c>
      <c r="E19" s="27">
        <v>2</v>
      </c>
      <c r="F19" s="27">
        <v>5</v>
      </c>
      <c r="G19" s="27">
        <v>2</v>
      </c>
      <c r="H19" s="28">
        <f t="shared" si="0"/>
        <v>249</v>
      </c>
      <c r="I19" s="29">
        <f t="shared" si="1"/>
        <v>83</v>
      </c>
      <c r="J19" s="27">
        <f t="shared" si="2"/>
        <v>13</v>
      </c>
      <c r="K19" s="27" t="str">
        <f t="shared" si="3"/>
        <v>TUNTAS</v>
      </c>
      <c r="L19" s="4" t="str">
        <f>IF(G19&gt;5,"TM"," ")</f>
        <v xml:space="preserve"> </v>
      </c>
      <c r="M19" s="1"/>
      <c r="N19" s="2">
        <f t="shared" si="5"/>
        <v>8.3000000000000007</v>
      </c>
    </row>
    <row r="20" spans="1:14" ht="15.95" customHeight="1" x14ac:dyDescent="0.25">
      <c r="A20" s="13">
        <v>13</v>
      </c>
      <c r="B20" s="9" t="s">
        <v>1061</v>
      </c>
      <c r="C20" s="10" t="s">
        <v>265</v>
      </c>
      <c r="D20" s="11" t="s">
        <v>146</v>
      </c>
      <c r="E20" s="27">
        <v>7</v>
      </c>
      <c r="F20" s="27">
        <v>12</v>
      </c>
      <c r="G20" s="27">
        <v>6</v>
      </c>
      <c r="H20" s="28">
        <f t="shared" si="0"/>
        <v>153</v>
      </c>
      <c r="I20" s="29">
        <f t="shared" si="1"/>
        <v>51</v>
      </c>
      <c r="J20" s="27">
        <f t="shared" si="2"/>
        <v>36</v>
      </c>
      <c r="K20" s="27" t="str">
        <f t="shared" si="3"/>
        <v>TIDAK TUNTAS</v>
      </c>
      <c r="L20" s="4" t="str">
        <f>IF(G20&gt;5,"TM"," ")</f>
        <v>TM</v>
      </c>
      <c r="M20" s="1"/>
      <c r="N20" s="2">
        <f t="shared" si="5"/>
        <v>5.0999999999999996</v>
      </c>
    </row>
    <row r="21" spans="1:14" ht="15.95" customHeight="1" x14ac:dyDescent="0.25">
      <c r="A21" s="13">
        <v>14</v>
      </c>
      <c r="B21" s="9" t="s">
        <v>1062</v>
      </c>
      <c r="C21" s="10" t="s">
        <v>169</v>
      </c>
      <c r="D21" s="11" t="s">
        <v>29</v>
      </c>
      <c r="E21" s="27">
        <v>32</v>
      </c>
      <c r="F21" s="27">
        <v>32</v>
      </c>
      <c r="G21" s="27">
        <v>5</v>
      </c>
      <c r="H21" s="28">
        <f t="shared" si="0"/>
        <v>33</v>
      </c>
      <c r="I21" s="29">
        <f t="shared" si="1"/>
        <v>11</v>
      </c>
      <c r="J21" s="27">
        <f t="shared" si="2"/>
        <v>54</v>
      </c>
      <c r="K21" s="27" t="str">
        <f t="shared" si="3"/>
        <v>TIDAK HADIR</v>
      </c>
      <c r="L21" s="4" t="s">
        <v>3264</v>
      </c>
      <c r="M21" s="1"/>
      <c r="N21" s="2">
        <f t="shared" si="5"/>
        <v>1.1000000000000001</v>
      </c>
    </row>
    <row r="22" spans="1:14" ht="15.95" customHeight="1" x14ac:dyDescent="0.25">
      <c r="A22" s="13">
        <v>15</v>
      </c>
      <c r="B22" s="9" t="s">
        <v>1063</v>
      </c>
      <c r="C22" s="10" t="s">
        <v>666</v>
      </c>
      <c r="D22" s="11" t="s">
        <v>30</v>
      </c>
      <c r="E22" s="27">
        <v>20</v>
      </c>
      <c r="F22" s="27">
        <v>20</v>
      </c>
      <c r="G22" s="27">
        <v>6</v>
      </c>
      <c r="H22" s="28">
        <f t="shared" si="0"/>
        <v>90</v>
      </c>
      <c r="I22" s="29">
        <f t="shared" si="1"/>
        <v>30</v>
      </c>
      <c r="J22" s="27">
        <f t="shared" si="2"/>
        <v>44</v>
      </c>
      <c r="K22" s="27" t="str">
        <f t="shared" si="3"/>
        <v>TIDAK TUNTAS</v>
      </c>
      <c r="L22" s="4" t="str">
        <f>IF(G22&gt;5,"TM"," ")</f>
        <v>TM</v>
      </c>
      <c r="M22" s="1"/>
      <c r="N22" s="2">
        <f t="shared" si="5"/>
        <v>3</v>
      </c>
    </row>
    <row r="23" spans="1:14" ht="15.95" customHeight="1" x14ac:dyDescent="0.25">
      <c r="A23" s="13">
        <v>16</v>
      </c>
      <c r="B23" s="9" t="s">
        <v>1065</v>
      </c>
      <c r="C23" s="10" t="s">
        <v>862</v>
      </c>
      <c r="D23" s="11" t="s">
        <v>30</v>
      </c>
      <c r="E23" s="27">
        <v>5</v>
      </c>
      <c r="F23" s="27">
        <v>4</v>
      </c>
      <c r="G23" s="27">
        <v>3</v>
      </c>
      <c r="H23" s="28">
        <f t="shared" si="0"/>
        <v>228</v>
      </c>
      <c r="I23" s="29">
        <f t="shared" si="1"/>
        <v>76</v>
      </c>
      <c r="J23" s="27">
        <f t="shared" si="2"/>
        <v>15</v>
      </c>
      <c r="K23" s="27" t="str">
        <f t="shared" si="3"/>
        <v>TUNTAS</v>
      </c>
      <c r="L23" s="4" t="str">
        <f>IF(G23&gt;5,"TM"," ")</f>
        <v xml:space="preserve"> </v>
      </c>
      <c r="M23" s="1"/>
      <c r="N23" s="2">
        <f t="shared" si="5"/>
        <v>7.6</v>
      </c>
    </row>
    <row r="24" spans="1:14" ht="15.95" customHeight="1" x14ac:dyDescent="0.25">
      <c r="A24" s="13">
        <v>17</v>
      </c>
      <c r="B24" s="9" t="s">
        <v>1067</v>
      </c>
      <c r="C24" s="10" t="s">
        <v>378</v>
      </c>
      <c r="D24" s="11" t="s">
        <v>77</v>
      </c>
      <c r="E24" s="27">
        <v>4</v>
      </c>
      <c r="F24" s="27">
        <v>0</v>
      </c>
      <c r="G24" s="27">
        <v>2</v>
      </c>
      <c r="H24" s="28">
        <f t="shared" si="0"/>
        <v>258</v>
      </c>
      <c r="I24" s="29">
        <f t="shared" si="1"/>
        <v>86</v>
      </c>
      <c r="J24" s="27">
        <f t="shared" si="2"/>
        <v>11</v>
      </c>
      <c r="K24" s="27" t="str">
        <f t="shared" si="3"/>
        <v>TUNTAS</v>
      </c>
      <c r="L24" s="4" t="str">
        <f>IF(G24&gt;5,"TM"," ")</f>
        <v xml:space="preserve"> </v>
      </c>
      <c r="M24" s="1"/>
      <c r="N24" s="2">
        <f t="shared" si="5"/>
        <v>8.6</v>
      </c>
    </row>
    <row r="25" spans="1:14" ht="15.95" customHeight="1" x14ac:dyDescent="0.25">
      <c r="A25" s="30">
        <v>18</v>
      </c>
      <c r="B25" s="9" t="s">
        <v>1069</v>
      </c>
      <c r="C25" s="10" t="s">
        <v>272</v>
      </c>
      <c r="D25" s="11" t="s">
        <v>133</v>
      </c>
      <c r="E25" s="27">
        <v>25</v>
      </c>
      <c r="F25" s="27">
        <v>25</v>
      </c>
      <c r="G25" s="27">
        <v>5</v>
      </c>
      <c r="H25" s="28">
        <f t="shared" si="0"/>
        <v>75</v>
      </c>
      <c r="I25" s="29">
        <f t="shared" si="1"/>
        <v>25</v>
      </c>
      <c r="J25" s="27">
        <f t="shared" si="2"/>
        <v>46</v>
      </c>
      <c r="K25" s="27" t="str">
        <f t="shared" si="3"/>
        <v>TIDAK TUNTAS</v>
      </c>
      <c r="L25" s="4" t="str">
        <f>IF(G25&gt;5,"TM"," ")</f>
        <v xml:space="preserve"> </v>
      </c>
      <c r="M25" s="1"/>
      <c r="N25" s="2">
        <f t="shared" si="5"/>
        <v>2.5</v>
      </c>
    </row>
    <row r="26" spans="1:14" ht="15.95" customHeight="1" x14ac:dyDescent="0.25">
      <c r="A26" s="13">
        <v>19</v>
      </c>
      <c r="B26" s="9" t="s">
        <v>1070</v>
      </c>
      <c r="C26" s="10" t="s">
        <v>671</v>
      </c>
      <c r="D26" s="11" t="s">
        <v>33</v>
      </c>
      <c r="E26" s="27">
        <v>32</v>
      </c>
      <c r="F26" s="27">
        <v>32</v>
      </c>
      <c r="G26" s="27">
        <v>5</v>
      </c>
      <c r="H26" s="28">
        <f t="shared" si="0"/>
        <v>33</v>
      </c>
      <c r="I26" s="29">
        <f t="shared" si="1"/>
        <v>11</v>
      </c>
      <c r="J26" s="27">
        <f t="shared" si="2"/>
        <v>54</v>
      </c>
      <c r="K26" s="27" t="str">
        <f t="shared" si="3"/>
        <v>TIDAK HADIR</v>
      </c>
      <c r="L26" s="4" t="s">
        <v>3267</v>
      </c>
      <c r="M26" s="1"/>
      <c r="N26" s="2">
        <f t="shared" si="5"/>
        <v>1.1000000000000001</v>
      </c>
    </row>
    <row r="27" spans="1:14" ht="15.95" customHeight="1" x14ac:dyDescent="0.25">
      <c r="A27" s="13">
        <v>20</v>
      </c>
      <c r="B27" s="9" t="s">
        <v>1071</v>
      </c>
      <c r="C27" s="10" t="s">
        <v>382</v>
      </c>
      <c r="D27" s="11" t="s">
        <v>33</v>
      </c>
      <c r="E27" s="27">
        <v>14</v>
      </c>
      <c r="F27" s="27">
        <v>9</v>
      </c>
      <c r="G27" s="27">
        <v>4</v>
      </c>
      <c r="H27" s="28">
        <f t="shared" si="0"/>
        <v>171</v>
      </c>
      <c r="I27" s="29">
        <f t="shared" si="1"/>
        <v>57</v>
      </c>
      <c r="J27" s="27">
        <f t="shared" si="2"/>
        <v>30</v>
      </c>
      <c r="K27" s="27" t="str">
        <f t="shared" si="3"/>
        <v>TIDAK TUNTAS</v>
      </c>
      <c r="L27" s="4" t="str">
        <f t="shared" ref="L27:L62" si="6">IF(G27&gt;5,"TM"," ")</f>
        <v xml:space="preserve"> </v>
      </c>
      <c r="M27" s="1"/>
      <c r="N27" s="2">
        <f t="shared" si="5"/>
        <v>5.7</v>
      </c>
    </row>
    <row r="28" spans="1:14" ht="15.95" customHeight="1" x14ac:dyDescent="0.25">
      <c r="A28" s="13">
        <v>21</v>
      </c>
      <c r="B28" s="9" t="s">
        <v>1073</v>
      </c>
      <c r="C28" s="10" t="s">
        <v>3195</v>
      </c>
      <c r="D28" s="11" t="s">
        <v>79</v>
      </c>
      <c r="E28" s="27">
        <v>5</v>
      </c>
      <c r="F28" s="27">
        <v>10</v>
      </c>
      <c r="G28" s="27">
        <v>3</v>
      </c>
      <c r="H28" s="28">
        <f t="shared" si="0"/>
        <v>210</v>
      </c>
      <c r="I28" s="29">
        <f t="shared" si="1"/>
        <v>70</v>
      </c>
      <c r="J28" s="27">
        <f t="shared" si="2"/>
        <v>21</v>
      </c>
      <c r="K28" s="27" t="str">
        <f t="shared" si="3"/>
        <v>TUNTAS</v>
      </c>
      <c r="L28" s="4" t="str">
        <f t="shared" si="6"/>
        <v xml:space="preserve"> </v>
      </c>
      <c r="M28" s="1"/>
      <c r="N28" s="2">
        <f t="shared" si="5"/>
        <v>7</v>
      </c>
    </row>
    <row r="29" spans="1:14" ht="15.95" customHeight="1" x14ac:dyDescent="0.25">
      <c r="A29" s="13">
        <v>22</v>
      </c>
      <c r="B29" s="9" t="s">
        <v>1075</v>
      </c>
      <c r="C29" s="10" t="s">
        <v>771</v>
      </c>
      <c r="D29" s="11" t="s">
        <v>103</v>
      </c>
      <c r="E29" s="27">
        <v>3</v>
      </c>
      <c r="F29" s="27">
        <v>5</v>
      </c>
      <c r="G29" s="27">
        <v>3</v>
      </c>
      <c r="H29" s="28">
        <f t="shared" si="0"/>
        <v>231</v>
      </c>
      <c r="I29" s="29">
        <f t="shared" si="1"/>
        <v>77</v>
      </c>
      <c r="J29" s="27">
        <f t="shared" si="2"/>
        <v>14</v>
      </c>
      <c r="K29" s="27" t="str">
        <f t="shared" si="3"/>
        <v>TUNTAS</v>
      </c>
      <c r="L29" s="4" t="str">
        <f t="shared" si="6"/>
        <v xml:space="preserve"> </v>
      </c>
      <c r="M29" s="1"/>
      <c r="N29" s="2">
        <f t="shared" si="5"/>
        <v>7.7</v>
      </c>
    </row>
    <row r="30" spans="1:14" ht="15.95" customHeight="1" x14ac:dyDescent="0.25">
      <c r="A30" s="13">
        <v>23</v>
      </c>
      <c r="B30" s="9" t="s">
        <v>1077</v>
      </c>
      <c r="C30" s="10" t="s">
        <v>483</v>
      </c>
      <c r="D30" s="11" t="s">
        <v>35</v>
      </c>
      <c r="E30" s="27">
        <v>9</v>
      </c>
      <c r="F30" s="27">
        <v>20</v>
      </c>
      <c r="G30" s="27">
        <v>4</v>
      </c>
      <c r="H30" s="28">
        <f t="shared" si="0"/>
        <v>153</v>
      </c>
      <c r="I30" s="29">
        <f t="shared" si="1"/>
        <v>51</v>
      </c>
      <c r="J30" s="27">
        <f t="shared" si="2"/>
        <v>36</v>
      </c>
      <c r="K30" s="27" t="str">
        <f t="shared" si="3"/>
        <v>TIDAK TUNTAS</v>
      </c>
      <c r="L30" s="4" t="str">
        <f t="shared" si="6"/>
        <v xml:space="preserve"> </v>
      </c>
      <c r="M30" s="1"/>
      <c r="N30" s="2">
        <f t="shared" si="5"/>
        <v>5.0999999999999996</v>
      </c>
    </row>
    <row r="31" spans="1:14" ht="15.95" customHeight="1" x14ac:dyDescent="0.25">
      <c r="A31" s="13">
        <v>24</v>
      </c>
      <c r="B31" s="9" t="s">
        <v>1079</v>
      </c>
      <c r="C31" s="10" t="s">
        <v>576</v>
      </c>
      <c r="D31" s="11" t="s">
        <v>36</v>
      </c>
      <c r="E31" s="27">
        <v>18</v>
      </c>
      <c r="F31" s="27">
        <v>24</v>
      </c>
      <c r="G31" s="27">
        <v>4</v>
      </c>
      <c r="H31" s="28">
        <f t="shared" si="0"/>
        <v>114</v>
      </c>
      <c r="I31" s="29">
        <f t="shared" si="1"/>
        <v>38</v>
      </c>
      <c r="J31" s="27">
        <f t="shared" si="2"/>
        <v>42</v>
      </c>
      <c r="K31" s="27" t="str">
        <f t="shared" si="3"/>
        <v>TIDAK TUNTAS</v>
      </c>
      <c r="L31" s="4" t="str">
        <f t="shared" si="6"/>
        <v xml:space="preserve"> </v>
      </c>
      <c r="M31" s="1"/>
      <c r="N31" s="2">
        <f t="shared" si="5"/>
        <v>3.8</v>
      </c>
    </row>
    <row r="32" spans="1:14" ht="15.95" customHeight="1" x14ac:dyDescent="0.25">
      <c r="A32" s="13">
        <v>25</v>
      </c>
      <c r="B32" s="9" t="s">
        <v>1080</v>
      </c>
      <c r="C32" s="10" t="s">
        <v>3196</v>
      </c>
      <c r="D32" s="11" t="s">
        <v>36</v>
      </c>
      <c r="E32" s="27">
        <v>25</v>
      </c>
      <c r="F32" s="27">
        <v>22</v>
      </c>
      <c r="G32" s="27">
        <v>6</v>
      </c>
      <c r="H32" s="28">
        <f t="shared" si="0"/>
        <v>69</v>
      </c>
      <c r="I32" s="29">
        <f t="shared" si="1"/>
        <v>23</v>
      </c>
      <c r="J32" s="27">
        <f t="shared" si="2"/>
        <v>47</v>
      </c>
      <c r="K32" s="27" t="str">
        <f t="shared" si="3"/>
        <v>TIDAK TUNTAS</v>
      </c>
      <c r="L32" s="4" t="str">
        <f t="shared" si="6"/>
        <v>TM</v>
      </c>
      <c r="M32" s="1"/>
      <c r="N32" s="2">
        <f t="shared" si="5"/>
        <v>2.2999999999999998</v>
      </c>
    </row>
    <row r="33" spans="1:14" ht="15.95" customHeight="1" x14ac:dyDescent="0.25">
      <c r="A33" s="13">
        <v>26</v>
      </c>
      <c r="B33" s="9" t="s">
        <v>1082</v>
      </c>
      <c r="C33" s="10" t="s">
        <v>390</v>
      </c>
      <c r="D33" s="11" t="s">
        <v>38</v>
      </c>
      <c r="E33" s="27">
        <v>13</v>
      </c>
      <c r="F33" s="27">
        <v>13</v>
      </c>
      <c r="G33" s="27">
        <v>4</v>
      </c>
      <c r="H33" s="28">
        <f t="shared" si="0"/>
        <v>162</v>
      </c>
      <c r="I33" s="29">
        <f t="shared" si="1"/>
        <v>54</v>
      </c>
      <c r="J33" s="27">
        <f t="shared" si="2"/>
        <v>33</v>
      </c>
      <c r="K33" s="27" t="str">
        <f t="shared" si="3"/>
        <v>TIDAK TUNTAS</v>
      </c>
      <c r="L33" s="4" t="str">
        <f t="shared" si="6"/>
        <v xml:space="preserve"> </v>
      </c>
      <c r="M33" s="1"/>
      <c r="N33" s="2">
        <f t="shared" si="5"/>
        <v>5.4</v>
      </c>
    </row>
    <row r="34" spans="1:14" ht="15.95" customHeight="1" x14ac:dyDescent="0.25">
      <c r="A34" s="13">
        <v>27</v>
      </c>
      <c r="B34" s="9" t="s">
        <v>1084</v>
      </c>
      <c r="C34" s="10" t="s">
        <v>582</v>
      </c>
      <c r="D34" s="11" t="s">
        <v>40</v>
      </c>
      <c r="E34" s="27">
        <v>11</v>
      </c>
      <c r="F34" s="27">
        <v>10</v>
      </c>
      <c r="G34" s="27">
        <v>6</v>
      </c>
      <c r="H34" s="28">
        <f t="shared" si="0"/>
        <v>147</v>
      </c>
      <c r="I34" s="29">
        <f t="shared" si="1"/>
        <v>49</v>
      </c>
      <c r="J34" s="27">
        <f t="shared" si="2"/>
        <v>38</v>
      </c>
      <c r="K34" s="27" t="str">
        <f t="shared" si="3"/>
        <v>TIDAK TUNTAS</v>
      </c>
      <c r="L34" s="4" t="str">
        <f t="shared" si="6"/>
        <v>TM</v>
      </c>
      <c r="M34" s="1"/>
      <c r="N34" s="2">
        <f t="shared" si="5"/>
        <v>4.9000000000000004</v>
      </c>
    </row>
    <row r="35" spans="1:14" ht="15.95" customHeight="1" x14ac:dyDescent="0.25">
      <c r="A35" s="13">
        <v>28</v>
      </c>
      <c r="B35" s="9" t="s">
        <v>1086</v>
      </c>
      <c r="C35" s="10" t="s">
        <v>1060</v>
      </c>
      <c r="D35" s="11" t="s">
        <v>284</v>
      </c>
      <c r="E35" s="27">
        <v>28</v>
      </c>
      <c r="F35" s="27">
        <v>28</v>
      </c>
      <c r="G35" s="27">
        <v>5</v>
      </c>
      <c r="H35" s="28">
        <f t="shared" si="0"/>
        <v>57</v>
      </c>
      <c r="I35" s="29">
        <f t="shared" si="1"/>
        <v>19</v>
      </c>
      <c r="J35" s="27">
        <f t="shared" si="2"/>
        <v>50</v>
      </c>
      <c r="K35" s="27" t="str">
        <f t="shared" si="3"/>
        <v>TIDAK TUNTAS</v>
      </c>
      <c r="L35" s="4" t="str">
        <f t="shared" si="6"/>
        <v xml:space="preserve"> </v>
      </c>
      <c r="M35" s="1"/>
      <c r="N35" s="2">
        <f t="shared" si="5"/>
        <v>1.9</v>
      </c>
    </row>
    <row r="36" spans="1:14" ht="15.95" customHeight="1" x14ac:dyDescent="0.25">
      <c r="A36" s="13">
        <v>29</v>
      </c>
      <c r="B36" s="9" t="s">
        <v>1088</v>
      </c>
      <c r="C36" s="10" t="s">
        <v>586</v>
      </c>
      <c r="D36" s="11" t="s">
        <v>287</v>
      </c>
      <c r="E36" s="27">
        <v>28</v>
      </c>
      <c r="F36" s="27">
        <v>28</v>
      </c>
      <c r="G36" s="27">
        <v>5</v>
      </c>
      <c r="H36" s="28">
        <f t="shared" si="0"/>
        <v>57</v>
      </c>
      <c r="I36" s="29">
        <f t="shared" si="1"/>
        <v>19</v>
      </c>
      <c r="J36" s="27">
        <f t="shared" si="2"/>
        <v>50</v>
      </c>
      <c r="K36" s="27" t="str">
        <f t="shared" si="3"/>
        <v>TIDAK TUNTAS</v>
      </c>
      <c r="L36" s="4" t="str">
        <f t="shared" si="6"/>
        <v xml:space="preserve"> </v>
      </c>
      <c r="M36" s="1"/>
      <c r="N36" s="2">
        <f t="shared" si="5"/>
        <v>1.9</v>
      </c>
    </row>
    <row r="37" spans="1:14" ht="15.95" customHeight="1" x14ac:dyDescent="0.25">
      <c r="A37" s="13">
        <v>30</v>
      </c>
      <c r="B37" s="9" t="s">
        <v>1090</v>
      </c>
      <c r="C37" s="10" t="s">
        <v>400</v>
      </c>
      <c r="D37" s="11" t="s">
        <v>290</v>
      </c>
      <c r="E37" s="27">
        <v>5</v>
      </c>
      <c r="F37" s="27">
        <v>9</v>
      </c>
      <c r="G37" s="27">
        <v>3</v>
      </c>
      <c r="H37" s="28">
        <f t="shared" si="0"/>
        <v>213</v>
      </c>
      <c r="I37" s="29">
        <f t="shared" si="1"/>
        <v>71</v>
      </c>
      <c r="J37" s="27">
        <f t="shared" si="2"/>
        <v>20</v>
      </c>
      <c r="K37" s="27" t="str">
        <f t="shared" si="3"/>
        <v>TUNTAS</v>
      </c>
      <c r="L37" s="4" t="str">
        <f t="shared" si="6"/>
        <v xml:space="preserve"> </v>
      </c>
      <c r="M37" s="1"/>
      <c r="N37" s="2">
        <f t="shared" si="5"/>
        <v>7.1</v>
      </c>
    </row>
    <row r="38" spans="1:14" ht="15.95" customHeight="1" x14ac:dyDescent="0.25">
      <c r="A38" s="13">
        <v>31</v>
      </c>
      <c r="B38" s="9" t="s">
        <v>1091</v>
      </c>
      <c r="C38" s="10" t="s">
        <v>3197</v>
      </c>
      <c r="D38" s="11" t="s">
        <v>106</v>
      </c>
      <c r="E38" s="27">
        <v>3</v>
      </c>
      <c r="F38" s="27">
        <v>3</v>
      </c>
      <c r="G38" s="27">
        <v>5</v>
      </c>
      <c r="H38" s="28">
        <f t="shared" si="0"/>
        <v>207</v>
      </c>
      <c r="I38" s="29">
        <f t="shared" si="1"/>
        <v>69</v>
      </c>
      <c r="J38" s="27">
        <f t="shared" si="2"/>
        <v>23</v>
      </c>
      <c r="K38" s="27" t="str">
        <f t="shared" si="3"/>
        <v>TUNTAS</v>
      </c>
      <c r="L38" s="4" t="str">
        <f t="shared" si="6"/>
        <v xml:space="preserve"> </v>
      </c>
      <c r="M38" s="1"/>
      <c r="N38" s="2">
        <f t="shared" si="5"/>
        <v>6.9</v>
      </c>
    </row>
    <row r="39" spans="1:14" ht="15.95" customHeight="1" x14ac:dyDescent="0.25">
      <c r="A39" s="13">
        <v>32</v>
      </c>
      <c r="B39" s="9" t="s">
        <v>1092</v>
      </c>
      <c r="C39" s="10" t="s">
        <v>292</v>
      </c>
      <c r="D39" s="11" t="s">
        <v>82</v>
      </c>
      <c r="E39" s="27">
        <v>6</v>
      </c>
      <c r="F39" s="27">
        <v>4</v>
      </c>
      <c r="G39" s="27">
        <v>4</v>
      </c>
      <c r="H39" s="28">
        <f t="shared" si="0"/>
        <v>210</v>
      </c>
      <c r="I39" s="29">
        <f t="shared" si="1"/>
        <v>70</v>
      </c>
      <c r="J39" s="27">
        <f t="shared" si="2"/>
        <v>21</v>
      </c>
      <c r="K39" s="27" t="str">
        <f t="shared" si="3"/>
        <v>TUNTAS</v>
      </c>
      <c r="L39" s="4" t="str">
        <f t="shared" si="6"/>
        <v xml:space="preserve"> </v>
      </c>
      <c r="M39" s="1"/>
      <c r="N39" s="2">
        <f t="shared" si="5"/>
        <v>7</v>
      </c>
    </row>
    <row r="40" spans="1:14" ht="15.95" customHeight="1" x14ac:dyDescent="0.25">
      <c r="A40" s="13">
        <v>33</v>
      </c>
      <c r="B40" s="9" t="s">
        <v>1094</v>
      </c>
      <c r="C40" s="10" t="s">
        <v>404</v>
      </c>
      <c r="D40" s="11" t="s">
        <v>44</v>
      </c>
      <c r="E40" s="27">
        <v>14</v>
      </c>
      <c r="F40" s="27">
        <v>13</v>
      </c>
      <c r="G40" s="27">
        <v>4</v>
      </c>
      <c r="H40" s="28">
        <f t="shared" ref="H40:H65" si="7">100-E40*3+100-F40*3+100-G40*15</f>
        <v>159</v>
      </c>
      <c r="I40" s="29">
        <f t="shared" ref="I40:I65" si="8">H40/3</f>
        <v>53</v>
      </c>
      <c r="J40" s="27">
        <f t="shared" ref="J40:J65" si="9">RANK(H40,$H$8:$H$97)</f>
        <v>34</v>
      </c>
      <c r="K40" s="27" t="str">
        <f t="shared" ref="K40:K65" si="10">IF(I40&lt;11.1,"TIDAK HADIR",IF(I40&lt;13.1,"TIDAK BACA",IF(I40&lt;$K$7,"TIDAK TUNTAS","TUNTAS")))</f>
        <v>TIDAK TUNTAS</v>
      </c>
      <c r="L40" s="4" t="str">
        <f t="shared" si="6"/>
        <v xml:space="preserve"> </v>
      </c>
      <c r="M40" s="1"/>
      <c r="N40" s="2">
        <f t="shared" si="5"/>
        <v>5.3</v>
      </c>
    </row>
    <row r="41" spans="1:14" ht="15.95" customHeight="1" x14ac:dyDescent="0.25">
      <c r="A41" s="13">
        <v>34</v>
      </c>
      <c r="B41" s="9" t="s">
        <v>1096</v>
      </c>
      <c r="C41" s="10" t="s">
        <v>787</v>
      </c>
      <c r="D41" s="11" t="s">
        <v>45</v>
      </c>
      <c r="E41" s="27">
        <v>1</v>
      </c>
      <c r="F41" s="27">
        <v>0</v>
      </c>
      <c r="G41" s="27">
        <v>0</v>
      </c>
      <c r="H41" s="28">
        <f t="shared" si="7"/>
        <v>297</v>
      </c>
      <c r="I41" s="29">
        <f t="shared" si="8"/>
        <v>99</v>
      </c>
      <c r="J41" s="27">
        <f t="shared" si="9"/>
        <v>2</v>
      </c>
      <c r="K41" s="27" t="str">
        <f t="shared" si="10"/>
        <v>TUNTAS</v>
      </c>
      <c r="L41" s="4" t="str">
        <f t="shared" si="6"/>
        <v xml:space="preserve"> </v>
      </c>
      <c r="M41" s="1"/>
      <c r="N41" s="2">
        <f t="shared" si="5"/>
        <v>9.9</v>
      </c>
    </row>
    <row r="42" spans="1:14" ht="15.95" customHeight="1" x14ac:dyDescent="0.25">
      <c r="A42" s="13">
        <v>35</v>
      </c>
      <c r="B42" s="9" t="s">
        <v>1098</v>
      </c>
      <c r="C42" s="10" t="s">
        <v>117</v>
      </c>
      <c r="D42" s="11" t="s">
        <v>116</v>
      </c>
      <c r="E42" s="27">
        <v>6</v>
      </c>
      <c r="F42" s="27">
        <v>3</v>
      </c>
      <c r="G42" s="27">
        <v>5</v>
      </c>
      <c r="H42" s="28">
        <f t="shared" si="7"/>
        <v>198</v>
      </c>
      <c r="I42" s="29">
        <f t="shared" si="8"/>
        <v>66</v>
      </c>
      <c r="J42" s="27">
        <f t="shared" si="9"/>
        <v>27</v>
      </c>
      <c r="K42" s="27" t="str">
        <f t="shared" si="10"/>
        <v>TUNTAS</v>
      </c>
      <c r="L42" s="4" t="str">
        <f t="shared" si="6"/>
        <v xml:space="preserve"> </v>
      </c>
      <c r="M42" s="1"/>
      <c r="N42" s="2">
        <f t="shared" si="5"/>
        <v>6.6</v>
      </c>
    </row>
    <row r="43" spans="1:14" ht="15.95" customHeight="1" x14ac:dyDescent="0.25">
      <c r="A43" s="13">
        <v>36</v>
      </c>
      <c r="B43" s="9" t="s">
        <v>1099</v>
      </c>
      <c r="C43" s="10" t="s">
        <v>697</v>
      </c>
      <c r="D43" s="11" t="s">
        <v>128</v>
      </c>
      <c r="E43" s="27">
        <v>7</v>
      </c>
      <c r="F43" s="27">
        <v>4</v>
      </c>
      <c r="G43" s="27">
        <v>3</v>
      </c>
      <c r="H43" s="28">
        <f t="shared" si="7"/>
        <v>222</v>
      </c>
      <c r="I43" s="29">
        <f t="shared" si="8"/>
        <v>74</v>
      </c>
      <c r="J43" s="27">
        <f t="shared" si="9"/>
        <v>17</v>
      </c>
      <c r="K43" s="27" t="str">
        <f t="shared" si="10"/>
        <v>TUNTAS</v>
      </c>
      <c r="L43" s="4" t="str">
        <f t="shared" si="6"/>
        <v xml:space="preserve"> </v>
      </c>
      <c r="M43" s="1"/>
      <c r="N43" s="2">
        <f t="shared" si="5"/>
        <v>7.4</v>
      </c>
    </row>
    <row r="44" spans="1:14" ht="15.95" customHeight="1" x14ac:dyDescent="0.25">
      <c r="A44" s="13">
        <v>37</v>
      </c>
      <c r="B44" s="9" t="s">
        <v>1101</v>
      </c>
      <c r="C44" s="10" t="s">
        <v>196</v>
      </c>
      <c r="D44" s="11" t="s">
        <v>107</v>
      </c>
      <c r="E44" s="27">
        <v>8</v>
      </c>
      <c r="F44" s="27">
        <v>3</v>
      </c>
      <c r="G44" s="27">
        <v>6</v>
      </c>
      <c r="H44" s="28">
        <f t="shared" si="7"/>
        <v>177</v>
      </c>
      <c r="I44" s="29">
        <f t="shared" si="8"/>
        <v>59</v>
      </c>
      <c r="J44" s="27">
        <f t="shared" si="9"/>
        <v>29</v>
      </c>
      <c r="K44" s="27" t="str">
        <f t="shared" si="10"/>
        <v>TIDAK TUNTAS</v>
      </c>
      <c r="L44" s="4" t="str">
        <f t="shared" si="6"/>
        <v>TM</v>
      </c>
      <c r="M44" s="1"/>
      <c r="N44" s="2">
        <f t="shared" si="5"/>
        <v>5.9</v>
      </c>
    </row>
    <row r="45" spans="1:14" ht="15.95" customHeight="1" x14ac:dyDescent="0.25">
      <c r="A45" s="13">
        <v>38</v>
      </c>
      <c r="B45" s="9" t="s">
        <v>1103</v>
      </c>
      <c r="C45" s="10" t="s">
        <v>411</v>
      </c>
      <c r="D45" s="11" t="s">
        <v>47</v>
      </c>
      <c r="E45" s="27">
        <v>3</v>
      </c>
      <c r="F45" s="27">
        <v>2</v>
      </c>
      <c r="G45" s="27">
        <v>0</v>
      </c>
      <c r="H45" s="28">
        <f t="shared" si="7"/>
        <v>285</v>
      </c>
      <c r="I45" s="29">
        <f t="shared" si="8"/>
        <v>95</v>
      </c>
      <c r="J45" s="27">
        <f t="shared" si="9"/>
        <v>4</v>
      </c>
      <c r="K45" s="27" t="str">
        <f t="shared" si="10"/>
        <v>TUNTAS</v>
      </c>
      <c r="L45" s="4" t="str">
        <f t="shared" si="6"/>
        <v xml:space="preserve"> </v>
      </c>
      <c r="M45" s="1"/>
      <c r="N45" s="2">
        <f t="shared" si="5"/>
        <v>9.5</v>
      </c>
    </row>
    <row r="46" spans="1:14" ht="15.95" customHeight="1" x14ac:dyDescent="0.25">
      <c r="A46" s="13">
        <v>39</v>
      </c>
      <c r="B46" s="9" t="s">
        <v>1105</v>
      </c>
      <c r="C46" s="10" t="s">
        <v>701</v>
      </c>
      <c r="D46" s="11" t="s">
        <v>48</v>
      </c>
      <c r="E46" s="27">
        <v>5</v>
      </c>
      <c r="F46" s="27">
        <v>3</v>
      </c>
      <c r="G46" s="27">
        <v>1</v>
      </c>
      <c r="H46" s="28">
        <f t="shared" si="7"/>
        <v>261</v>
      </c>
      <c r="I46" s="29">
        <f t="shared" si="8"/>
        <v>87</v>
      </c>
      <c r="J46" s="27">
        <f t="shared" si="9"/>
        <v>10</v>
      </c>
      <c r="K46" s="27" t="str">
        <f t="shared" si="10"/>
        <v>TUNTAS</v>
      </c>
      <c r="L46" s="4" t="str">
        <f t="shared" si="6"/>
        <v xml:space="preserve"> </v>
      </c>
      <c r="M46" s="1"/>
      <c r="N46" s="2">
        <f t="shared" si="5"/>
        <v>8.6999999999999993</v>
      </c>
    </row>
    <row r="47" spans="1:14" ht="15.95" customHeight="1" x14ac:dyDescent="0.25">
      <c r="A47" s="13">
        <v>40</v>
      </c>
      <c r="B47" s="9" t="s">
        <v>1107</v>
      </c>
      <c r="C47" s="10" t="s">
        <v>207</v>
      </c>
      <c r="D47" s="11" t="s">
        <v>53</v>
      </c>
      <c r="E47" s="27">
        <v>6</v>
      </c>
      <c r="F47" s="27">
        <v>3</v>
      </c>
      <c r="G47" s="27">
        <v>0</v>
      </c>
      <c r="H47" s="28">
        <f t="shared" si="7"/>
        <v>273</v>
      </c>
      <c r="I47" s="29">
        <f t="shared" si="8"/>
        <v>91</v>
      </c>
      <c r="J47" s="27">
        <f t="shared" si="9"/>
        <v>8</v>
      </c>
      <c r="K47" s="27" t="str">
        <f t="shared" si="10"/>
        <v>TUNTAS</v>
      </c>
      <c r="L47" s="4" t="str">
        <f t="shared" si="6"/>
        <v xml:space="preserve"> </v>
      </c>
      <c r="M47" s="1"/>
      <c r="N47" s="2">
        <f t="shared" si="5"/>
        <v>9.1</v>
      </c>
    </row>
    <row r="48" spans="1:14" ht="15.95" customHeight="1" x14ac:dyDescent="0.25">
      <c r="A48" s="13">
        <v>41</v>
      </c>
      <c r="B48" s="9" t="s">
        <v>1109</v>
      </c>
      <c r="C48" s="10" t="s">
        <v>802</v>
      </c>
      <c r="D48" s="11" t="s">
        <v>55</v>
      </c>
      <c r="E48" s="27">
        <v>1</v>
      </c>
      <c r="F48" s="27">
        <v>1</v>
      </c>
      <c r="G48" s="27">
        <v>0</v>
      </c>
      <c r="H48" s="28">
        <f t="shared" si="7"/>
        <v>294</v>
      </c>
      <c r="I48" s="29">
        <f t="shared" si="8"/>
        <v>98</v>
      </c>
      <c r="J48" s="27">
        <f t="shared" si="9"/>
        <v>3</v>
      </c>
      <c r="K48" s="27" t="str">
        <f t="shared" si="10"/>
        <v>TUNTAS</v>
      </c>
      <c r="L48" s="4" t="str">
        <f t="shared" si="6"/>
        <v xml:space="preserve"> </v>
      </c>
      <c r="M48" s="1"/>
      <c r="N48" s="2">
        <f t="shared" si="5"/>
        <v>9.8000000000000007</v>
      </c>
    </row>
    <row r="49" spans="1:14" ht="15.95" customHeight="1" x14ac:dyDescent="0.25">
      <c r="A49" s="13">
        <v>42</v>
      </c>
      <c r="B49" s="9" t="s">
        <v>1111</v>
      </c>
      <c r="C49" s="10" t="s">
        <v>419</v>
      </c>
      <c r="D49" s="11" t="s">
        <v>94</v>
      </c>
      <c r="E49" s="27">
        <v>1</v>
      </c>
      <c r="F49" s="27">
        <v>2</v>
      </c>
      <c r="G49" s="27">
        <v>1</v>
      </c>
      <c r="H49" s="28">
        <f t="shared" si="7"/>
        <v>276</v>
      </c>
      <c r="I49" s="29">
        <f t="shared" si="8"/>
        <v>92</v>
      </c>
      <c r="J49" s="27">
        <f t="shared" si="9"/>
        <v>5</v>
      </c>
      <c r="K49" s="27" t="str">
        <f t="shared" si="10"/>
        <v>TUNTAS</v>
      </c>
      <c r="L49" s="4" t="str">
        <f t="shared" si="6"/>
        <v xml:space="preserve"> </v>
      </c>
      <c r="M49" s="1"/>
      <c r="N49" s="2">
        <f t="shared" si="5"/>
        <v>9.1999999999999993</v>
      </c>
    </row>
    <row r="50" spans="1:14" ht="15.95" customHeight="1" x14ac:dyDescent="0.25">
      <c r="A50" s="13">
        <v>43</v>
      </c>
      <c r="B50" s="9" t="s">
        <v>1113</v>
      </c>
      <c r="C50" s="10" t="s">
        <v>421</v>
      </c>
      <c r="D50" s="11" t="s">
        <v>56</v>
      </c>
      <c r="E50" s="27">
        <v>0</v>
      </c>
      <c r="F50" s="27">
        <v>0</v>
      </c>
      <c r="G50" s="27">
        <v>0</v>
      </c>
      <c r="H50" s="28">
        <f t="shared" si="7"/>
        <v>300</v>
      </c>
      <c r="I50" s="29">
        <f t="shared" si="8"/>
        <v>100</v>
      </c>
      <c r="J50" s="27">
        <f t="shared" si="9"/>
        <v>1</v>
      </c>
      <c r="K50" s="27" t="str">
        <f t="shared" si="10"/>
        <v>TUNTAS</v>
      </c>
      <c r="L50" s="4" t="str">
        <f t="shared" si="6"/>
        <v xml:space="preserve"> </v>
      </c>
      <c r="M50" s="1"/>
      <c r="N50" s="2">
        <f t="shared" si="5"/>
        <v>10</v>
      </c>
    </row>
    <row r="51" spans="1:14" ht="15.95" customHeight="1" x14ac:dyDescent="0.25">
      <c r="A51" s="13">
        <v>44</v>
      </c>
      <c r="B51" s="9" t="s">
        <v>1115</v>
      </c>
      <c r="C51" s="10" t="s">
        <v>134</v>
      </c>
      <c r="D51" s="11" t="s">
        <v>57</v>
      </c>
      <c r="E51" s="27">
        <v>14</v>
      </c>
      <c r="F51" s="27">
        <v>2</v>
      </c>
      <c r="G51" s="27">
        <v>4</v>
      </c>
      <c r="H51" s="28">
        <f t="shared" si="7"/>
        <v>192</v>
      </c>
      <c r="I51" s="29">
        <f t="shared" si="8"/>
        <v>64</v>
      </c>
      <c r="J51" s="27">
        <f t="shared" si="9"/>
        <v>28</v>
      </c>
      <c r="K51" s="27" t="str">
        <f t="shared" si="10"/>
        <v>TUNTAS</v>
      </c>
      <c r="L51" s="4" t="str">
        <f t="shared" si="6"/>
        <v xml:space="preserve"> </v>
      </c>
      <c r="M51" s="1"/>
      <c r="N51" s="2">
        <f t="shared" si="5"/>
        <v>6.4</v>
      </c>
    </row>
    <row r="52" spans="1:14" ht="15.95" customHeight="1" x14ac:dyDescent="0.25">
      <c r="A52" s="13">
        <v>45</v>
      </c>
      <c r="B52" s="9" t="s">
        <v>1117</v>
      </c>
      <c r="C52" s="10" t="s">
        <v>712</v>
      </c>
      <c r="D52" s="11" t="s">
        <v>139</v>
      </c>
      <c r="E52" s="27">
        <v>19</v>
      </c>
      <c r="F52" s="27">
        <v>4</v>
      </c>
      <c r="G52" s="27">
        <v>5</v>
      </c>
      <c r="H52" s="28">
        <f t="shared" si="7"/>
        <v>156</v>
      </c>
      <c r="I52" s="29">
        <f t="shared" si="8"/>
        <v>52</v>
      </c>
      <c r="J52" s="27">
        <f t="shared" si="9"/>
        <v>35</v>
      </c>
      <c r="K52" s="27" t="str">
        <f t="shared" si="10"/>
        <v>TIDAK TUNTAS</v>
      </c>
      <c r="L52" s="4" t="str">
        <f t="shared" si="6"/>
        <v xml:space="preserve"> </v>
      </c>
      <c r="M52" s="1"/>
      <c r="N52" s="2">
        <f t="shared" si="5"/>
        <v>5.2</v>
      </c>
    </row>
    <row r="53" spans="1:14" ht="15.95" customHeight="1" x14ac:dyDescent="0.25">
      <c r="A53" s="13">
        <v>46</v>
      </c>
      <c r="B53" s="9" t="s">
        <v>1119</v>
      </c>
      <c r="C53" s="10" t="s">
        <v>815</v>
      </c>
      <c r="D53" s="11" t="s">
        <v>60</v>
      </c>
      <c r="E53" s="27">
        <v>15</v>
      </c>
      <c r="F53" s="27">
        <v>17</v>
      </c>
      <c r="G53" s="27">
        <v>6</v>
      </c>
      <c r="H53" s="28">
        <f t="shared" si="7"/>
        <v>114</v>
      </c>
      <c r="I53" s="29">
        <f t="shared" si="8"/>
        <v>38</v>
      </c>
      <c r="J53" s="27">
        <f t="shared" si="9"/>
        <v>42</v>
      </c>
      <c r="K53" s="27" t="str">
        <f t="shared" si="10"/>
        <v>TIDAK TUNTAS</v>
      </c>
      <c r="L53" s="4" t="str">
        <f t="shared" si="6"/>
        <v>TM</v>
      </c>
      <c r="M53" s="1"/>
      <c r="N53" s="2">
        <f t="shared" si="5"/>
        <v>3.8</v>
      </c>
    </row>
    <row r="54" spans="1:14" x14ac:dyDescent="0.25">
      <c r="A54" s="13">
        <v>47</v>
      </c>
      <c r="B54" s="9" t="s">
        <v>1120</v>
      </c>
      <c r="C54" s="10" t="s">
        <v>620</v>
      </c>
      <c r="D54" s="11" t="s">
        <v>61</v>
      </c>
      <c r="E54" s="27">
        <v>25</v>
      </c>
      <c r="F54" s="27">
        <v>25</v>
      </c>
      <c r="G54" s="27">
        <v>6</v>
      </c>
      <c r="H54" s="28">
        <f t="shared" si="7"/>
        <v>60</v>
      </c>
      <c r="I54" s="29">
        <f t="shared" si="8"/>
        <v>20</v>
      </c>
      <c r="J54" s="27">
        <f t="shared" si="9"/>
        <v>49</v>
      </c>
      <c r="K54" s="27" t="str">
        <f t="shared" si="10"/>
        <v>TIDAK TUNTAS</v>
      </c>
      <c r="L54" s="4" t="str">
        <f t="shared" si="6"/>
        <v>TM</v>
      </c>
      <c r="M54" s="1"/>
      <c r="N54" s="2">
        <f t="shared" si="5"/>
        <v>2</v>
      </c>
    </row>
    <row r="55" spans="1:14" x14ac:dyDescent="0.25">
      <c r="A55" s="13">
        <v>48</v>
      </c>
      <c r="B55" s="9" t="s">
        <v>1122</v>
      </c>
      <c r="C55" s="10" t="s">
        <v>818</v>
      </c>
      <c r="D55" s="11" t="s">
        <v>86</v>
      </c>
      <c r="E55" s="27">
        <v>3</v>
      </c>
      <c r="F55" s="27">
        <v>0</v>
      </c>
      <c r="G55" s="27">
        <v>1</v>
      </c>
      <c r="H55" s="28">
        <f t="shared" si="7"/>
        <v>276</v>
      </c>
      <c r="I55" s="29">
        <f t="shared" si="8"/>
        <v>92</v>
      </c>
      <c r="J55" s="27">
        <f t="shared" si="9"/>
        <v>5</v>
      </c>
      <c r="K55" s="27" t="str">
        <f t="shared" si="10"/>
        <v>TUNTAS</v>
      </c>
      <c r="L55" s="4" t="str">
        <f t="shared" si="6"/>
        <v xml:space="preserve"> </v>
      </c>
      <c r="M55" s="1"/>
      <c r="N55" s="2">
        <f t="shared" si="5"/>
        <v>9.1999999999999993</v>
      </c>
    </row>
    <row r="56" spans="1:14" x14ac:dyDescent="0.25">
      <c r="A56" s="13">
        <v>49</v>
      </c>
      <c r="B56" s="9" t="s">
        <v>1124</v>
      </c>
      <c r="C56" s="10" t="s">
        <v>622</v>
      </c>
      <c r="D56" s="11" t="s">
        <v>63</v>
      </c>
      <c r="E56" s="27">
        <v>5</v>
      </c>
      <c r="F56" s="27">
        <v>2</v>
      </c>
      <c r="G56" s="27">
        <v>4</v>
      </c>
      <c r="H56" s="28">
        <f t="shared" si="7"/>
        <v>219</v>
      </c>
      <c r="I56" s="29">
        <f t="shared" si="8"/>
        <v>73</v>
      </c>
      <c r="J56" s="27">
        <f t="shared" si="9"/>
        <v>19</v>
      </c>
      <c r="K56" s="27" t="str">
        <f t="shared" si="10"/>
        <v>TUNTAS</v>
      </c>
      <c r="L56" s="4" t="str">
        <f t="shared" si="6"/>
        <v xml:space="preserve"> </v>
      </c>
      <c r="M56" s="1"/>
      <c r="N56" s="2">
        <f t="shared" si="5"/>
        <v>7.3</v>
      </c>
    </row>
    <row r="57" spans="1:14" x14ac:dyDescent="0.25">
      <c r="A57" s="13">
        <v>50</v>
      </c>
      <c r="B57" s="9" t="s">
        <v>1125</v>
      </c>
      <c r="C57" s="10" t="s">
        <v>624</v>
      </c>
      <c r="D57" s="11" t="s">
        <v>64</v>
      </c>
      <c r="E57" s="27">
        <v>3</v>
      </c>
      <c r="F57" s="27">
        <v>0</v>
      </c>
      <c r="G57" s="27">
        <v>1</v>
      </c>
      <c r="H57" s="28">
        <f t="shared" si="7"/>
        <v>276</v>
      </c>
      <c r="I57" s="29">
        <f t="shared" si="8"/>
        <v>92</v>
      </c>
      <c r="J57" s="27">
        <f t="shared" si="9"/>
        <v>5</v>
      </c>
      <c r="K57" s="27" t="str">
        <f t="shared" si="10"/>
        <v>TUNTAS</v>
      </c>
      <c r="L57" s="4" t="str">
        <f t="shared" si="6"/>
        <v xml:space="preserve"> </v>
      </c>
      <c r="M57" s="1"/>
      <c r="N57" s="2">
        <f t="shared" si="5"/>
        <v>9.1999999999999993</v>
      </c>
    </row>
    <row r="58" spans="1:14" x14ac:dyDescent="0.25">
      <c r="A58" s="13">
        <v>51</v>
      </c>
      <c r="B58" s="9" t="s">
        <v>1126</v>
      </c>
      <c r="C58" s="10" t="s">
        <v>626</v>
      </c>
      <c r="D58" s="11" t="s">
        <v>66</v>
      </c>
      <c r="E58" s="27">
        <v>3</v>
      </c>
      <c r="F58" s="27">
        <v>4</v>
      </c>
      <c r="G58" s="27">
        <v>5</v>
      </c>
      <c r="H58" s="28">
        <f t="shared" si="7"/>
        <v>204</v>
      </c>
      <c r="I58" s="29">
        <f t="shared" si="8"/>
        <v>68</v>
      </c>
      <c r="J58" s="27">
        <f t="shared" si="9"/>
        <v>24</v>
      </c>
      <c r="K58" s="27" t="str">
        <f t="shared" si="10"/>
        <v>TUNTAS</v>
      </c>
      <c r="L58" s="4" t="str">
        <f t="shared" si="6"/>
        <v xml:space="preserve"> </v>
      </c>
      <c r="M58" s="1"/>
      <c r="N58" s="2">
        <f t="shared" si="5"/>
        <v>6.8</v>
      </c>
    </row>
    <row r="59" spans="1:14" x14ac:dyDescent="0.25">
      <c r="A59" s="13">
        <v>52</v>
      </c>
      <c r="B59" s="9" t="s">
        <v>1127</v>
      </c>
      <c r="C59" s="10" t="s">
        <v>826</v>
      </c>
      <c r="D59" s="11" t="s">
        <v>113</v>
      </c>
      <c r="E59" s="27">
        <v>5</v>
      </c>
      <c r="F59" s="27">
        <v>5</v>
      </c>
      <c r="G59" s="27">
        <v>3</v>
      </c>
      <c r="H59" s="28">
        <f t="shared" si="7"/>
        <v>225</v>
      </c>
      <c r="I59" s="29">
        <f t="shared" si="8"/>
        <v>75</v>
      </c>
      <c r="J59" s="27">
        <f t="shared" si="9"/>
        <v>16</v>
      </c>
      <c r="K59" s="27" t="str">
        <f t="shared" si="10"/>
        <v>TUNTAS</v>
      </c>
      <c r="L59" s="4" t="str">
        <f t="shared" si="6"/>
        <v xml:space="preserve"> </v>
      </c>
      <c r="N59" s="2">
        <f t="shared" si="5"/>
        <v>7.5</v>
      </c>
    </row>
    <row r="60" spans="1:14" x14ac:dyDescent="0.25">
      <c r="A60" s="13">
        <v>53</v>
      </c>
      <c r="B60" s="9" t="s">
        <v>1129</v>
      </c>
      <c r="C60" s="10" t="s">
        <v>728</v>
      </c>
      <c r="D60" s="11" t="s">
        <v>67</v>
      </c>
      <c r="E60" s="27">
        <v>31</v>
      </c>
      <c r="F60" s="27">
        <v>31</v>
      </c>
      <c r="G60" s="27">
        <v>5</v>
      </c>
      <c r="H60" s="28">
        <f t="shared" si="7"/>
        <v>39</v>
      </c>
      <c r="I60" s="29">
        <f t="shared" si="8"/>
        <v>13</v>
      </c>
      <c r="J60" s="27">
        <f t="shared" si="9"/>
        <v>53</v>
      </c>
      <c r="K60" s="27" t="str">
        <f t="shared" si="10"/>
        <v>TIDAK BACA</v>
      </c>
      <c r="L60" s="4" t="str">
        <f t="shared" si="6"/>
        <v xml:space="preserve"> </v>
      </c>
      <c r="N60" s="2">
        <f t="shared" si="5"/>
        <v>1.3</v>
      </c>
    </row>
    <row r="61" spans="1:14" x14ac:dyDescent="0.25">
      <c r="A61" s="13">
        <v>54</v>
      </c>
      <c r="B61" s="9" t="s">
        <v>1131</v>
      </c>
      <c r="C61" s="10" t="s">
        <v>3198</v>
      </c>
      <c r="D61" s="11" t="s">
        <v>130</v>
      </c>
      <c r="E61" s="27">
        <v>13</v>
      </c>
      <c r="F61" s="27">
        <v>18</v>
      </c>
      <c r="G61" s="27">
        <v>6</v>
      </c>
      <c r="H61" s="28">
        <f t="shared" si="7"/>
        <v>117</v>
      </c>
      <c r="I61" s="29">
        <f t="shared" si="8"/>
        <v>39</v>
      </c>
      <c r="J61" s="27">
        <f t="shared" si="9"/>
        <v>41</v>
      </c>
      <c r="K61" s="27" t="str">
        <f t="shared" si="10"/>
        <v>TIDAK TUNTAS</v>
      </c>
      <c r="L61" s="4" t="str">
        <f t="shared" si="6"/>
        <v>TM</v>
      </c>
      <c r="N61" s="2">
        <f t="shared" si="5"/>
        <v>3.9</v>
      </c>
    </row>
    <row r="62" spans="1:14" x14ac:dyDescent="0.25">
      <c r="A62" s="13">
        <v>55</v>
      </c>
      <c r="B62" s="9" t="s">
        <v>1133</v>
      </c>
      <c r="C62" s="10" t="s">
        <v>343</v>
      </c>
      <c r="D62" s="11" t="s">
        <v>121</v>
      </c>
      <c r="E62" s="27">
        <v>5</v>
      </c>
      <c r="F62" s="27">
        <v>6</v>
      </c>
      <c r="G62" s="27">
        <v>3</v>
      </c>
      <c r="H62" s="28">
        <f t="shared" si="7"/>
        <v>222</v>
      </c>
      <c r="I62" s="29">
        <f t="shared" si="8"/>
        <v>74</v>
      </c>
      <c r="J62" s="27">
        <f t="shared" si="9"/>
        <v>17</v>
      </c>
      <c r="K62" s="27" t="str">
        <f t="shared" si="10"/>
        <v>TUNTAS</v>
      </c>
      <c r="L62" s="4" t="str">
        <f t="shared" si="6"/>
        <v xml:space="preserve"> </v>
      </c>
      <c r="N62" s="2">
        <f t="shared" si="5"/>
        <v>7.4</v>
      </c>
    </row>
    <row r="63" spans="1:14" x14ac:dyDescent="0.25">
      <c r="A63" s="13">
        <v>56</v>
      </c>
      <c r="B63" s="9" t="s">
        <v>1135</v>
      </c>
      <c r="C63" s="10" t="s">
        <v>3199</v>
      </c>
      <c r="D63" s="11" t="s">
        <v>69</v>
      </c>
      <c r="E63" s="27">
        <v>32</v>
      </c>
      <c r="F63" s="27">
        <v>32</v>
      </c>
      <c r="G63" s="27">
        <v>5</v>
      </c>
      <c r="H63" s="28">
        <f t="shared" si="7"/>
        <v>33</v>
      </c>
      <c r="I63" s="29">
        <f t="shared" si="8"/>
        <v>11</v>
      </c>
      <c r="J63" s="27">
        <f t="shared" si="9"/>
        <v>54</v>
      </c>
      <c r="K63" s="27" t="str">
        <f t="shared" si="10"/>
        <v>TIDAK HADIR</v>
      </c>
      <c r="L63" s="4" t="s">
        <v>3264</v>
      </c>
      <c r="N63" s="2">
        <f t="shared" si="5"/>
        <v>1.1000000000000001</v>
      </c>
    </row>
    <row r="64" spans="1:14" x14ac:dyDescent="0.25">
      <c r="A64" s="13">
        <v>57</v>
      </c>
      <c r="B64" s="9" t="s">
        <v>1137</v>
      </c>
      <c r="C64" s="10" t="s">
        <v>833</v>
      </c>
      <c r="D64" s="11" t="s">
        <v>70</v>
      </c>
      <c r="E64" s="27">
        <v>4</v>
      </c>
      <c r="F64" s="27">
        <v>1</v>
      </c>
      <c r="G64" s="27">
        <v>2</v>
      </c>
      <c r="H64" s="28">
        <f t="shared" si="7"/>
        <v>255</v>
      </c>
      <c r="I64" s="29">
        <f t="shared" si="8"/>
        <v>85</v>
      </c>
      <c r="J64" s="27">
        <f t="shared" si="9"/>
        <v>12</v>
      </c>
      <c r="K64" s="27" t="str">
        <f t="shared" si="10"/>
        <v>TUNTAS</v>
      </c>
      <c r="L64" s="4" t="str">
        <f>IF(G64&gt;5,"TM"," ")</f>
        <v xml:space="preserve"> </v>
      </c>
      <c r="N64" s="2">
        <f t="shared" si="5"/>
        <v>8.5</v>
      </c>
    </row>
    <row r="65" spans="1:14" x14ac:dyDescent="0.25">
      <c r="A65" s="13">
        <v>58</v>
      </c>
      <c r="B65" s="9" t="s">
        <v>1139</v>
      </c>
      <c r="C65" s="10" t="s">
        <v>348</v>
      </c>
      <c r="D65" s="11" t="s">
        <v>349</v>
      </c>
      <c r="E65" s="27">
        <v>32</v>
      </c>
      <c r="F65" s="27">
        <v>32</v>
      </c>
      <c r="G65" s="27">
        <v>5</v>
      </c>
      <c r="H65" s="28">
        <f t="shared" si="7"/>
        <v>33</v>
      </c>
      <c r="I65" s="29">
        <f t="shared" si="8"/>
        <v>11</v>
      </c>
      <c r="J65" s="27">
        <f t="shared" si="9"/>
        <v>54</v>
      </c>
      <c r="K65" s="27" t="str">
        <f t="shared" si="10"/>
        <v>TIDAK HADIR</v>
      </c>
      <c r="L65" s="4" t="s">
        <v>3264</v>
      </c>
      <c r="N65" s="2">
        <f t="shared" si="5"/>
        <v>1.1000000000000001</v>
      </c>
    </row>
  </sheetData>
  <autoFilter ref="B5:L7" xr:uid="{CACDA6D7-B431-4066-812D-016E5E7D7182}">
    <filterColumn colId="3" showButton="0"/>
    <filterColumn colId="4" showButton="0"/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phoneticPr fontId="13" type="noConversion"/>
  <conditionalFormatting sqref="D8:D10">
    <cfRule type="cellIs" dxfId="89" priority="9" operator="equal">
      <formula>0</formula>
    </cfRule>
  </conditionalFormatting>
  <conditionalFormatting sqref="I8:I65">
    <cfRule type="cellIs" dxfId="88" priority="3" operator="lessThan">
      <formula>60</formula>
    </cfRule>
    <cfRule type="cellIs" dxfId="87" priority="4" operator="lessThan">
      <formula>60</formula>
    </cfRule>
    <cfRule type="cellIs" dxfId="86" priority="5" operator="lessThan">
      <formula>50</formula>
    </cfRule>
  </conditionalFormatting>
  <conditionalFormatting sqref="K8:K65">
    <cfRule type="cellIs" dxfId="85" priority="1" operator="equal">
      <formula>"TIDAK BACA"</formula>
    </cfRule>
    <cfRule type="cellIs" dxfId="84" priority="2" operator="equal">
      <formula>"TIDAK TUNTAS"</formula>
    </cfRule>
    <cfRule type="cellIs" dxfId="83" priority="6" operator="equal">
      <formula>"TUNTAS"</formula>
    </cfRule>
    <cfRule type="cellIs" dxfId="82" priority="7" operator="equal">
      <formula>"TIDAK HADIR"</formula>
    </cfRule>
    <cfRule type="cellIs" dxfId="81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AFEC9B84-5A7A-4E17-B9DB-0AC9A7245340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87AE-5774-4265-87AB-372732C6536E}">
  <sheetPr>
    <tabColor theme="2" tint="-0.249977111117893"/>
  </sheetPr>
  <dimension ref="A1:N64"/>
  <sheetViews>
    <sheetView zoomScaleNormal="100" workbookViewId="0">
      <pane xSplit="1" ySplit="7" topLeftCell="B50" activePane="bottomRight" state="frozen"/>
      <selection activeCell="Q61" sqref="Q61"/>
      <selection pane="topRight" activeCell="Q61" sqref="Q61"/>
      <selection pane="bottomLeft" activeCell="Q61" sqref="Q61"/>
      <selection pane="bottomRight" activeCell="N8" sqref="N8:N59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s="33" customFormat="1" ht="19.899999999999999" customHeight="1" x14ac:dyDescent="0.25">
      <c r="A4" s="51" t="s">
        <v>3271</v>
      </c>
      <c r="B4" s="51"/>
      <c r="C4" s="51"/>
      <c r="D4" s="51"/>
      <c r="E4" s="51"/>
      <c r="F4" s="51"/>
      <c r="G4" s="51"/>
      <c r="H4" s="51"/>
      <c r="I4" s="51"/>
      <c r="K4" s="33" t="s">
        <v>3270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1141</v>
      </c>
      <c r="C8" s="10" t="s">
        <v>451</v>
      </c>
      <c r="D8" s="11" t="s">
        <v>17</v>
      </c>
      <c r="E8" s="27">
        <v>1</v>
      </c>
      <c r="F8" s="27">
        <v>0</v>
      </c>
      <c r="G8" s="27">
        <v>0</v>
      </c>
      <c r="H8" s="28">
        <f>100-E8*3+100-F8*3+100-G8*15</f>
        <v>297</v>
      </c>
      <c r="I8" s="29">
        <f t="shared" ref="I8:I58" si="0">H8/3</f>
        <v>99</v>
      </c>
      <c r="J8" s="27">
        <f t="shared" ref="J8:J39" si="1">RANK(H8,$H$8:$H$96)</f>
        <v>1</v>
      </c>
      <c r="K8" s="27" t="str">
        <f>IF(I8&lt;11.1,"TIDAK HADIR",IF(I8&lt;13.1,"TIDAK BACA",IF(I8&lt;$K$7,"TIDAK TUNTAS","TUNTAS")))</f>
        <v>TUNTAS</v>
      </c>
      <c r="L8" s="4" t="str">
        <f>IF(G8&gt;5,"TM"," ")</f>
        <v xml:space="preserve"> </v>
      </c>
      <c r="M8" s="1"/>
      <c r="N8" s="2">
        <f>I8/10</f>
        <v>9.9</v>
      </c>
    </row>
    <row r="9" spans="1:14" ht="15.95" customHeight="1" x14ac:dyDescent="0.25">
      <c r="A9" s="13">
        <v>2</v>
      </c>
      <c r="B9" s="9" t="s">
        <v>1143</v>
      </c>
      <c r="C9" s="10" t="s">
        <v>453</v>
      </c>
      <c r="D9" s="11" t="s">
        <v>18</v>
      </c>
      <c r="E9" s="27">
        <v>0</v>
      </c>
      <c r="F9" s="27">
        <v>0</v>
      </c>
      <c r="G9" s="27">
        <v>2</v>
      </c>
      <c r="H9" s="28">
        <f t="shared" ref="H9:H59" si="2">100-E9*3+100-F9*3+100-G9*15</f>
        <v>270</v>
      </c>
      <c r="I9" s="29">
        <f t="shared" si="0"/>
        <v>90</v>
      </c>
      <c r="J9" s="27">
        <f t="shared" si="1"/>
        <v>5</v>
      </c>
      <c r="K9" s="27" t="str">
        <f t="shared" ref="K9:K59" si="3">IF(I9&lt;11.1,"TIDAK HADIR",IF(I9&lt;13.1,"TIDAK BACA",IF(I9&lt;$K$7,"TIDAK TUNTAS","TUNTAS")))</f>
        <v>TUNTAS</v>
      </c>
      <c r="L9" s="4" t="str">
        <f t="shared" ref="L9:L59" si="4">IF(G9&gt;5,"TM"," ")</f>
        <v xml:space="preserve"> </v>
      </c>
      <c r="M9" s="1"/>
      <c r="N9" s="2">
        <f t="shared" ref="N9:N64" si="5">I9/10</f>
        <v>9</v>
      </c>
    </row>
    <row r="10" spans="1:14" ht="15.95" customHeight="1" x14ac:dyDescent="0.25">
      <c r="A10" s="13">
        <v>3</v>
      </c>
      <c r="B10" s="9" t="s">
        <v>1145</v>
      </c>
      <c r="C10" s="10" t="s">
        <v>744</v>
      </c>
      <c r="D10" s="11" t="s">
        <v>19</v>
      </c>
      <c r="E10" s="27">
        <v>10</v>
      </c>
      <c r="F10" s="27">
        <v>7</v>
      </c>
      <c r="G10" s="27">
        <v>4</v>
      </c>
      <c r="H10" s="28">
        <f t="shared" si="2"/>
        <v>189</v>
      </c>
      <c r="I10" s="29">
        <f>H10/3</f>
        <v>63</v>
      </c>
      <c r="J10" s="27">
        <f t="shared" si="1"/>
        <v>22</v>
      </c>
      <c r="K10" s="27" t="str">
        <f t="shared" si="3"/>
        <v>TUNTAS</v>
      </c>
      <c r="L10" s="4" t="str">
        <f t="shared" si="4"/>
        <v xml:space="preserve"> </v>
      </c>
      <c r="M10" s="1"/>
      <c r="N10" s="2">
        <f t="shared" si="5"/>
        <v>6.3</v>
      </c>
    </row>
    <row r="11" spans="1:14" ht="15.95" customHeight="1" x14ac:dyDescent="0.25">
      <c r="A11" s="13">
        <v>4</v>
      </c>
      <c r="B11" s="9" t="s">
        <v>1147</v>
      </c>
      <c r="C11" s="10" t="s">
        <v>650</v>
      </c>
      <c r="D11" s="11" t="s">
        <v>20</v>
      </c>
      <c r="E11" s="27">
        <v>13</v>
      </c>
      <c r="F11" s="27">
        <v>12</v>
      </c>
      <c r="G11" s="27">
        <v>6</v>
      </c>
      <c r="H11" s="28">
        <f t="shared" si="2"/>
        <v>135</v>
      </c>
      <c r="I11" s="29">
        <f t="shared" si="0"/>
        <v>45</v>
      </c>
      <c r="J11" s="27">
        <f t="shared" si="1"/>
        <v>36</v>
      </c>
      <c r="K11" s="27" t="str">
        <f t="shared" si="3"/>
        <v>TIDAK TUNTAS</v>
      </c>
      <c r="L11" s="4" t="str">
        <f t="shared" si="4"/>
        <v>TM</v>
      </c>
      <c r="M11" s="1"/>
      <c r="N11" s="2">
        <f t="shared" si="5"/>
        <v>4.5</v>
      </c>
    </row>
    <row r="12" spans="1:14" ht="15.95" customHeight="1" x14ac:dyDescent="0.25">
      <c r="A12" s="13">
        <v>5</v>
      </c>
      <c r="B12" s="9" t="s">
        <v>1149</v>
      </c>
      <c r="C12" s="10" t="s">
        <v>456</v>
      </c>
      <c r="D12" s="11" t="s">
        <v>22</v>
      </c>
      <c r="E12" s="27">
        <v>31</v>
      </c>
      <c r="F12" s="27">
        <v>31</v>
      </c>
      <c r="G12" s="27">
        <v>5</v>
      </c>
      <c r="H12" s="28">
        <f t="shared" si="2"/>
        <v>39</v>
      </c>
      <c r="I12" s="29">
        <f t="shared" si="0"/>
        <v>13</v>
      </c>
      <c r="J12" s="27">
        <f t="shared" si="1"/>
        <v>48</v>
      </c>
      <c r="K12" s="27" t="str">
        <f t="shared" si="3"/>
        <v>TIDAK BACA</v>
      </c>
      <c r="L12" s="4" t="str">
        <f t="shared" si="4"/>
        <v xml:space="preserve"> </v>
      </c>
      <c r="M12" s="1"/>
      <c r="N12" s="2">
        <f t="shared" si="5"/>
        <v>1.3</v>
      </c>
    </row>
    <row r="13" spans="1:14" ht="15.95" customHeight="1" x14ac:dyDescent="0.25">
      <c r="A13" s="13">
        <v>6</v>
      </c>
      <c r="B13" s="9" t="s">
        <v>1151</v>
      </c>
      <c r="C13" s="10" t="s">
        <v>751</v>
      </c>
      <c r="D13" s="11" t="s">
        <v>23</v>
      </c>
      <c r="E13" s="27">
        <v>17</v>
      </c>
      <c r="F13" s="27">
        <v>4</v>
      </c>
      <c r="G13" s="27">
        <v>6</v>
      </c>
      <c r="H13" s="28">
        <f t="shared" si="2"/>
        <v>147</v>
      </c>
      <c r="I13" s="29">
        <f t="shared" si="0"/>
        <v>49</v>
      </c>
      <c r="J13" s="27">
        <f t="shared" si="1"/>
        <v>32</v>
      </c>
      <c r="K13" s="27" t="str">
        <f t="shared" si="3"/>
        <v>TIDAK TUNTAS</v>
      </c>
      <c r="L13" s="4" t="str">
        <f t="shared" si="4"/>
        <v>TM</v>
      </c>
      <c r="M13" s="1"/>
      <c r="N13" s="2">
        <f t="shared" si="5"/>
        <v>4.9000000000000004</v>
      </c>
    </row>
    <row r="14" spans="1:14" ht="15.95" customHeight="1" x14ac:dyDescent="0.25">
      <c r="A14" s="13">
        <v>7</v>
      </c>
      <c r="B14" s="9" t="s">
        <v>1153</v>
      </c>
      <c r="C14" s="10" t="s">
        <v>160</v>
      </c>
      <c r="D14" s="11" t="s">
        <v>143</v>
      </c>
      <c r="E14" s="27">
        <v>19</v>
      </c>
      <c r="F14" s="27">
        <v>12</v>
      </c>
      <c r="G14" s="27">
        <v>4</v>
      </c>
      <c r="H14" s="28">
        <f t="shared" si="2"/>
        <v>147</v>
      </c>
      <c r="I14" s="29">
        <f t="shared" si="0"/>
        <v>49</v>
      </c>
      <c r="J14" s="27">
        <f t="shared" si="1"/>
        <v>32</v>
      </c>
      <c r="K14" s="27" t="str">
        <f t="shared" si="3"/>
        <v>TIDAK TUNTAS</v>
      </c>
      <c r="L14" s="4" t="str">
        <f t="shared" si="4"/>
        <v xml:space="preserve"> </v>
      </c>
      <c r="M14" s="1"/>
      <c r="N14" s="2">
        <f t="shared" si="5"/>
        <v>4.9000000000000004</v>
      </c>
    </row>
    <row r="15" spans="1:14" ht="15.95" customHeight="1" x14ac:dyDescent="0.25">
      <c r="A15" s="13">
        <v>8</v>
      </c>
      <c r="B15" s="9" t="s">
        <v>1155</v>
      </c>
      <c r="C15" s="17" t="s">
        <v>162</v>
      </c>
      <c r="D15" s="18" t="s">
        <v>145</v>
      </c>
      <c r="E15" s="27">
        <v>26</v>
      </c>
      <c r="F15" s="27">
        <v>26</v>
      </c>
      <c r="G15" s="27">
        <v>6</v>
      </c>
      <c r="H15" s="28">
        <f t="shared" si="2"/>
        <v>54</v>
      </c>
      <c r="I15" s="29">
        <f t="shared" si="0"/>
        <v>18</v>
      </c>
      <c r="J15" s="27">
        <f t="shared" si="1"/>
        <v>44</v>
      </c>
      <c r="K15" s="27" t="str">
        <f t="shared" si="3"/>
        <v>TIDAK TUNTAS</v>
      </c>
      <c r="L15" s="4" t="str">
        <f t="shared" si="4"/>
        <v>TM</v>
      </c>
      <c r="M15" s="1"/>
      <c r="N15" s="2">
        <f t="shared" si="5"/>
        <v>1.8</v>
      </c>
    </row>
    <row r="16" spans="1:14" ht="15.95" customHeight="1" x14ac:dyDescent="0.25">
      <c r="A16" s="13">
        <v>9</v>
      </c>
      <c r="B16" s="9" t="s">
        <v>1156</v>
      </c>
      <c r="C16" s="10" t="s">
        <v>3200</v>
      </c>
      <c r="D16" s="11" t="s">
        <v>25</v>
      </c>
      <c r="E16" s="27">
        <v>32</v>
      </c>
      <c r="F16" s="27">
        <v>32</v>
      </c>
      <c r="G16" s="27">
        <v>5</v>
      </c>
      <c r="H16" s="28">
        <f t="shared" si="2"/>
        <v>33</v>
      </c>
      <c r="I16" s="29">
        <f t="shared" si="0"/>
        <v>11</v>
      </c>
      <c r="J16" s="27">
        <f t="shared" si="1"/>
        <v>50</v>
      </c>
      <c r="K16" s="27" t="str">
        <f t="shared" si="3"/>
        <v>TIDAK HADIR</v>
      </c>
      <c r="L16" s="4" t="s">
        <v>3264</v>
      </c>
      <c r="M16" s="1"/>
      <c r="N16" s="2">
        <f t="shared" si="5"/>
        <v>1.1000000000000001</v>
      </c>
    </row>
    <row r="17" spans="1:14" ht="15.95" customHeight="1" x14ac:dyDescent="0.25">
      <c r="A17" s="13">
        <v>10</v>
      </c>
      <c r="B17" s="9" t="s">
        <v>1158</v>
      </c>
      <c r="C17" s="10" t="s">
        <v>660</v>
      </c>
      <c r="D17" s="11" t="s">
        <v>101</v>
      </c>
      <c r="E17" s="27">
        <v>14</v>
      </c>
      <c r="F17" s="27">
        <v>25</v>
      </c>
      <c r="G17" s="27">
        <v>5</v>
      </c>
      <c r="H17" s="28">
        <f t="shared" si="2"/>
        <v>108</v>
      </c>
      <c r="I17" s="29">
        <f t="shared" si="0"/>
        <v>36</v>
      </c>
      <c r="J17" s="27">
        <f t="shared" si="1"/>
        <v>40</v>
      </c>
      <c r="K17" s="27" t="str">
        <f t="shared" si="3"/>
        <v>TIDAK TUNTAS</v>
      </c>
      <c r="L17" s="4" t="str">
        <f t="shared" si="4"/>
        <v xml:space="preserve"> </v>
      </c>
      <c r="M17" s="1"/>
      <c r="N17" s="2">
        <f t="shared" si="5"/>
        <v>3.6</v>
      </c>
    </row>
    <row r="18" spans="1:14" ht="15.95" customHeight="1" x14ac:dyDescent="0.25">
      <c r="A18" s="13">
        <v>11</v>
      </c>
      <c r="B18" s="9" t="s">
        <v>1159</v>
      </c>
      <c r="C18" s="17" t="s">
        <v>463</v>
      </c>
      <c r="D18" s="18" t="s">
        <v>75</v>
      </c>
      <c r="E18" s="27">
        <v>26</v>
      </c>
      <c r="F18" s="27">
        <v>28</v>
      </c>
      <c r="G18" s="27">
        <v>6</v>
      </c>
      <c r="H18" s="28">
        <f t="shared" si="2"/>
        <v>48</v>
      </c>
      <c r="I18" s="29">
        <f t="shared" si="0"/>
        <v>16</v>
      </c>
      <c r="J18" s="27">
        <f t="shared" si="1"/>
        <v>45</v>
      </c>
      <c r="K18" s="27" t="str">
        <f t="shared" si="3"/>
        <v>TIDAK TUNTAS</v>
      </c>
      <c r="L18" s="4" t="str">
        <f t="shared" si="4"/>
        <v>TM</v>
      </c>
      <c r="M18" s="1"/>
      <c r="N18" s="2">
        <f t="shared" si="5"/>
        <v>1.6</v>
      </c>
    </row>
    <row r="19" spans="1:14" ht="15.95" customHeight="1" x14ac:dyDescent="0.25">
      <c r="A19" s="13">
        <v>12</v>
      </c>
      <c r="B19" s="9" t="s">
        <v>1161</v>
      </c>
      <c r="C19" s="17" t="s">
        <v>465</v>
      </c>
      <c r="D19" s="18" t="s">
        <v>28</v>
      </c>
      <c r="E19" s="27">
        <v>16</v>
      </c>
      <c r="F19" s="27">
        <v>22</v>
      </c>
      <c r="G19" s="27">
        <v>6</v>
      </c>
      <c r="H19" s="28">
        <f t="shared" si="2"/>
        <v>96</v>
      </c>
      <c r="I19" s="29">
        <f t="shared" si="0"/>
        <v>32</v>
      </c>
      <c r="J19" s="27">
        <f t="shared" si="1"/>
        <v>41</v>
      </c>
      <c r="K19" s="27" t="str">
        <f t="shared" si="3"/>
        <v>TIDAK TUNTAS</v>
      </c>
      <c r="L19" s="4" t="str">
        <f t="shared" si="4"/>
        <v>TM</v>
      </c>
      <c r="M19" s="1"/>
      <c r="N19" s="2">
        <f t="shared" si="5"/>
        <v>3.2</v>
      </c>
    </row>
    <row r="20" spans="1:14" ht="15.95" customHeight="1" x14ac:dyDescent="0.25">
      <c r="A20" s="13">
        <v>13</v>
      </c>
      <c r="B20" s="9" t="s">
        <v>1163</v>
      </c>
      <c r="C20" s="10" t="s">
        <v>376</v>
      </c>
      <c r="D20" s="11" t="s">
        <v>29</v>
      </c>
      <c r="E20" s="27">
        <v>1</v>
      </c>
      <c r="F20" s="27">
        <v>4</v>
      </c>
      <c r="G20" s="27">
        <v>2</v>
      </c>
      <c r="H20" s="28">
        <f t="shared" si="2"/>
        <v>255</v>
      </c>
      <c r="I20" s="29">
        <f t="shared" si="0"/>
        <v>85</v>
      </c>
      <c r="J20" s="27">
        <f t="shared" si="1"/>
        <v>7</v>
      </c>
      <c r="K20" s="27" t="str">
        <f t="shared" si="3"/>
        <v>TUNTAS</v>
      </c>
      <c r="L20" s="4" t="str">
        <f t="shared" si="4"/>
        <v xml:space="preserve"> </v>
      </c>
      <c r="M20" s="1"/>
      <c r="N20" s="2">
        <f t="shared" si="5"/>
        <v>8.5</v>
      </c>
    </row>
    <row r="21" spans="1:14" ht="15.95" customHeight="1" x14ac:dyDescent="0.25">
      <c r="A21" s="13">
        <v>14</v>
      </c>
      <c r="B21" s="9" t="s">
        <v>1165</v>
      </c>
      <c r="C21" s="10" t="s">
        <v>269</v>
      </c>
      <c r="D21" s="11" t="s">
        <v>77</v>
      </c>
      <c r="E21" s="27">
        <v>25</v>
      </c>
      <c r="F21" s="27">
        <v>25</v>
      </c>
      <c r="G21" s="27">
        <v>6</v>
      </c>
      <c r="H21" s="28">
        <f t="shared" si="2"/>
        <v>60</v>
      </c>
      <c r="I21" s="29">
        <f t="shared" si="0"/>
        <v>20</v>
      </c>
      <c r="J21" s="27">
        <f t="shared" si="1"/>
        <v>42</v>
      </c>
      <c r="K21" s="27" t="str">
        <f t="shared" si="3"/>
        <v>TIDAK TUNTAS</v>
      </c>
      <c r="L21" s="4" t="str">
        <f t="shared" si="4"/>
        <v>TM</v>
      </c>
      <c r="M21" s="1"/>
      <c r="N21" s="2">
        <f t="shared" si="5"/>
        <v>2</v>
      </c>
    </row>
    <row r="22" spans="1:14" ht="15.95" customHeight="1" x14ac:dyDescent="0.25">
      <c r="A22" s="13">
        <v>15</v>
      </c>
      <c r="B22" s="9" t="s">
        <v>1167</v>
      </c>
      <c r="C22" s="10" t="s">
        <v>669</v>
      </c>
      <c r="D22" s="11" t="s">
        <v>32</v>
      </c>
      <c r="E22" s="27">
        <v>6</v>
      </c>
      <c r="F22" s="27">
        <v>4</v>
      </c>
      <c r="G22" s="27">
        <v>3</v>
      </c>
      <c r="H22" s="28">
        <f t="shared" si="2"/>
        <v>225</v>
      </c>
      <c r="I22" s="29">
        <f t="shared" si="0"/>
        <v>75</v>
      </c>
      <c r="J22" s="27">
        <f t="shared" si="1"/>
        <v>13</v>
      </c>
      <c r="K22" s="27" t="str">
        <f t="shared" si="3"/>
        <v>TUNTAS</v>
      </c>
      <c r="L22" s="4" t="str">
        <f t="shared" si="4"/>
        <v xml:space="preserve"> </v>
      </c>
      <c r="M22" s="1"/>
      <c r="N22" s="2">
        <f t="shared" si="5"/>
        <v>7.5</v>
      </c>
    </row>
    <row r="23" spans="1:14" ht="15.95" customHeight="1" x14ac:dyDescent="0.25">
      <c r="A23" s="13">
        <v>16</v>
      </c>
      <c r="B23" s="9" t="s">
        <v>1169</v>
      </c>
      <c r="C23" s="10" t="s">
        <v>384</v>
      </c>
      <c r="D23" s="11" t="s">
        <v>33</v>
      </c>
      <c r="E23" s="27">
        <v>0</v>
      </c>
      <c r="F23" s="27">
        <v>0</v>
      </c>
      <c r="G23" s="27">
        <v>2</v>
      </c>
      <c r="H23" s="28">
        <f t="shared" si="2"/>
        <v>270</v>
      </c>
      <c r="I23" s="29">
        <f t="shared" si="0"/>
        <v>90</v>
      </c>
      <c r="J23" s="27">
        <f t="shared" si="1"/>
        <v>5</v>
      </c>
      <c r="K23" s="27" t="str">
        <f t="shared" si="3"/>
        <v>TUNTAS</v>
      </c>
      <c r="L23" s="4" t="str">
        <f t="shared" si="4"/>
        <v xml:space="preserve"> </v>
      </c>
      <c r="M23" s="1"/>
      <c r="N23" s="2">
        <f t="shared" si="5"/>
        <v>9</v>
      </c>
    </row>
    <row r="24" spans="1:14" ht="15.95" customHeight="1" x14ac:dyDescent="0.25">
      <c r="A24" s="13">
        <v>17</v>
      </c>
      <c r="B24" s="9" t="s">
        <v>1171</v>
      </c>
      <c r="C24" s="10" t="s">
        <v>564</v>
      </c>
      <c r="D24" s="11" t="s">
        <v>33</v>
      </c>
      <c r="E24" s="27">
        <v>8</v>
      </c>
      <c r="F24" s="27">
        <v>9</v>
      </c>
      <c r="G24" s="27">
        <v>4</v>
      </c>
      <c r="H24" s="28">
        <f t="shared" si="2"/>
        <v>189</v>
      </c>
      <c r="I24" s="29">
        <f t="shared" si="0"/>
        <v>63</v>
      </c>
      <c r="J24" s="27">
        <f t="shared" si="1"/>
        <v>22</v>
      </c>
      <c r="K24" s="27" t="str">
        <f t="shared" si="3"/>
        <v>TUNTAS</v>
      </c>
      <c r="L24" s="4" t="str">
        <f t="shared" si="4"/>
        <v xml:space="preserve"> </v>
      </c>
      <c r="M24" s="1"/>
      <c r="N24" s="2">
        <f t="shared" si="5"/>
        <v>6.3</v>
      </c>
    </row>
    <row r="25" spans="1:14" ht="15.95" customHeight="1" x14ac:dyDescent="0.25">
      <c r="A25" s="30">
        <v>18</v>
      </c>
      <c r="B25" s="9" t="s">
        <v>1173</v>
      </c>
      <c r="C25" s="10" t="s">
        <v>769</v>
      </c>
      <c r="D25" s="11" t="s">
        <v>569</v>
      </c>
      <c r="E25" s="27">
        <v>6</v>
      </c>
      <c r="F25" s="27">
        <v>7</v>
      </c>
      <c r="G25" s="27">
        <v>2</v>
      </c>
      <c r="H25" s="28">
        <f t="shared" si="2"/>
        <v>231</v>
      </c>
      <c r="I25" s="29">
        <f t="shared" si="0"/>
        <v>77</v>
      </c>
      <c r="J25" s="27">
        <f t="shared" si="1"/>
        <v>11</v>
      </c>
      <c r="K25" s="27" t="str">
        <f t="shared" si="3"/>
        <v>TUNTAS</v>
      </c>
      <c r="L25" s="4" t="str">
        <f t="shared" si="4"/>
        <v xml:space="preserve"> </v>
      </c>
      <c r="M25" s="1"/>
      <c r="N25" s="2">
        <f t="shared" si="5"/>
        <v>7.7</v>
      </c>
    </row>
    <row r="26" spans="1:14" ht="15.95" customHeight="1" x14ac:dyDescent="0.25">
      <c r="A26" s="13">
        <v>19</v>
      </c>
      <c r="B26" s="9" t="s">
        <v>1174</v>
      </c>
      <c r="C26" s="10" t="s">
        <v>3201</v>
      </c>
      <c r="D26" s="11" t="s">
        <v>103</v>
      </c>
      <c r="E26" s="27">
        <v>6</v>
      </c>
      <c r="F26" s="27">
        <v>5</v>
      </c>
      <c r="G26" s="27">
        <v>2</v>
      </c>
      <c r="H26" s="28">
        <f t="shared" si="2"/>
        <v>237</v>
      </c>
      <c r="I26" s="29">
        <f t="shared" si="0"/>
        <v>79</v>
      </c>
      <c r="J26" s="27">
        <f t="shared" si="1"/>
        <v>9</v>
      </c>
      <c r="K26" s="27" t="str">
        <f t="shared" si="3"/>
        <v>TUNTAS</v>
      </c>
      <c r="L26" s="4" t="str">
        <f t="shared" si="4"/>
        <v xml:space="preserve"> </v>
      </c>
      <c r="M26" s="1"/>
      <c r="N26" s="2">
        <f t="shared" si="5"/>
        <v>7.9</v>
      </c>
    </row>
    <row r="27" spans="1:14" ht="15.95" customHeight="1" x14ac:dyDescent="0.25">
      <c r="A27" s="13">
        <v>20</v>
      </c>
      <c r="B27" s="9" t="s">
        <v>1175</v>
      </c>
      <c r="C27" s="10" t="s">
        <v>179</v>
      </c>
      <c r="D27" s="11" t="s">
        <v>93</v>
      </c>
      <c r="E27" s="27">
        <v>12</v>
      </c>
      <c r="F27" s="27">
        <v>14</v>
      </c>
      <c r="G27" s="27">
        <v>4</v>
      </c>
      <c r="H27" s="28">
        <f t="shared" si="2"/>
        <v>162</v>
      </c>
      <c r="I27" s="29">
        <f t="shared" si="0"/>
        <v>54</v>
      </c>
      <c r="J27" s="27">
        <f t="shared" si="1"/>
        <v>26</v>
      </c>
      <c r="K27" s="27" t="str">
        <f t="shared" si="3"/>
        <v>TIDAK TUNTAS</v>
      </c>
      <c r="L27" s="4" t="str">
        <f t="shared" si="4"/>
        <v xml:space="preserve"> </v>
      </c>
      <c r="M27" s="1"/>
      <c r="N27" s="2">
        <f t="shared" si="5"/>
        <v>5.4</v>
      </c>
    </row>
    <row r="28" spans="1:14" ht="15.95" customHeight="1" x14ac:dyDescent="0.25">
      <c r="A28" s="13">
        <v>21</v>
      </c>
      <c r="B28" s="9" t="s">
        <v>1176</v>
      </c>
      <c r="C28" s="10" t="s">
        <v>775</v>
      </c>
      <c r="D28" s="11" t="s">
        <v>36</v>
      </c>
      <c r="E28" s="27">
        <v>19</v>
      </c>
      <c r="F28" s="27">
        <v>18</v>
      </c>
      <c r="G28" s="27">
        <v>4</v>
      </c>
      <c r="H28" s="28">
        <f t="shared" si="2"/>
        <v>129</v>
      </c>
      <c r="I28" s="29">
        <f t="shared" si="0"/>
        <v>43</v>
      </c>
      <c r="J28" s="27">
        <f t="shared" si="1"/>
        <v>38</v>
      </c>
      <c r="K28" s="27" t="str">
        <f t="shared" si="3"/>
        <v>TIDAK TUNTAS</v>
      </c>
      <c r="L28" s="4" t="str">
        <f t="shared" si="4"/>
        <v xml:space="preserve"> </v>
      </c>
      <c r="M28" s="1"/>
      <c r="N28" s="2">
        <f t="shared" si="5"/>
        <v>4.3</v>
      </c>
    </row>
    <row r="29" spans="1:14" ht="15.95" customHeight="1" x14ac:dyDescent="0.25">
      <c r="A29" s="13">
        <v>22</v>
      </c>
      <c r="B29" s="9" t="s">
        <v>1178</v>
      </c>
      <c r="C29" s="10" t="s">
        <v>388</v>
      </c>
      <c r="D29" s="11" t="s">
        <v>126</v>
      </c>
      <c r="E29" s="27">
        <v>0</v>
      </c>
      <c r="F29" s="27">
        <v>1</v>
      </c>
      <c r="G29" s="27">
        <v>1</v>
      </c>
      <c r="H29" s="28">
        <f t="shared" si="2"/>
        <v>282</v>
      </c>
      <c r="I29" s="29">
        <f t="shared" si="0"/>
        <v>94</v>
      </c>
      <c r="J29" s="27">
        <f t="shared" si="1"/>
        <v>4</v>
      </c>
      <c r="K29" s="27" t="str">
        <f t="shared" si="3"/>
        <v>TUNTAS</v>
      </c>
      <c r="L29" s="4" t="str">
        <f t="shared" si="4"/>
        <v xml:space="preserve"> </v>
      </c>
      <c r="M29" s="1"/>
      <c r="N29" s="2">
        <f t="shared" si="5"/>
        <v>9.4</v>
      </c>
    </row>
    <row r="30" spans="1:14" ht="15.95" customHeight="1" x14ac:dyDescent="0.25">
      <c r="A30" s="13">
        <v>23</v>
      </c>
      <c r="B30" s="9" t="s">
        <v>1180</v>
      </c>
      <c r="C30" s="10" t="s">
        <v>580</v>
      </c>
      <c r="D30" s="11" t="s">
        <v>38</v>
      </c>
      <c r="E30" s="27">
        <v>7</v>
      </c>
      <c r="F30" s="27">
        <v>10</v>
      </c>
      <c r="G30" s="27">
        <v>3</v>
      </c>
      <c r="H30" s="28">
        <f t="shared" si="2"/>
        <v>204</v>
      </c>
      <c r="I30" s="29">
        <f t="shared" si="0"/>
        <v>68</v>
      </c>
      <c r="J30" s="27">
        <f t="shared" si="1"/>
        <v>19</v>
      </c>
      <c r="K30" s="27" t="str">
        <f t="shared" si="3"/>
        <v>TUNTAS</v>
      </c>
      <c r="L30" s="4" t="str">
        <f t="shared" si="4"/>
        <v xml:space="preserve"> </v>
      </c>
      <c r="M30" s="1"/>
      <c r="N30" s="2">
        <f t="shared" si="5"/>
        <v>6.8</v>
      </c>
    </row>
    <row r="31" spans="1:14" ht="15.95" customHeight="1" x14ac:dyDescent="0.25">
      <c r="A31" s="13">
        <v>24</v>
      </c>
      <c r="B31" s="9" t="s">
        <v>1182</v>
      </c>
      <c r="C31" s="10" t="s">
        <v>1150</v>
      </c>
      <c r="D31" s="11" t="s">
        <v>127</v>
      </c>
      <c r="E31" s="27">
        <v>8</v>
      </c>
      <c r="F31" s="27">
        <v>11</v>
      </c>
      <c r="G31" s="27">
        <v>3</v>
      </c>
      <c r="H31" s="28">
        <f t="shared" si="2"/>
        <v>198</v>
      </c>
      <c r="I31" s="29">
        <f t="shared" si="0"/>
        <v>66</v>
      </c>
      <c r="J31" s="27">
        <f t="shared" si="1"/>
        <v>21</v>
      </c>
      <c r="K31" s="27" t="str">
        <f t="shared" si="3"/>
        <v>TUNTAS</v>
      </c>
      <c r="L31" s="4" t="str">
        <f t="shared" si="4"/>
        <v xml:space="preserve"> </v>
      </c>
      <c r="M31" s="1"/>
      <c r="N31" s="2">
        <f t="shared" si="5"/>
        <v>6.6</v>
      </c>
    </row>
    <row r="32" spans="1:14" ht="15.95" customHeight="1" x14ac:dyDescent="0.25">
      <c r="A32" s="13">
        <v>25</v>
      </c>
      <c r="B32" s="9" t="s">
        <v>1184</v>
      </c>
      <c r="C32" s="10" t="s">
        <v>584</v>
      </c>
      <c r="D32" s="11" t="s">
        <v>127</v>
      </c>
      <c r="E32" s="27">
        <v>2</v>
      </c>
      <c r="F32" s="27">
        <v>1</v>
      </c>
      <c r="G32" s="27">
        <v>0</v>
      </c>
      <c r="H32" s="28">
        <f t="shared" si="2"/>
        <v>291</v>
      </c>
      <c r="I32" s="29">
        <f t="shared" si="0"/>
        <v>97</v>
      </c>
      <c r="J32" s="27">
        <f t="shared" si="1"/>
        <v>2</v>
      </c>
      <c r="K32" s="27" t="str">
        <f t="shared" si="3"/>
        <v>TUNTAS</v>
      </c>
      <c r="L32" s="4" t="str">
        <f t="shared" si="4"/>
        <v xml:space="preserve"> </v>
      </c>
      <c r="M32" s="1"/>
      <c r="N32" s="2">
        <f t="shared" si="5"/>
        <v>9.6999999999999993</v>
      </c>
    </row>
    <row r="33" spans="1:14" ht="15.95" customHeight="1" x14ac:dyDescent="0.25">
      <c r="A33" s="13">
        <v>26</v>
      </c>
      <c r="B33" s="9" t="s">
        <v>1185</v>
      </c>
      <c r="C33" s="10" t="s">
        <v>286</v>
      </c>
      <c r="D33" s="11" t="s">
        <v>287</v>
      </c>
      <c r="E33" s="27">
        <v>10</v>
      </c>
      <c r="F33" s="27">
        <v>8</v>
      </c>
      <c r="G33" s="27">
        <v>3</v>
      </c>
      <c r="H33" s="28">
        <f t="shared" si="2"/>
        <v>201</v>
      </c>
      <c r="I33" s="29">
        <f t="shared" si="0"/>
        <v>67</v>
      </c>
      <c r="J33" s="27">
        <f t="shared" si="1"/>
        <v>20</v>
      </c>
      <c r="K33" s="27" t="str">
        <f t="shared" si="3"/>
        <v>TUNTAS</v>
      </c>
      <c r="L33" s="4" t="str">
        <f t="shared" si="4"/>
        <v xml:space="preserve"> </v>
      </c>
      <c r="M33" s="1"/>
      <c r="N33" s="2">
        <f t="shared" si="5"/>
        <v>6.7</v>
      </c>
    </row>
    <row r="34" spans="1:14" ht="15.95" customHeight="1" x14ac:dyDescent="0.25">
      <c r="A34" s="13">
        <v>27</v>
      </c>
      <c r="B34" s="9" t="s">
        <v>1187</v>
      </c>
      <c r="C34" s="10" t="s">
        <v>289</v>
      </c>
      <c r="D34" s="11" t="s">
        <v>290</v>
      </c>
      <c r="E34" s="27">
        <v>4</v>
      </c>
      <c r="F34" s="27">
        <v>2</v>
      </c>
      <c r="G34" s="27">
        <v>3</v>
      </c>
      <c r="H34" s="28">
        <f t="shared" si="2"/>
        <v>237</v>
      </c>
      <c r="I34" s="29">
        <f t="shared" si="0"/>
        <v>79</v>
      </c>
      <c r="J34" s="27">
        <f t="shared" si="1"/>
        <v>9</v>
      </c>
      <c r="K34" s="27" t="str">
        <f t="shared" si="3"/>
        <v>TUNTAS</v>
      </c>
      <c r="L34" s="4" t="str">
        <f t="shared" si="4"/>
        <v xml:space="preserve"> </v>
      </c>
      <c r="M34" s="1"/>
      <c r="N34" s="2">
        <f t="shared" si="5"/>
        <v>7.9</v>
      </c>
    </row>
    <row r="35" spans="1:14" ht="15.95" customHeight="1" x14ac:dyDescent="0.25">
      <c r="A35" s="13">
        <v>28</v>
      </c>
      <c r="B35" s="9" t="s">
        <v>1188</v>
      </c>
      <c r="C35" s="10" t="s">
        <v>3202</v>
      </c>
      <c r="D35" s="11" t="s">
        <v>144</v>
      </c>
      <c r="E35" s="27">
        <v>13</v>
      </c>
      <c r="F35" s="27">
        <v>14</v>
      </c>
      <c r="G35" s="27">
        <v>5</v>
      </c>
      <c r="H35" s="28">
        <f t="shared" si="2"/>
        <v>144</v>
      </c>
      <c r="I35" s="29">
        <f t="shared" si="0"/>
        <v>48</v>
      </c>
      <c r="J35" s="27">
        <f t="shared" si="1"/>
        <v>34</v>
      </c>
      <c r="K35" s="27" t="str">
        <f t="shared" si="3"/>
        <v>TIDAK TUNTAS</v>
      </c>
      <c r="L35" s="4" t="str">
        <f t="shared" si="4"/>
        <v xml:space="preserve"> </v>
      </c>
      <c r="M35" s="1"/>
      <c r="N35" s="2">
        <f t="shared" si="5"/>
        <v>4.8</v>
      </c>
    </row>
    <row r="36" spans="1:14" ht="15.95" customHeight="1" x14ac:dyDescent="0.25">
      <c r="A36" s="13">
        <v>29</v>
      </c>
      <c r="B36" s="9" t="s">
        <v>1190</v>
      </c>
      <c r="C36" s="10" t="s">
        <v>692</v>
      </c>
      <c r="D36" s="11" t="s">
        <v>43</v>
      </c>
      <c r="E36" s="27">
        <v>18</v>
      </c>
      <c r="F36" s="27">
        <v>15</v>
      </c>
      <c r="G36" s="27">
        <v>3</v>
      </c>
      <c r="H36" s="28">
        <f t="shared" si="2"/>
        <v>156</v>
      </c>
      <c r="I36" s="29">
        <f t="shared" si="0"/>
        <v>52</v>
      </c>
      <c r="J36" s="27">
        <f t="shared" si="1"/>
        <v>27</v>
      </c>
      <c r="K36" s="27" t="str">
        <f t="shared" si="3"/>
        <v>TIDAK TUNTAS</v>
      </c>
      <c r="L36" s="4" t="str">
        <f t="shared" si="4"/>
        <v xml:space="preserve"> </v>
      </c>
      <c r="M36" s="1"/>
      <c r="N36" s="2">
        <f t="shared" si="5"/>
        <v>5.2</v>
      </c>
    </row>
    <row r="37" spans="1:14" ht="15.95" customHeight="1" x14ac:dyDescent="0.25">
      <c r="A37" s="13">
        <v>30</v>
      </c>
      <c r="B37" s="9" t="s">
        <v>1192</v>
      </c>
      <c r="C37" s="10" t="s">
        <v>694</v>
      </c>
      <c r="D37" s="11" t="s">
        <v>45</v>
      </c>
      <c r="E37" s="27">
        <v>0</v>
      </c>
      <c r="F37" s="27">
        <v>0</v>
      </c>
      <c r="G37" s="27">
        <v>1</v>
      </c>
      <c r="H37" s="28">
        <f t="shared" si="2"/>
        <v>285</v>
      </c>
      <c r="I37" s="29">
        <f t="shared" si="0"/>
        <v>95</v>
      </c>
      <c r="J37" s="27">
        <f t="shared" si="1"/>
        <v>3</v>
      </c>
      <c r="K37" s="27" t="str">
        <f t="shared" si="3"/>
        <v>TUNTAS</v>
      </c>
      <c r="L37" s="4" t="str">
        <f t="shared" si="4"/>
        <v xml:space="preserve"> </v>
      </c>
      <c r="M37" s="1"/>
      <c r="N37" s="2">
        <f t="shared" si="5"/>
        <v>9.5</v>
      </c>
    </row>
    <row r="38" spans="1:14" ht="15.95" customHeight="1" x14ac:dyDescent="0.25">
      <c r="A38" s="13">
        <v>31</v>
      </c>
      <c r="B38" s="9" t="s">
        <v>1194</v>
      </c>
      <c r="C38" s="10" t="s">
        <v>501</v>
      </c>
      <c r="D38" s="11" t="s">
        <v>128</v>
      </c>
      <c r="E38" s="27">
        <v>32</v>
      </c>
      <c r="F38" s="27">
        <v>32</v>
      </c>
      <c r="G38" s="27">
        <v>5</v>
      </c>
      <c r="H38" s="28">
        <f t="shared" si="2"/>
        <v>33</v>
      </c>
      <c r="I38" s="29">
        <f t="shared" si="0"/>
        <v>11</v>
      </c>
      <c r="J38" s="27">
        <f t="shared" si="1"/>
        <v>50</v>
      </c>
      <c r="K38" s="27" t="str">
        <f t="shared" si="3"/>
        <v>TIDAK HADIR</v>
      </c>
      <c r="L38" s="4" t="str">
        <f t="shared" si="4"/>
        <v xml:space="preserve"> </v>
      </c>
      <c r="M38" s="1"/>
      <c r="N38" s="2">
        <f t="shared" si="5"/>
        <v>1.1000000000000001</v>
      </c>
    </row>
    <row r="39" spans="1:14" ht="15.95" customHeight="1" x14ac:dyDescent="0.25">
      <c r="A39" s="13">
        <v>32</v>
      </c>
      <c r="B39" s="9" t="s">
        <v>1195</v>
      </c>
      <c r="C39" s="10" t="s">
        <v>598</v>
      </c>
      <c r="D39" s="11" t="s">
        <v>107</v>
      </c>
      <c r="E39" s="27">
        <v>9</v>
      </c>
      <c r="F39" s="27">
        <v>14</v>
      </c>
      <c r="G39" s="27">
        <v>5</v>
      </c>
      <c r="H39" s="28">
        <f t="shared" si="2"/>
        <v>156</v>
      </c>
      <c r="I39" s="29">
        <f t="shared" si="0"/>
        <v>52</v>
      </c>
      <c r="J39" s="27">
        <f t="shared" si="1"/>
        <v>27</v>
      </c>
      <c r="K39" s="27" t="str">
        <f t="shared" si="3"/>
        <v>TIDAK TUNTAS</v>
      </c>
      <c r="L39" s="4" t="str">
        <f t="shared" si="4"/>
        <v xml:space="preserve"> </v>
      </c>
      <c r="M39" s="1"/>
      <c r="N39" s="2">
        <f t="shared" si="5"/>
        <v>5.2</v>
      </c>
    </row>
    <row r="40" spans="1:14" ht="15.95" customHeight="1" x14ac:dyDescent="0.25">
      <c r="A40" s="13">
        <v>33</v>
      </c>
      <c r="B40" s="9" t="s">
        <v>1196</v>
      </c>
      <c r="C40" s="10" t="s">
        <v>198</v>
      </c>
      <c r="D40" s="11" t="s">
        <v>47</v>
      </c>
      <c r="E40" s="27">
        <v>13</v>
      </c>
      <c r="F40" s="27">
        <v>7</v>
      </c>
      <c r="G40" s="27">
        <v>4</v>
      </c>
      <c r="H40" s="28">
        <f t="shared" si="2"/>
        <v>180</v>
      </c>
      <c r="I40" s="29">
        <f t="shared" si="0"/>
        <v>60</v>
      </c>
      <c r="J40" s="27">
        <f t="shared" ref="J40:J59" si="6">RANK(H40,$H$8:$H$96)</f>
        <v>24</v>
      </c>
      <c r="K40" s="27" t="str">
        <f t="shared" si="3"/>
        <v>TUNTAS</v>
      </c>
      <c r="L40" s="4" t="str">
        <f t="shared" si="4"/>
        <v xml:space="preserve"> </v>
      </c>
      <c r="M40" s="1"/>
      <c r="N40" s="2">
        <f t="shared" si="5"/>
        <v>6</v>
      </c>
    </row>
    <row r="41" spans="1:14" ht="15.95" customHeight="1" x14ac:dyDescent="0.25">
      <c r="A41" s="13">
        <v>34</v>
      </c>
      <c r="B41" s="9" t="s">
        <v>1198</v>
      </c>
      <c r="C41" s="10" t="s">
        <v>200</v>
      </c>
      <c r="D41" s="11" t="s">
        <v>201</v>
      </c>
      <c r="E41" s="27">
        <v>7</v>
      </c>
      <c r="F41" s="27">
        <v>0</v>
      </c>
      <c r="G41" s="27">
        <v>2</v>
      </c>
      <c r="H41" s="28">
        <f t="shared" si="2"/>
        <v>249</v>
      </c>
      <c r="I41" s="29">
        <f t="shared" si="0"/>
        <v>83</v>
      </c>
      <c r="J41" s="27">
        <f t="shared" si="6"/>
        <v>8</v>
      </c>
      <c r="K41" s="27" t="str">
        <f t="shared" si="3"/>
        <v>TUNTAS</v>
      </c>
      <c r="L41" s="4" t="str">
        <f t="shared" si="4"/>
        <v xml:space="preserve"> </v>
      </c>
      <c r="M41" s="1"/>
      <c r="N41" s="2">
        <f t="shared" si="5"/>
        <v>8.3000000000000007</v>
      </c>
    </row>
    <row r="42" spans="1:14" ht="15.95" customHeight="1" x14ac:dyDescent="0.25">
      <c r="A42" s="13">
        <v>35</v>
      </c>
      <c r="B42" s="9" t="s">
        <v>1200</v>
      </c>
      <c r="C42" s="10" t="s">
        <v>703</v>
      </c>
      <c r="D42" s="11" t="s">
        <v>108</v>
      </c>
      <c r="E42" s="27">
        <v>12</v>
      </c>
      <c r="F42" s="27">
        <v>17</v>
      </c>
      <c r="G42" s="27">
        <v>6</v>
      </c>
      <c r="H42" s="28">
        <f t="shared" si="2"/>
        <v>123</v>
      </c>
      <c r="I42" s="29">
        <f t="shared" si="0"/>
        <v>41</v>
      </c>
      <c r="J42" s="27">
        <f t="shared" si="6"/>
        <v>39</v>
      </c>
      <c r="K42" s="27" t="str">
        <f t="shared" si="3"/>
        <v>TIDAK TUNTAS</v>
      </c>
      <c r="L42" s="4" t="str">
        <f t="shared" si="4"/>
        <v>TM</v>
      </c>
      <c r="M42" s="1"/>
      <c r="N42" s="2">
        <f t="shared" si="5"/>
        <v>4.0999999999999996</v>
      </c>
    </row>
    <row r="43" spans="1:14" ht="15.95" customHeight="1" x14ac:dyDescent="0.25">
      <c r="A43" s="13">
        <v>36</v>
      </c>
      <c r="B43" s="9" t="s">
        <v>1201</v>
      </c>
      <c r="C43" s="10" t="s">
        <v>705</v>
      </c>
      <c r="D43" s="11" t="s">
        <v>51</v>
      </c>
      <c r="E43" s="27">
        <v>8</v>
      </c>
      <c r="F43" s="27">
        <v>0</v>
      </c>
      <c r="G43" s="27">
        <v>3</v>
      </c>
      <c r="H43" s="28">
        <f t="shared" si="2"/>
        <v>231</v>
      </c>
      <c r="I43" s="29">
        <f t="shared" si="0"/>
        <v>77</v>
      </c>
      <c r="J43" s="27">
        <f t="shared" si="6"/>
        <v>11</v>
      </c>
      <c r="K43" s="27" t="str">
        <f t="shared" si="3"/>
        <v>TUNTAS</v>
      </c>
      <c r="L43" s="4" t="str">
        <f t="shared" si="4"/>
        <v xml:space="preserve"> </v>
      </c>
      <c r="M43" s="1"/>
      <c r="N43" s="2">
        <f t="shared" si="5"/>
        <v>7.7</v>
      </c>
    </row>
    <row r="44" spans="1:14" ht="15.95" customHeight="1" x14ac:dyDescent="0.25">
      <c r="A44" s="13">
        <v>37</v>
      </c>
      <c r="B44" s="9" t="s">
        <v>1203</v>
      </c>
      <c r="C44" s="10" t="s">
        <v>312</v>
      </c>
      <c r="D44" s="11" t="s">
        <v>53</v>
      </c>
      <c r="E44" s="27">
        <v>20</v>
      </c>
      <c r="F44" s="27">
        <v>15</v>
      </c>
      <c r="G44" s="27">
        <v>3</v>
      </c>
      <c r="H44" s="28">
        <f t="shared" si="2"/>
        <v>150</v>
      </c>
      <c r="I44" s="29">
        <f t="shared" si="0"/>
        <v>50</v>
      </c>
      <c r="J44" s="27">
        <f t="shared" si="6"/>
        <v>30</v>
      </c>
      <c r="K44" s="27" t="str">
        <f t="shared" si="3"/>
        <v>TIDAK TUNTAS</v>
      </c>
      <c r="L44" s="4" t="str">
        <f t="shared" si="4"/>
        <v xml:space="preserve"> </v>
      </c>
      <c r="M44" s="1"/>
      <c r="N44" s="2">
        <f t="shared" si="5"/>
        <v>5</v>
      </c>
    </row>
    <row r="45" spans="1:14" ht="15.95" customHeight="1" x14ac:dyDescent="0.25">
      <c r="A45" s="13">
        <v>38</v>
      </c>
      <c r="B45" s="9" t="s">
        <v>1204</v>
      </c>
      <c r="C45" s="10" t="s">
        <v>708</v>
      </c>
      <c r="D45" s="11" t="s">
        <v>55</v>
      </c>
      <c r="E45" s="27">
        <v>20</v>
      </c>
      <c r="F45" s="27">
        <v>18</v>
      </c>
      <c r="G45" s="27">
        <v>2</v>
      </c>
      <c r="H45" s="28">
        <f t="shared" si="2"/>
        <v>156</v>
      </c>
      <c r="I45" s="29">
        <f t="shared" si="0"/>
        <v>52</v>
      </c>
      <c r="J45" s="27">
        <f t="shared" si="6"/>
        <v>27</v>
      </c>
      <c r="K45" s="27" t="str">
        <f t="shared" si="3"/>
        <v>TIDAK TUNTAS</v>
      </c>
      <c r="L45" s="4" t="str">
        <f t="shared" si="4"/>
        <v xml:space="preserve"> </v>
      </c>
      <c r="M45" s="1"/>
      <c r="N45" s="2">
        <f t="shared" si="5"/>
        <v>5.2</v>
      </c>
    </row>
    <row r="46" spans="1:14" ht="15.95" customHeight="1" x14ac:dyDescent="0.25">
      <c r="A46" s="13">
        <v>39</v>
      </c>
      <c r="B46" s="9" t="s">
        <v>1205</v>
      </c>
      <c r="C46" s="10" t="s">
        <v>609</v>
      </c>
      <c r="D46" s="11" t="s">
        <v>94</v>
      </c>
      <c r="E46" s="27">
        <v>11</v>
      </c>
      <c r="F46" s="27">
        <v>5</v>
      </c>
      <c r="G46" s="27">
        <v>3</v>
      </c>
      <c r="H46" s="28">
        <f t="shared" si="2"/>
        <v>207</v>
      </c>
      <c r="I46" s="29">
        <f t="shared" si="0"/>
        <v>69</v>
      </c>
      <c r="J46" s="27">
        <f t="shared" si="6"/>
        <v>18</v>
      </c>
      <c r="K46" s="27" t="str">
        <f t="shared" si="3"/>
        <v>TUNTAS</v>
      </c>
      <c r="L46" s="4" t="str">
        <f t="shared" si="4"/>
        <v xml:space="preserve"> </v>
      </c>
      <c r="M46" s="1"/>
      <c r="N46" s="2">
        <f t="shared" si="5"/>
        <v>6.9</v>
      </c>
    </row>
    <row r="47" spans="1:14" ht="15.95" customHeight="1" x14ac:dyDescent="0.25">
      <c r="A47" s="13">
        <v>40</v>
      </c>
      <c r="B47" s="9" t="s">
        <v>1207</v>
      </c>
      <c r="C47" s="10" t="s">
        <v>612</v>
      </c>
      <c r="D47" s="11" t="s">
        <v>129</v>
      </c>
      <c r="E47" s="27">
        <v>9</v>
      </c>
      <c r="F47" s="27">
        <v>5</v>
      </c>
      <c r="G47" s="27">
        <v>3</v>
      </c>
      <c r="H47" s="28">
        <f t="shared" si="2"/>
        <v>213</v>
      </c>
      <c r="I47" s="29">
        <f t="shared" si="0"/>
        <v>71</v>
      </c>
      <c r="J47" s="27">
        <f t="shared" si="6"/>
        <v>17</v>
      </c>
      <c r="K47" s="27" t="str">
        <f t="shared" si="3"/>
        <v>TUNTAS</v>
      </c>
      <c r="L47" s="4" t="str">
        <f t="shared" si="4"/>
        <v xml:space="preserve"> </v>
      </c>
      <c r="M47" s="1"/>
      <c r="N47" s="2">
        <f t="shared" si="5"/>
        <v>7.1</v>
      </c>
    </row>
    <row r="48" spans="1:14" ht="15.95" customHeight="1" x14ac:dyDescent="0.25">
      <c r="A48" s="13">
        <v>41</v>
      </c>
      <c r="B48" s="9" t="s">
        <v>1209</v>
      </c>
      <c r="C48" s="10" t="s">
        <v>517</v>
      </c>
      <c r="D48" s="11" t="s">
        <v>57</v>
      </c>
      <c r="E48" s="27">
        <v>28</v>
      </c>
      <c r="F48" s="27">
        <v>28</v>
      </c>
      <c r="G48" s="27">
        <v>6</v>
      </c>
      <c r="H48" s="28">
        <f t="shared" si="2"/>
        <v>42</v>
      </c>
      <c r="I48" s="29">
        <f t="shared" si="0"/>
        <v>14</v>
      </c>
      <c r="J48" s="27">
        <f t="shared" si="6"/>
        <v>47</v>
      </c>
      <c r="K48" s="27" t="str">
        <f t="shared" si="3"/>
        <v>TIDAK TUNTAS</v>
      </c>
      <c r="L48" s="4" t="str">
        <f t="shared" si="4"/>
        <v>TM</v>
      </c>
      <c r="M48" s="1"/>
      <c r="N48" s="2">
        <f t="shared" si="5"/>
        <v>1.4</v>
      </c>
    </row>
    <row r="49" spans="1:14" ht="15.95" customHeight="1" x14ac:dyDescent="0.25">
      <c r="A49" s="13">
        <v>42</v>
      </c>
      <c r="B49" s="9" t="s">
        <v>1210</v>
      </c>
      <c r="C49" s="10" t="s">
        <v>519</v>
      </c>
      <c r="D49" s="11" t="s">
        <v>58</v>
      </c>
      <c r="E49" s="27">
        <v>31</v>
      </c>
      <c r="F49" s="27">
        <v>31</v>
      </c>
      <c r="G49" s="27">
        <v>5</v>
      </c>
      <c r="H49" s="28">
        <f t="shared" si="2"/>
        <v>39</v>
      </c>
      <c r="I49" s="29">
        <f t="shared" si="0"/>
        <v>13</v>
      </c>
      <c r="J49" s="27">
        <f t="shared" si="6"/>
        <v>48</v>
      </c>
      <c r="K49" s="27" t="str">
        <f t="shared" si="3"/>
        <v>TIDAK BACA</v>
      </c>
      <c r="L49" s="4" t="str">
        <f t="shared" si="4"/>
        <v xml:space="preserve"> </v>
      </c>
      <c r="M49" s="1"/>
      <c r="N49" s="2">
        <f t="shared" si="5"/>
        <v>1.3</v>
      </c>
    </row>
    <row r="50" spans="1:14" ht="15.95" customHeight="1" x14ac:dyDescent="0.25">
      <c r="A50" s="13">
        <v>43</v>
      </c>
      <c r="B50" s="9" t="s">
        <v>1212</v>
      </c>
      <c r="C50" s="10" t="s">
        <v>714</v>
      </c>
      <c r="D50" s="11" t="s">
        <v>60</v>
      </c>
      <c r="E50" s="27">
        <v>13</v>
      </c>
      <c r="F50" s="27">
        <v>11</v>
      </c>
      <c r="G50" s="27">
        <v>4</v>
      </c>
      <c r="H50" s="28">
        <f t="shared" si="2"/>
        <v>168</v>
      </c>
      <c r="I50" s="29">
        <f t="shared" si="0"/>
        <v>56</v>
      </c>
      <c r="J50" s="27">
        <f t="shared" si="6"/>
        <v>25</v>
      </c>
      <c r="K50" s="27" t="str">
        <f t="shared" si="3"/>
        <v>TIDAK TUNTAS</v>
      </c>
      <c r="L50" s="4" t="str">
        <f t="shared" si="4"/>
        <v xml:space="preserve"> </v>
      </c>
      <c r="M50" s="1"/>
      <c r="N50" s="2">
        <f t="shared" si="5"/>
        <v>5.6</v>
      </c>
    </row>
    <row r="51" spans="1:14" ht="15.95" customHeight="1" x14ac:dyDescent="0.25">
      <c r="A51" s="13">
        <v>44</v>
      </c>
      <c r="B51" s="9" t="s">
        <v>1214</v>
      </c>
      <c r="C51" s="10" t="s">
        <v>329</v>
      </c>
      <c r="D51" s="11" t="s">
        <v>86</v>
      </c>
      <c r="E51" s="27">
        <v>8</v>
      </c>
      <c r="F51" s="27">
        <v>17</v>
      </c>
      <c r="G51" s="27">
        <v>5</v>
      </c>
      <c r="H51" s="28">
        <f t="shared" si="2"/>
        <v>150</v>
      </c>
      <c r="I51" s="29">
        <f t="shared" si="0"/>
        <v>50</v>
      </c>
      <c r="J51" s="27">
        <f t="shared" si="6"/>
        <v>30</v>
      </c>
      <c r="K51" s="27" t="str">
        <f t="shared" si="3"/>
        <v>TIDAK TUNTAS</v>
      </c>
      <c r="L51" s="4" t="str">
        <f t="shared" si="4"/>
        <v xml:space="preserve"> </v>
      </c>
      <c r="M51" s="1"/>
      <c r="N51" s="2">
        <f t="shared" si="5"/>
        <v>5</v>
      </c>
    </row>
    <row r="52" spans="1:14" ht="15.95" customHeight="1" x14ac:dyDescent="0.25">
      <c r="A52" s="13">
        <v>45</v>
      </c>
      <c r="B52" s="9" t="s">
        <v>1216</v>
      </c>
      <c r="C52" s="10" t="s">
        <v>820</v>
      </c>
      <c r="D52" s="11" t="s">
        <v>63</v>
      </c>
      <c r="E52" s="27">
        <v>32</v>
      </c>
      <c r="F52" s="27">
        <v>32</v>
      </c>
      <c r="G52" s="27">
        <v>5</v>
      </c>
      <c r="H52" s="28">
        <f t="shared" si="2"/>
        <v>33</v>
      </c>
      <c r="I52" s="29">
        <f t="shared" si="0"/>
        <v>11</v>
      </c>
      <c r="J52" s="27">
        <f t="shared" si="6"/>
        <v>50</v>
      </c>
      <c r="K52" s="27" t="str">
        <f t="shared" si="3"/>
        <v>TIDAK HADIR</v>
      </c>
      <c r="L52" s="4" t="s">
        <v>3264</v>
      </c>
      <c r="M52" s="1"/>
      <c r="N52" s="2">
        <f t="shared" si="5"/>
        <v>1.1000000000000001</v>
      </c>
    </row>
    <row r="53" spans="1:14" ht="15.95" customHeight="1" x14ac:dyDescent="0.25">
      <c r="A53" s="13">
        <v>46</v>
      </c>
      <c r="B53" s="9" t="s">
        <v>1218</v>
      </c>
      <c r="C53" s="10" t="s">
        <v>720</v>
      </c>
      <c r="D53" s="11" t="s">
        <v>65</v>
      </c>
      <c r="E53" s="27">
        <v>30</v>
      </c>
      <c r="F53" s="27">
        <v>30</v>
      </c>
      <c r="G53" s="27">
        <v>5</v>
      </c>
      <c r="H53" s="28">
        <f t="shared" si="2"/>
        <v>45</v>
      </c>
      <c r="I53" s="29">
        <f t="shared" si="0"/>
        <v>15</v>
      </c>
      <c r="J53" s="27">
        <f t="shared" si="6"/>
        <v>46</v>
      </c>
      <c r="K53" s="27" t="str">
        <f t="shared" si="3"/>
        <v>TIDAK TUNTAS</v>
      </c>
      <c r="L53" s="4" t="str">
        <f t="shared" si="4"/>
        <v xml:space="preserve"> </v>
      </c>
      <c r="M53" s="1"/>
      <c r="N53" s="2">
        <f t="shared" si="5"/>
        <v>1.5</v>
      </c>
    </row>
    <row r="54" spans="1:14" x14ac:dyDescent="0.25">
      <c r="A54" s="13">
        <v>47</v>
      </c>
      <c r="B54" s="9" t="s">
        <v>1220</v>
      </c>
      <c r="C54" s="10" t="s">
        <v>824</v>
      </c>
      <c r="D54" s="11" t="s">
        <v>66</v>
      </c>
      <c r="E54" s="27">
        <v>15</v>
      </c>
      <c r="F54" s="27">
        <v>15</v>
      </c>
      <c r="G54" s="27">
        <v>5</v>
      </c>
      <c r="H54" s="28">
        <f t="shared" si="2"/>
        <v>135</v>
      </c>
      <c r="I54" s="29">
        <f t="shared" si="0"/>
        <v>45</v>
      </c>
      <c r="J54" s="27">
        <f t="shared" si="6"/>
        <v>36</v>
      </c>
      <c r="K54" s="27" t="str">
        <f t="shared" si="3"/>
        <v>TIDAK TUNTAS</v>
      </c>
      <c r="L54" s="4" t="str">
        <f t="shared" si="4"/>
        <v xml:space="preserve"> </v>
      </c>
      <c r="M54" s="1"/>
      <c r="N54" s="2">
        <f t="shared" si="5"/>
        <v>4.5</v>
      </c>
    </row>
    <row r="55" spans="1:14" x14ac:dyDescent="0.25">
      <c r="A55" s="13">
        <v>48</v>
      </c>
      <c r="B55" s="9" t="s">
        <v>1221</v>
      </c>
      <c r="C55" s="10" t="s">
        <v>726</v>
      </c>
      <c r="D55" s="11" t="s">
        <v>67</v>
      </c>
      <c r="E55" s="27">
        <v>15</v>
      </c>
      <c r="F55" s="27">
        <v>14</v>
      </c>
      <c r="G55" s="27">
        <v>5</v>
      </c>
      <c r="H55" s="28">
        <f t="shared" si="2"/>
        <v>138</v>
      </c>
      <c r="I55" s="29">
        <f t="shared" si="0"/>
        <v>46</v>
      </c>
      <c r="J55" s="27">
        <f t="shared" si="6"/>
        <v>35</v>
      </c>
      <c r="K55" s="27" t="str">
        <f t="shared" si="3"/>
        <v>TIDAK TUNTAS</v>
      </c>
      <c r="L55" s="4" t="str">
        <f t="shared" si="4"/>
        <v xml:space="preserve"> </v>
      </c>
      <c r="M55" s="1"/>
      <c r="N55" s="2">
        <f t="shared" si="5"/>
        <v>4.5999999999999996</v>
      </c>
    </row>
    <row r="56" spans="1:14" x14ac:dyDescent="0.25">
      <c r="A56" s="13">
        <v>49</v>
      </c>
      <c r="B56" s="9" t="s">
        <v>1223</v>
      </c>
      <c r="C56" s="10" t="s">
        <v>233</v>
      </c>
      <c r="D56" s="11" t="s">
        <v>130</v>
      </c>
      <c r="E56" s="27">
        <v>6</v>
      </c>
      <c r="F56" s="27">
        <v>7</v>
      </c>
      <c r="G56" s="27">
        <v>3</v>
      </c>
      <c r="H56" s="28">
        <f t="shared" si="2"/>
        <v>216</v>
      </c>
      <c r="I56" s="29">
        <f t="shared" si="0"/>
        <v>72</v>
      </c>
      <c r="J56" s="27">
        <f t="shared" si="6"/>
        <v>16</v>
      </c>
      <c r="K56" s="27" t="str">
        <f t="shared" si="3"/>
        <v>TUNTAS</v>
      </c>
      <c r="L56" s="4" t="str">
        <f t="shared" si="4"/>
        <v xml:space="preserve"> </v>
      </c>
      <c r="M56" s="1"/>
      <c r="N56" s="2">
        <f t="shared" si="5"/>
        <v>7.2</v>
      </c>
    </row>
    <row r="57" spans="1:14" x14ac:dyDescent="0.25">
      <c r="A57" s="13">
        <v>50</v>
      </c>
      <c r="B57" s="9" t="s">
        <v>1225</v>
      </c>
      <c r="C57" s="10" t="s">
        <v>237</v>
      </c>
      <c r="D57" s="11" t="s">
        <v>121</v>
      </c>
      <c r="E57" s="27">
        <v>6</v>
      </c>
      <c r="F57" s="27">
        <v>5</v>
      </c>
      <c r="G57" s="27">
        <v>3</v>
      </c>
      <c r="H57" s="28">
        <f t="shared" si="2"/>
        <v>222</v>
      </c>
      <c r="I57" s="29">
        <f t="shared" si="0"/>
        <v>74</v>
      </c>
      <c r="J57" s="27">
        <f t="shared" si="6"/>
        <v>14</v>
      </c>
      <c r="K57" s="27" t="str">
        <f t="shared" si="3"/>
        <v>TUNTAS</v>
      </c>
      <c r="L57" s="4" t="str">
        <f t="shared" si="4"/>
        <v xml:space="preserve"> </v>
      </c>
      <c r="M57" s="1"/>
      <c r="N57" s="2">
        <f t="shared" si="5"/>
        <v>7.4</v>
      </c>
    </row>
    <row r="58" spans="1:14" x14ac:dyDescent="0.25">
      <c r="A58" s="13">
        <v>51</v>
      </c>
      <c r="B58" s="9" t="s">
        <v>1227</v>
      </c>
      <c r="C58" s="10" t="s">
        <v>3203</v>
      </c>
      <c r="D58" s="11" t="s">
        <v>99</v>
      </c>
      <c r="E58" s="27">
        <v>5</v>
      </c>
      <c r="F58" s="27">
        <v>1</v>
      </c>
      <c r="G58" s="27">
        <v>4</v>
      </c>
      <c r="H58" s="28">
        <f t="shared" si="2"/>
        <v>222</v>
      </c>
      <c r="I58" s="29">
        <f t="shared" si="0"/>
        <v>74</v>
      </c>
      <c r="J58" s="27">
        <f t="shared" si="6"/>
        <v>14</v>
      </c>
      <c r="K58" s="27" t="str">
        <f t="shared" si="3"/>
        <v>TUNTAS</v>
      </c>
      <c r="L58" s="4" t="str">
        <f t="shared" si="4"/>
        <v xml:space="preserve"> </v>
      </c>
      <c r="M58" s="1"/>
      <c r="N58" s="2">
        <f t="shared" si="5"/>
        <v>7.4</v>
      </c>
    </row>
    <row r="59" spans="1:14" x14ac:dyDescent="0.25">
      <c r="A59" s="13">
        <v>52</v>
      </c>
      <c r="B59" s="9" t="s">
        <v>1228</v>
      </c>
      <c r="C59" s="10" t="s">
        <v>537</v>
      </c>
      <c r="D59" s="11" t="s">
        <v>72</v>
      </c>
      <c r="E59" s="27">
        <v>23</v>
      </c>
      <c r="F59" s="27">
        <v>27</v>
      </c>
      <c r="G59" s="27">
        <v>6</v>
      </c>
      <c r="H59" s="28">
        <f t="shared" si="2"/>
        <v>60</v>
      </c>
      <c r="I59" s="29">
        <f t="shared" ref="I59" si="7">H59/3</f>
        <v>20</v>
      </c>
      <c r="J59" s="27">
        <f t="shared" si="6"/>
        <v>42</v>
      </c>
      <c r="K59" s="27" t="str">
        <f t="shared" si="3"/>
        <v>TIDAK TUNTAS</v>
      </c>
      <c r="L59" s="4" t="str">
        <f t="shared" si="4"/>
        <v>TM</v>
      </c>
      <c r="N59" s="2">
        <f t="shared" si="5"/>
        <v>2</v>
      </c>
    </row>
    <row r="60" spans="1:14" x14ac:dyDescent="0.25">
      <c r="N60" s="2">
        <f t="shared" si="5"/>
        <v>0</v>
      </c>
    </row>
    <row r="61" spans="1:14" x14ac:dyDescent="0.25">
      <c r="N61" s="2">
        <f t="shared" si="5"/>
        <v>0</v>
      </c>
    </row>
    <row r="62" spans="1:14" x14ac:dyDescent="0.25">
      <c r="N62" s="2">
        <f t="shared" si="5"/>
        <v>0</v>
      </c>
    </row>
    <row r="63" spans="1:14" x14ac:dyDescent="0.25">
      <c r="N63" s="2">
        <f t="shared" si="5"/>
        <v>0</v>
      </c>
    </row>
    <row r="64" spans="1:14" x14ac:dyDescent="0.25">
      <c r="N64" s="2">
        <f t="shared" si="5"/>
        <v>0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phoneticPr fontId="13" type="noConversion"/>
  <conditionalFormatting sqref="D8:D10">
    <cfRule type="cellIs" dxfId="80" priority="9" operator="equal">
      <formula>0</formula>
    </cfRule>
  </conditionalFormatting>
  <conditionalFormatting sqref="I8:I59">
    <cfRule type="cellIs" dxfId="79" priority="3" operator="lessThan">
      <formula>60</formula>
    </cfRule>
    <cfRule type="cellIs" dxfId="78" priority="4" operator="lessThan">
      <formula>60</formula>
    </cfRule>
    <cfRule type="cellIs" dxfId="77" priority="5" operator="lessThan">
      <formula>50</formula>
    </cfRule>
  </conditionalFormatting>
  <conditionalFormatting sqref="K8:K59">
    <cfRule type="cellIs" dxfId="76" priority="1" operator="equal">
      <formula>"TIDAK BACA"</formula>
    </cfRule>
    <cfRule type="cellIs" dxfId="75" priority="2" operator="equal">
      <formula>"TIDAK TUNTAS"</formula>
    </cfRule>
    <cfRule type="cellIs" dxfId="74" priority="6" operator="equal">
      <formula>"TUNTAS"</formula>
    </cfRule>
    <cfRule type="cellIs" dxfId="73" priority="7" operator="equal">
      <formula>"TIDAK HADIR"</formula>
    </cfRule>
    <cfRule type="cellIs" dxfId="72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A47AEBE4-C297-473A-A4AA-7F716ECF4F91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B176-8CEB-4284-A025-537E57285C60}">
  <sheetPr>
    <tabColor theme="2" tint="-0.249977111117893"/>
  </sheetPr>
  <dimension ref="A1:N69"/>
  <sheetViews>
    <sheetView zoomScaleNormal="100" workbookViewId="0">
      <pane xSplit="1" ySplit="7" topLeftCell="B53" activePane="bottomRight" state="frozen"/>
      <selection activeCell="P66" sqref="P66"/>
      <selection pane="topRight" activeCell="P66" sqref="P66"/>
      <selection pane="bottomLeft" activeCell="P66" sqref="P66"/>
      <selection pane="bottomRight" activeCell="N69" sqref="N8:N69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s="33" customFormat="1" ht="19.899999999999999" customHeight="1" x14ac:dyDescent="0.25">
      <c r="A4" s="51" t="s">
        <v>3272</v>
      </c>
      <c r="B4" s="51"/>
      <c r="C4" s="51"/>
      <c r="D4" s="51"/>
      <c r="E4" s="51"/>
      <c r="F4" s="51"/>
      <c r="G4" s="51"/>
      <c r="H4" s="51"/>
      <c r="I4" s="51"/>
      <c r="K4" s="33" t="s">
        <v>3273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1230</v>
      </c>
      <c r="C8" s="10" t="s">
        <v>448</v>
      </c>
      <c r="D8" s="11" t="s">
        <v>14</v>
      </c>
      <c r="E8" s="27">
        <v>13</v>
      </c>
      <c r="F8" s="27">
        <v>21</v>
      </c>
      <c r="G8" s="27">
        <v>4</v>
      </c>
      <c r="H8" s="28">
        <f>100-E8*3+100-F8*3+100-G8*15</f>
        <v>138</v>
      </c>
      <c r="I8" s="29">
        <f t="shared" ref="I8:I58" si="0">H8/3</f>
        <v>46</v>
      </c>
      <c r="J8" s="27">
        <f t="shared" ref="J8:J58" si="1">RANK(H8,$H$8:$H$97)</f>
        <v>40</v>
      </c>
      <c r="K8" s="27" t="str">
        <f>IF(I8&lt;11.1,"TIDAK HADIR",IF(I8&lt;13.1,"TIDAK BACA",IF(I8&lt;$K$7,"TIDAK TUNTAS","TUNTAS")))</f>
        <v>TIDAK TUNTAS</v>
      </c>
      <c r="L8" s="4" t="str">
        <f>IF(G8&gt;5,"TM"," ")</f>
        <v xml:space="preserve"> </v>
      </c>
      <c r="M8" s="1"/>
      <c r="N8" s="2">
        <f>I8/10</f>
        <v>4.5999999999999996</v>
      </c>
    </row>
    <row r="9" spans="1:14" ht="15.95" customHeight="1" x14ac:dyDescent="0.25">
      <c r="A9" s="13">
        <v>2</v>
      </c>
      <c r="B9" s="9" t="s">
        <v>1232</v>
      </c>
      <c r="C9" s="10" t="s">
        <v>355</v>
      </c>
      <c r="D9" s="11" t="s">
        <v>16</v>
      </c>
      <c r="E9" s="27">
        <v>19</v>
      </c>
      <c r="F9" s="27">
        <v>14</v>
      </c>
      <c r="G9" s="27">
        <v>4</v>
      </c>
      <c r="H9" s="28">
        <f t="shared" ref="H9:H69" si="2">100-E9*3+100-F9*3+100-G9*15</f>
        <v>141</v>
      </c>
      <c r="I9" s="29">
        <f t="shared" si="0"/>
        <v>47</v>
      </c>
      <c r="J9" s="27">
        <f t="shared" si="1"/>
        <v>39</v>
      </c>
      <c r="K9" s="27" t="str">
        <f t="shared" ref="K9:K69" si="3">IF(I9&lt;11.1,"TIDAK HADIR",IF(I9&lt;13.1,"TIDAK BACA",IF(I9&lt;$K$7,"TIDAK TUNTAS","TUNTAS")))</f>
        <v>TIDAK TUNTAS</v>
      </c>
      <c r="L9" s="4" t="str">
        <f t="shared" ref="L9:L69" si="4">IF(G9&gt;5,"TM"," ")</f>
        <v xml:space="preserve"> </v>
      </c>
      <c r="M9" s="1"/>
      <c r="N9" s="2">
        <f t="shared" ref="N9:N64" si="5">I9/10</f>
        <v>4.7</v>
      </c>
    </row>
    <row r="10" spans="1:14" ht="15.95" customHeight="1" x14ac:dyDescent="0.25">
      <c r="A10" s="13">
        <v>3</v>
      </c>
      <c r="B10" s="9" t="s">
        <v>1233</v>
      </c>
      <c r="C10" s="10" t="s">
        <v>742</v>
      </c>
      <c r="D10" s="11" t="s">
        <v>17</v>
      </c>
      <c r="E10" s="27">
        <v>3</v>
      </c>
      <c r="F10" s="27">
        <v>1</v>
      </c>
      <c r="G10" s="27">
        <v>0</v>
      </c>
      <c r="H10" s="28">
        <f t="shared" si="2"/>
        <v>288</v>
      </c>
      <c r="I10" s="29">
        <f>H10/3</f>
        <v>96</v>
      </c>
      <c r="J10" s="27">
        <f t="shared" si="1"/>
        <v>2</v>
      </c>
      <c r="K10" s="27" t="str">
        <f t="shared" si="3"/>
        <v>TUNTAS</v>
      </c>
      <c r="L10" s="4" t="str">
        <f t="shared" si="4"/>
        <v xml:space="preserve"> </v>
      </c>
      <c r="M10" s="1"/>
      <c r="N10" s="2">
        <f t="shared" si="5"/>
        <v>9.6</v>
      </c>
    </row>
    <row r="11" spans="1:14" ht="15.95" customHeight="1" x14ac:dyDescent="0.25">
      <c r="A11" s="13">
        <v>4</v>
      </c>
      <c r="B11" s="9" t="s">
        <v>1234</v>
      </c>
      <c r="C11" s="10" t="s">
        <v>357</v>
      </c>
      <c r="D11" s="11" t="s">
        <v>18</v>
      </c>
      <c r="E11" s="27">
        <v>20</v>
      </c>
      <c r="F11" s="27">
        <v>20</v>
      </c>
      <c r="G11" s="27">
        <v>5</v>
      </c>
      <c r="H11" s="28">
        <f t="shared" si="2"/>
        <v>105</v>
      </c>
      <c r="I11" s="29">
        <f t="shared" si="0"/>
        <v>35</v>
      </c>
      <c r="J11" s="27">
        <f t="shared" si="1"/>
        <v>47</v>
      </c>
      <c r="K11" s="27" t="str">
        <f t="shared" si="3"/>
        <v>TIDAK TUNTAS</v>
      </c>
      <c r="L11" s="4" t="str">
        <f t="shared" si="4"/>
        <v xml:space="preserve"> </v>
      </c>
      <c r="M11" s="1"/>
      <c r="N11" s="2">
        <f t="shared" si="5"/>
        <v>3.5</v>
      </c>
    </row>
    <row r="12" spans="1:14" ht="15.95" customHeight="1" x14ac:dyDescent="0.25">
      <c r="A12" s="13">
        <v>5</v>
      </c>
      <c r="B12" s="9" t="s">
        <v>1236</v>
      </c>
      <c r="C12" s="10" t="s">
        <v>359</v>
      </c>
      <c r="D12" s="11" t="s">
        <v>19</v>
      </c>
      <c r="E12" s="27">
        <v>3</v>
      </c>
      <c r="F12" s="27">
        <v>2</v>
      </c>
      <c r="G12" s="27">
        <v>1</v>
      </c>
      <c r="H12" s="28">
        <f t="shared" si="2"/>
        <v>270</v>
      </c>
      <c r="I12" s="29">
        <f t="shared" si="0"/>
        <v>90</v>
      </c>
      <c r="J12" s="27">
        <f t="shared" si="1"/>
        <v>4</v>
      </c>
      <c r="K12" s="27" t="str">
        <f t="shared" si="3"/>
        <v>TUNTAS</v>
      </c>
      <c r="L12" s="4" t="str">
        <f t="shared" si="4"/>
        <v xml:space="preserve"> </v>
      </c>
      <c r="M12" s="1"/>
      <c r="N12" s="2">
        <f t="shared" si="5"/>
        <v>9</v>
      </c>
    </row>
    <row r="13" spans="1:14" ht="15.95" customHeight="1" x14ac:dyDescent="0.25">
      <c r="A13" s="13">
        <v>6</v>
      </c>
      <c r="B13" s="9" t="s">
        <v>1238</v>
      </c>
      <c r="C13" s="10" t="s">
        <v>3204</v>
      </c>
      <c r="D13" s="11" t="s">
        <v>20</v>
      </c>
      <c r="E13" s="27">
        <v>12</v>
      </c>
      <c r="F13" s="27">
        <v>13</v>
      </c>
      <c r="G13" s="27">
        <v>6</v>
      </c>
      <c r="H13" s="28">
        <f t="shared" si="2"/>
        <v>135</v>
      </c>
      <c r="I13" s="29">
        <f t="shared" si="0"/>
        <v>45</v>
      </c>
      <c r="J13" s="27">
        <f t="shared" si="1"/>
        <v>41</v>
      </c>
      <c r="K13" s="27" t="str">
        <f t="shared" si="3"/>
        <v>TIDAK TUNTAS</v>
      </c>
      <c r="L13" s="4" t="str">
        <f t="shared" si="4"/>
        <v>TM</v>
      </c>
      <c r="M13" s="1"/>
      <c r="N13" s="2">
        <f t="shared" si="5"/>
        <v>4.5</v>
      </c>
    </row>
    <row r="14" spans="1:14" ht="15.95" customHeight="1" x14ac:dyDescent="0.25">
      <c r="A14" s="13">
        <v>7</v>
      </c>
      <c r="B14" s="9" t="s">
        <v>1240</v>
      </c>
      <c r="C14" s="10" t="s">
        <v>936</v>
      </c>
      <c r="D14" s="11" t="s">
        <v>90</v>
      </c>
      <c r="E14" s="27">
        <v>32</v>
      </c>
      <c r="F14" s="27">
        <v>32</v>
      </c>
      <c r="G14" s="27">
        <v>5</v>
      </c>
      <c r="H14" s="28">
        <f t="shared" si="2"/>
        <v>33</v>
      </c>
      <c r="I14" s="29">
        <f t="shared" si="0"/>
        <v>11</v>
      </c>
      <c r="J14" s="27">
        <f t="shared" si="1"/>
        <v>56</v>
      </c>
      <c r="K14" s="27" t="str">
        <f t="shared" si="3"/>
        <v>TIDAK HADIR</v>
      </c>
      <c r="L14" s="4" t="s">
        <v>3264</v>
      </c>
      <c r="M14" s="1"/>
      <c r="N14" s="2">
        <f t="shared" si="5"/>
        <v>1.1000000000000001</v>
      </c>
    </row>
    <row r="15" spans="1:14" ht="15.95" customHeight="1" x14ac:dyDescent="0.25">
      <c r="A15" s="13">
        <v>8</v>
      </c>
      <c r="B15" s="9" t="s">
        <v>1241</v>
      </c>
      <c r="C15" s="17" t="s">
        <v>363</v>
      </c>
      <c r="D15" s="18" t="s">
        <v>22</v>
      </c>
      <c r="E15" s="27">
        <v>32</v>
      </c>
      <c r="F15" s="27">
        <v>32</v>
      </c>
      <c r="G15" s="27">
        <v>5</v>
      </c>
      <c r="H15" s="28">
        <f t="shared" si="2"/>
        <v>33</v>
      </c>
      <c r="I15" s="29">
        <f t="shared" si="0"/>
        <v>11</v>
      </c>
      <c r="J15" s="27">
        <f t="shared" si="1"/>
        <v>56</v>
      </c>
      <c r="K15" s="27" t="str">
        <f t="shared" si="3"/>
        <v>TIDAK HADIR</v>
      </c>
      <c r="L15" s="4" t="s">
        <v>3264</v>
      </c>
      <c r="M15" s="1"/>
      <c r="N15" s="2">
        <f t="shared" si="5"/>
        <v>1.1000000000000001</v>
      </c>
    </row>
    <row r="16" spans="1:14" ht="15.95" customHeight="1" x14ac:dyDescent="0.25">
      <c r="A16" s="13">
        <v>9</v>
      </c>
      <c r="B16" s="9" t="s">
        <v>1243</v>
      </c>
      <c r="C16" s="10" t="s">
        <v>550</v>
      </c>
      <c r="D16" s="11" t="s">
        <v>23</v>
      </c>
      <c r="E16" s="27">
        <v>20</v>
      </c>
      <c r="F16" s="27">
        <v>16</v>
      </c>
      <c r="G16" s="27">
        <v>5</v>
      </c>
      <c r="H16" s="28">
        <f t="shared" si="2"/>
        <v>117</v>
      </c>
      <c r="I16" s="29">
        <f t="shared" si="0"/>
        <v>39</v>
      </c>
      <c r="J16" s="27">
        <f t="shared" si="1"/>
        <v>46</v>
      </c>
      <c r="K16" s="27" t="str">
        <f t="shared" si="3"/>
        <v>TIDAK TUNTAS</v>
      </c>
      <c r="L16" s="4" t="str">
        <f t="shared" si="4"/>
        <v xml:space="preserve"> </v>
      </c>
      <c r="M16" s="1"/>
      <c r="N16" s="2">
        <f t="shared" si="5"/>
        <v>3.9</v>
      </c>
    </row>
    <row r="17" spans="1:14" ht="15.95" customHeight="1" x14ac:dyDescent="0.25">
      <c r="A17" s="13">
        <v>10</v>
      </c>
      <c r="B17" s="9" t="s">
        <v>1244</v>
      </c>
      <c r="C17" s="10" t="s">
        <v>3205</v>
      </c>
      <c r="D17" s="11" t="s">
        <v>24</v>
      </c>
      <c r="E17" s="27">
        <v>16</v>
      </c>
      <c r="F17" s="27">
        <v>10</v>
      </c>
      <c r="G17" s="27">
        <v>5</v>
      </c>
      <c r="H17" s="28">
        <f t="shared" si="2"/>
        <v>147</v>
      </c>
      <c r="I17" s="29">
        <f t="shared" si="0"/>
        <v>49</v>
      </c>
      <c r="J17" s="27">
        <f t="shared" si="1"/>
        <v>37</v>
      </c>
      <c r="K17" s="27" t="str">
        <f t="shared" si="3"/>
        <v>TIDAK TUNTAS</v>
      </c>
      <c r="L17" s="4" t="str">
        <f t="shared" si="4"/>
        <v xml:space="preserve"> </v>
      </c>
      <c r="M17" s="1"/>
      <c r="N17" s="2">
        <f t="shared" si="5"/>
        <v>4.9000000000000004</v>
      </c>
    </row>
    <row r="18" spans="1:14" ht="15.95" customHeight="1" x14ac:dyDescent="0.25">
      <c r="A18" s="13">
        <v>11</v>
      </c>
      <c r="B18" s="9" t="s">
        <v>1246</v>
      </c>
      <c r="C18" s="17" t="s">
        <v>552</v>
      </c>
      <c r="D18" s="18" t="s">
        <v>124</v>
      </c>
      <c r="E18" s="27">
        <v>9</v>
      </c>
      <c r="F18" s="27">
        <v>3</v>
      </c>
      <c r="G18" s="27">
        <v>2</v>
      </c>
      <c r="H18" s="28">
        <f t="shared" si="2"/>
        <v>234</v>
      </c>
      <c r="I18" s="29">
        <f t="shared" si="0"/>
        <v>78</v>
      </c>
      <c r="J18" s="27">
        <f t="shared" si="1"/>
        <v>14</v>
      </c>
      <c r="K18" s="27" t="str">
        <f t="shared" si="3"/>
        <v>TUNTAS</v>
      </c>
      <c r="L18" s="4" t="str">
        <f t="shared" si="4"/>
        <v xml:space="preserve"> </v>
      </c>
      <c r="M18" s="1"/>
      <c r="N18" s="2">
        <f t="shared" si="5"/>
        <v>7.8</v>
      </c>
    </row>
    <row r="19" spans="1:14" ht="15.95" customHeight="1" x14ac:dyDescent="0.25">
      <c r="A19" s="13">
        <v>12</v>
      </c>
      <c r="B19" s="9" t="s">
        <v>1248</v>
      </c>
      <c r="C19" s="17" t="s">
        <v>3206</v>
      </c>
      <c r="D19" s="18" t="s">
        <v>25</v>
      </c>
      <c r="E19" s="27">
        <v>15</v>
      </c>
      <c r="F19" s="27">
        <v>15</v>
      </c>
      <c r="G19" s="27">
        <v>2</v>
      </c>
      <c r="H19" s="28">
        <f t="shared" si="2"/>
        <v>180</v>
      </c>
      <c r="I19" s="29">
        <f t="shared" si="0"/>
        <v>60</v>
      </c>
      <c r="J19" s="27">
        <f t="shared" si="1"/>
        <v>32</v>
      </c>
      <c r="K19" s="27" t="str">
        <f t="shared" si="3"/>
        <v>TUNTAS</v>
      </c>
      <c r="L19" s="4" t="str">
        <f t="shared" si="4"/>
        <v xml:space="preserve"> </v>
      </c>
      <c r="M19" s="1"/>
      <c r="N19" s="2">
        <f t="shared" si="5"/>
        <v>6</v>
      </c>
    </row>
    <row r="20" spans="1:14" ht="15.95" customHeight="1" x14ac:dyDescent="0.25">
      <c r="A20" s="13">
        <v>13</v>
      </c>
      <c r="B20" s="9" t="s">
        <v>1249</v>
      </c>
      <c r="C20" s="10" t="s">
        <v>757</v>
      </c>
      <c r="D20" s="11" t="s">
        <v>101</v>
      </c>
      <c r="E20" s="27">
        <v>30</v>
      </c>
      <c r="F20" s="27">
        <v>28</v>
      </c>
      <c r="G20" s="27">
        <v>5</v>
      </c>
      <c r="H20" s="28">
        <f t="shared" si="2"/>
        <v>51</v>
      </c>
      <c r="I20" s="29">
        <f t="shared" si="0"/>
        <v>17</v>
      </c>
      <c r="J20" s="27">
        <f t="shared" si="1"/>
        <v>53</v>
      </c>
      <c r="K20" s="27" t="str">
        <f t="shared" si="3"/>
        <v>TIDAK TUNTAS</v>
      </c>
      <c r="L20" s="4" t="s">
        <v>3274</v>
      </c>
      <c r="M20" s="1"/>
      <c r="N20" s="2">
        <f t="shared" si="5"/>
        <v>1.7</v>
      </c>
    </row>
    <row r="21" spans="1:14" ht="15.95" customHeight="1" x14ac:dyDescent="0.25">
      <c r="A21" s="13">
        <v>14</v>
      </c>
      <c r="B21" s="9" t="s">
        <v>1251</v>
      </c>
      <c r="C21" s="10" t="s">
        <v>558</v>
      </c>
      <c r="D21" s="11" t="s">
        <v>75</v>
      </c>
      <c r="E21" s="27">
        <v>10</v>
      </c>
      <c r="F21" s="27">
        <v>11</v>
      </c>
      <c r="G21" s="27">
        <v>5</v>
      </c>
      <c r="H21" s="28">
        <f t="shared" si="2"/>
        <v>162</v>
      </c>
      <c r="I21" s="29">
        <f t="shared" si="0"/>
        <v>54</v>
      </c>
      <c r="J21" s="27">
        <f t="shared" si="1"/>
        <v>34</v>
      </c>
      <c r="K21" s="27" t="str">
        <f t="shared" si="3"/>
        <v>TIDAK TUNTAS</v>
      </c>
      <c r="L21" s="4" t="str">
        <f t="shared" si="4"/>
        <v xml:space="preserve"> </v>
      </c>
      <c r="M21" s="1"/>
      <c r="N21" s="2">
        <f t="shared" si="5"/>
        <v>5.4</v>
      </c>
    </row>
    <row r="22" spans="1:14" ht="15.95" customHeight="1" x14ac:dyDescent="0.25">
      <c r="A22" s="13">
        <v>15</v>
      </c>
      <c r="B22" s="9" t="s">
        <v>1253</v>
      </c>
      <c r="C22" s="10" t="s">
        <v>137</v>
      </c>
      <c r="D22" s="11" t="s">
        <v>29</v>
      </c>
      <c r="E22" s="27">
        <v>2</v>
      </c>
      <c r="F22" s="27">
        <v>3</v>
      </c>
      <c r="G22" s="27">
        <v>2</v>
      </c>
      <c r="H22" s="28">
        <f t="shared" si="2"/>
        <v>255</v>
      </c>
      <c r="I22" s="29">
        <f t="shared" si="0"/>
        <v>85</v>
      </c>
      <c r="J22" s="27">
        <f t="shared" si="1"/>
        <v>7</v>
      </c>
      <c r="K22" s="27" t="str">
        <f t="shared" si="3"/>
        <v>TUNTAS</v>
      </c>
      <c r="L22" s="4" t="str">
        <f t="shared" si="4"/>
        <v xml:space="preserve"> </v>
      </c>
      <c r="M22" s="1"/>
      <c r="N22" s="2">
        <f t="shared" si="5"/>
        <v>8.5</v>
      </c>
    </row>
    <row r="23" spans="1:14" ht="15.95" customHeight="1" x14ac:dyDescent="0.25">
      <c r="A23" s="13">
        <v>16</v>
      </c>
      <c r="B23" s="9" t="s">
        <v>1255</v>
      </c>
      <c r="C23" s="10" t="s">
        <v>471</v>
      </c>
      <c r="D23" s="11" t="s">
        <v>77</v>
      </c>
      <c r="E23" s="27">
        <v>1</v>
      </c>
      <c r="F23" s="27">
        <v>1</v>
      </c>
      <c r="G23" s="27">
        <v>1</v>
      </c>
      <c r="H23" s="28">
        <f t="shared" si="2"/>
        <v>279</v>
      </c>
      <c r="I23" s="29">
        <f t="shared" si="0"/>
        <v>93</v>
      </c>
      <c r="J23" s="27">
        <f t="shared" si="1"/>
        <v>3</v>
      </c>
      <c r="K23" s="27" t="str">
        <f t="shared" si="3"/>
        <v>TUNTAS</v>
      </c>
      <c r="L23" s="4" t="str">
        <f t="shared" si="4"/>
        <v xml:space="preserve"> </v>
      </c>
      <c r="M23" s="1"/>
      <c r="N23" s="2">
        <f t="shared" si="5"/>
        <v>9.3000000000000007</v>
      </c>
    </row>
    <row r="24" spans="1:14" ht="15.95" customHeight="1" x14ac:dyDescent="0.25">
      <c r="A24" s="13">
        <v>17</v>
      </c>
      <c r="B24" s="9" t="s">
        <v>1257</v>
      </c>
      <c r="C24" s="10" t="s">
        <v>1128</v>
      </c>
      <c r="D24" s="11" t="s">
        <v>78</v>
      </c>
      <c r="E24" s="27">
        <v>6</v>
      </c>
      <c r="F24" s="27">
        <v>15</v>
      </c>
      <c r="G24" s="27">
        <v>6</v>
      </c>
      <c r="H24" s="28">
        <f t="shared" si="2"/>
        <v>147</v>
      </c>
      <c r="I24" s="29">
        <f t="shared" si="0"/>
        <v>49</v>
      </c>
      <c r="J24" s="27">
        <f t="shared" si="1"/>
        <v>37</v>
      </c>
      <c r="K24" s="27" t="str">
        <f t="shared" si="3"/>
        <v>TIDAK TUNTAS</v>
      </c>
      <c r="L24" s="4" t="str">
        <f t="shared" si="4"/>
        <v>TM</v>
      </c>
      <c r="M24" s="1"/>
      <c r="N24" s="2">
        <f t="shared" si="5"/>
        <v>4.9000000000000004</v>
      </c>
    </row>
    <row r="25" spans="1:14" ht="15.95" customHeight="1" x14ac:dyDescent="0.25">
      <c r="A25" s="30">
        <v>18</v>
      </c>
      <c r="B25" s="9" t="s">
        <v>1259</v>
      </c>
      <c r="C25" s="10" t="s">
        <v>763</v>
      </c>
      <c r="D25" s="11" t="s">
        <v>92</v>
      </c>
      <c r="E25" s="27">
        <v>6</v>
      </c>
      <c r="F25" s="27">
        <v>10</v>
      </c>
      <c r="G25" s="27">
        <v>4</v>
      </c>
      <c r="H25" s="28">
        <f t="shared" si="2"/>
        <v>192</v>
      </c>
      <c r="I25" s="29">
        <f t="shared" si="0"/>
        <v>64</v>
      </c>
      <c r="J25" s="27">
        <f t="shared" si="1"/>
        <v>26</v>
      </c>
      <c r="K25" s="27" t="str">
        <f t="shared" si="3"/>
        <v>TUNTAS</v>
      </c>
      <c r="L25" s="4" t="str">
        <f t="shared" si="4"/>
        <v xml:space="preserve"> </v>
      </c>
      <c r="M25" s="1"/>
      <c r="N25" s="2">
        <f t="shared" si="5"/>
        <v>6.4</v>
      </c>
    </row>
    <row r="26" spans="1:14" ht="15.95" customHeight="1" x14ac:dyDescent="0.25">
      <c r="A26" s="13">
        <v>19</v>
      </c>
      <c r="B26" s="9" t="s">
        <v>1260</v>
      </c>
      <c r="C26" s="10" t="s">
        <v>477</v>
      </c>
      <c r="D26" s="11" t="s">
        <v>33</v>
      </c>
      <c r="E26" s="27">
        <v>1</v>
      </c>
      <c r="F26" s="27">
        <v>0</v>
      </c>
      <c r="G26" s="27">
        <v>0</v>
      </c>
      <c r="H26" s="28">
        <f t="shared" si="2"/>
        <v>297</v>
      </c>
      <c r="I26" s="29">
        <f t="shared" si="0"/>
        <v>99</v>
      </c>
      <c r="J26" s="27">
        <f t="shared" si="1"/>
        <v>1</v>
      </c>
      <c r="K26" s="27" t="str">
        <f t="shared" si="3"/>
        <v>TUNTAS</v>
      </c>
      <c r="L26" s="4" t="str">
        <f t="shared" si="4"/>
        <v xml:space="preserve"> </v>
      </c>
      <c r="M26" s="1"/>
      <c r="N26" s="2">
        <f t="shared" si="5"/>
        <v>9.9</v>
      </c>
    </row>
    <row r="27" spans="1:14" ht="15.95" customHeight="1" x14ac:dyDescent="0.25">
      <c r="A27" s="13">
        <v>20</v>
      </c>
      <c r="B27" s="9" t="s">
        <v>1262</v>
      </c>
      <c r="C27" s="10" t="s">
        <v>475</v>
      </c>
      <c r="D27" s="11" t="s">
        <v>33</v>
      </c>
      <c r="E27" s="27">
        <v>25</v>
      </c>
      <c r="F27" s="27">
        <v>25</v>
      </c>
      <c r="G27" s="27">
        <v>5</v>
      </c>
      <c r="H27" s="28">
        <f t="shared" si="2"/>
        <v>75</v>
      </c>
      <c r="I27" s="29">
        <f t="shared" si="0"/>
        <v>25</v>
      </c>
      <c r="J27" s="27">
        <f t="shared" si="1"/>
        <v>50</v>
      </c>
      <c r="K27" s="27" t="str">
        <f t="shared" si="3"/>
        <v>TIDAK TUNTAS</v>
      </c>
      <c r="L27" s="4" t="str">
        <f t="shared" si="4"/>
        <v xml:space="preserve"> </v>
      </c>
      <c r="M27" s="1"/>
      <c r="N27" s="2">
        <f t="shared" si="5"/>
        <v>2.5</v>
      </c>
    </row>
    <row r="28" spans="1:14" ht="15.95" customHeight="1" x14ac:dyDescent="0.25">
      <c r="A28" s="13">
        <v>21</v>
      </c>
      <c r="B28" s="9" t="s">
        <v>1264</v>
      </c>
      <c r="C28" s="10" t="s">
        <v>675</v>
      </c>
      <c r="D28" s="11" t="s">
        <v>569</v>
      </c>
      <c r="E28" s="27">
        <v>12</v>
      </c>
      <c r="F28" s="27">
        <v>10</v>
      </c>
      <c r="G28" s="27">
        <v>3</v>
      </c>
      <c r="H28" s="28">
        <f t="shared" si="2"/>
        <v>189</v>
      </c>
      <c r="I28" s="29">
        <f t="shared" si="0"/>
        <v>63</v>
      </c>
      <c r="J28" s="27">
        <f t="shared" si="1"/>
        <v>27</v>
      </c>
      <c r="K28" s="27" t="str">
        <f t="shared" si="3"/>
        <v>TUNTAS</v>
      </c>
      <c r="L28" s="4" t="str">
        <f t="shared" si="4"/>
        <v xml:space="preserve"> </v>
      </c>
      <c r="M28" s="1"/>
      <c r="N28" s="2">
        <f t="shared" si="5"/>
        <v>6.3</v>
      </c>
    </row>
    <row r="29" spans="1:14" ht="15.95" customHeight="1" x14ac:dyDescent="0.25">
      <c r="A29" s="13">
        <v>22</v>
      </c>
      <c r="B29" s="9" t="s">
        <v>1265</v>
      </c>
      <c r="C29" s="10" t="s">
        <v>177</v>
      </c>
      <c r="D29" s="11" t="s">
        <v>103</v>
      </c>
      <c r="E29" s="27">
        <v>12</v>
      </c>
      <c r="F29" s="27">
        <v>12</v>
      </c>
      <c r="G29" s="27">
        <v>3</v>
      </c>
      <c r="H29" s="28">
        <f t="shared" si="2"/>
        <v>183</v>
      </c>
      <c r="I29" s="29">
        <f t="shared" si="0"/>
        <v>61</v>
      </c>
      <c r="J29" s="27">
        <f t="shared" si="1"/>
        <v>29</v>
      </c>
      <c r="K29" s="27" t="str">
        <f t="shared" si="3"/>
        <v>TUNTAS</v>
      </c>
      <c r="L29" s="4" t="str">
        <f t="shared" si="4"/>
        <v xml:space="preserve"> </v>
      </c>
      <c r="M29" s="1"/>
      <c r="N29" s="2">
        <f t="shared" si="5"/>
        <v>6.1</v>
      </c>
    </row>
    <row r="30" spans="1:14" ht="15.95" customHeight="1" x14ac:dyDescent="0.25">
      <c r="A30" s="13">
        <v>23</v>
      </c>
      <c r="B30" s="9" t="s">
        <v>1267</v>
      </c>
      <c r="C30" s="10" t="s">
        <v>677</v>
      </c>
      <c r="D30" s="11" t="s">
        <v>93</v>
      </c>
      <c r="E30" s="27">
        <v>8</v>
      </c>
      <c r="F30" s="27">
        <v>9</v>
      </c>
      <c r="G30" s="27">
        <v>2</v>
      </c>
      <c r="H30" s="28">
        <f t="shared" si="2"/>
        <v>219</v>
      </c>
      <c r="I30" s="29">
        <f t="shared" si="0"/>
        <v>73</v>
      </c>
      <c r="J30" s="27">
        <f t="shared" si="1"/>
        <v>18</v>
      </c>
      <c r="K30" s="27" t="str">
        <f t="shared" si="3"/>
        <v>TUNTAS</v>
      </c>
      <c r="L30" s="4" t="str">
        <f t="shared" si="4"/>
        <v xml:space="preserve"> </v>
      </c>
      <c r="M30" s="1"/>
      <c r="N30" s="2">
        <f t="shared" si="5"/>
        <v>7.3</v>
      </c>
    </row>
    <row r="31" spans="1:14" ht="15.95" customHeight="1" x14ac:dyDescent="0.25">
      <c r="A31" s="13">
        <v>24</v>
      </c>
      <c r="B31" s="9" t="s">
        <v>1268</v>
      </c>
      <c r="C31" s="10" t="s">
        <v>777</v>
      </c>
      <c r="D31" s="11" t="s">
        <v>37</v>
      </c>
      <c r="E31" s="27">
        <v>15</v>
      </c>
      <c r="F31" s="27">
        <v>23</v>
      </c>
      <c r="G31" s="27">
        <v>4</v>
      </c>
      <c r="H31" s="28">
        <f t="shared" si="2"/>
        <v>126</v>
      </c>
      <c r="I31" s="29">
        <f t="shared" si="0"/>
        <v>42</v>
      </c>
      <c r="J31" s="27">
        <f t="shared" si="1"/>
        <v>43</v>
      </c>
      <c r="K31" s="27" t="str">
        <f t="shared" si="3"/>
        <v>TIDAK TUNTAS</v>
      </c>
      <c r="L31" s="4" t="str">
        <f t="shared" si="4"/>
        <v xml:space="preserve"> </v>
      </c>
      <c r="M31" s="1"/>
      <c r="N31" s="2">
        <f t="shared" si="5"/>
        <v>4.2</v>
      </c>
    </row>
    <row r="32" spans="1:14" ht="15.95" customHeight="1" x14ac:dyDescent="0.25">
      <c r="A32" s="13">
        <v>25</v>
      </c>
      <c r="B32" s="9" t="s">
        <v>1270</v>
      </c>
      <c r="C32" s="10" t="s">
        <v>185</v>
      </c>
      <c r="D32" s="11" t="s">
        <v>39</v>
      </c>
      <c r="E32" s="27">
        <v>3</v>
      </c>
      <c r="F32" s="27">
        <v>7</v>
      </c>
      <c r="G32" s="27">
        <v>1</v>
      </c>
      <c r="H32" s="28">
        <f t="shared" si="2"/>
        <v>255</v>
      </c>
      <c r="I32" s="29">
        <f t="shared" si="0"/>
        <v>85</v>
      </c>
      <c r="J32" s="27">
        <f t="shared" si="1"/>
        <v>7</v>
      </c>
      <c r="K32" s="27" t="str">
        <f t="shared" si="3"/>
        <v>TUNTAS</v>
      </c>
      <c r="L32" s="4" t="str">
        <f t="shared" si="4"/>
        <v xml:space="preserve"> </v>
      </c>
      <c r="M32" s="1"/>
      <c r="N32" s="2">
        <f t="shared" si="5"/>
        <v>8.5</v>
      </c>
    </row>
    <row r="33" spans="1:14" ht="15.95" customHeight="1" x14ac:dyDescent="0.25">
      <c r="A33" s="13">
        <v>26</v>
      </c>
      <c r="B33" s="9" t="s">
        <v>1272</v>
      </c>
      <c r="C33" s="10" t="s">
        <v>137</v>
      </c>
      <c r="D33" s="11" t="s">
        <v>127</v>
      </c>
      <c r="E33" s="27">
        <v>27</v>
      </c>
      <c r="F33" s="27">
        <v>27</v>
      </c>
      <c r="G33" s="27">
        <v>6</v>
      </c>
      <c r="H33" s="28">
        <f t="shared" si="2"/>
        <v>48</v>
      </c>
      <c r="I33" s="29">
        <f t="shared" si="0"/>
        <v>16</v>
      </c>
      <c r="J33" s="27">
        <f t="shared" si="1"/>
        <v>54</v>
      </c>
      <c r="K33" s="27" t="str">
        <f t="shared" si="3"/>
        <v>TIDAK TUNTAS</v>
      </c>
      <c r="L33" s="4" t="str">
        <f t="shared" si="4"/>
        <v>TM</v>
      </c>
      <c r="M33" s="1"/>
      <c r="N33" s="2">
        <f t="shared" si="5"/>
        <v>1.6</v>
      </c>
    </row>
    <row r="34" spans="1:14" ht="15.95" customHeight="1" x14ac:dyDescent="0.25">
      <c r="A34" s="13">
        <v>27</v>
      </c>
      <c r="B34" s="9" t="s">
        <v>1274</v>
      </c>
      <c r="C34" s="10" t="s">
        <v>3207</v>
      </c>
      <c r="D34" s="11" t="s">
        <v>41</v>
      </c>
      <c r="E34" s="27">
        <v>14</v>
      </c>
      <c r="F34" s="27">
        <v>10</v>
      </c>
      <c r="G34" s="27">
        <v>3</v>
      </c>
      <c r="H34" s="28">
        <f t="shared" si="2"/>
        <v>183</v>
      </c>
      <c r="I34" s="29">
        <f t="shared" si="0"/>
        <v>61</v>
      </c>
      <c r="J34" s="27">
        <f t="shared" si="1"/>
        <v>29</v>
      </c>
      <c r="K34" s="27" t="str">
        <f t="shared" si="3"/>
        <v>TUNTAS</v>
      </c>
      <c r="L34" s="4" t="str">
        <f t="shared" si="4"/>
        <v xml:space="preserve"> </v>
      </c>
      <c r="M34" s="1"/>
      <c r="N34" s="2">
        <f t="shared" si="5"/>
        <v>6.1</v>
      </c>
    </row>
    <row r="35" spans="1:14" ht="15.95" customHeight="1" x14ac:dyDescent="0.25">
      <c r="A35" s="13">
        <v>28</v>
      </c>
      <c r="B35" s="9" t="s">
        <v>1276</v>
      </c>
      <c r="C35" s="10" t="s">
        <v>588</v>
      </c>
      <c r="D35" s="11" t="s">
        <v>106</v>
      </c>
      <c r="E35" s="27">
        <v>7</v>
      </c>
      <c r="F35" s="27">
        <v>12</v>
      </c>
      <c r="G35" s="27">
        <v>1</v>
      </c>
      <c r="H35" s="28">
        <f t="shared" si="2"/>
        <v>228</v>
      </c>
      <c r="I35" s="29">
        <f t="shared" si="0"/>
        <v>76</v>
      </c>
      <c r="J35" s="27">
        <f t="shared" si="1"/>
        <v>16</v>
      </c>
      <c r="K35" s="27" t="str">
        <f t="shared" si="3"/>
        <v>TUNTAS</v>
      </c>
      <c r="L35" s="4" t="str">
        <f t="shared" si="4"/>
        <v xml:space="preserve"> </v>
      </c>
      <c r="M35" s="1"/>
      <c r="N35" s="2">
        <f t="shared" si="5"/>
        <v>7.6</v>
      </c>
    </row>
    <row r="36" spans="1:14" ht="15.95" customHeight="1" x14ac:dyDescent="0.25">
      <c r="A36" s="13">
        <v>29</v>
      </c>
      <c r="B36" s="9" t="s">
        <v>1277</v>
      </c>
      <c r="C36" s="10" t="s">
        <v>189</v>
      </c>
      <c r="D36" s="11" t="s">
        <v>42</v>
      </c>
      <c r="E36" s="27">
        <v>7</v>
      </c>
      <c r="F36" s="27">
        <v>6</v>
      </c>
      <c r="G36" s="27">
        <v>3</v>
      </c>
      <c r="H36" s="28">
        <f t="shared" si="2"/>
        <v>216</v>
      </c>
      <c r="I36" s="29">
        <f t="shared" si="0"/>
        <v>72</v>
      </c>
      <c r="J36" s="27">
        <f t="shared" si="1"/>
        <v>20</v>
      </c>
      <c r="K36" s="27" t="str">
        <f t="shared" si="3"/>
        <v>TUNTAS</v>
      </c>
      <c r="L36" s="4" t="str">
        <f t="shared" si="4"/>
        <v xml:space="preserve"> </v>
      </c>
      <c r="M36" s="1"/>
      <c r="N36" s="2">
        <f t="shared" si="5"/>
        <v>7.2</v>
      </c>
    </row>
    <row r="37" spans="1:14" ht="15.95" customHeight="1" x14ac:dyDescent="0.25">
      <c r="A37" s="13">
        <v>30</v>
      </c>
      <c r="B37" s="9" t="s">
        <v>1279</v>
      </c>
      <c r="C37" s="10" t="s">
        <v>148</v>
      </c>
      <c r="D37" s="11" t="s">
        <v>43</v>
      </c>
      <c r="E37" s="27">
        <v>0</v>
      </c>
      <c r="F37" s="27">
        <v>5</v>
      </c>
      <c r="G37" s="27">
        <v>1</v>
      </c>
      <c r="H37" s="28">
        <f t="shared" si="2"/>
        <v>270</v>
      </c>
      <c r="I37" s="29">
        <f t="shared" si="0"/>
        <v>90</v>
      </c>
      <c r="J37" s="27">
        <f t="shared" si="1"/>
        <v>4</v>
      </c>
      <c r="K37" s="27" t="str">
        <f t="shared" si="3"/>
        <v>TUNTAS</v>
      </c>
      <c r="L37" s="4" t="str">
        <f t="shared" si="4"/>
        <v xml:space="preserve"> </v>
      </c>
      <c r="M37" s="1"/>
      <c r="N37" s="2">
        <f t="shared" si="5"/>
        <v>9</v>
      </c>
    </row>
    <row r="38" spans="1:14" ht="15.95" customHeight="1" x14ac:dyDescent="0.25">
      <c r="A38" s="13">
        <v>31</v>
      </c>
      <c r="B38" s="9" t="s">
        <v>1280</v>
      </c>
      <c r="C38" s="10" t="s">
        <v>1157</v>
      </c>
      <c r="D38" s="11" t="s">
        <v>135</v>
      </c>
      <c r="E38" s="27">
        <v>7</v>
      </c>
      <c r="F38" s="27">
        <v>5</v>
      </c>
      <c r="G38" s="27">
        <v>3</v>
      </c>
      <c r="H38" s="28">
        <f t="shared" si="2"/>
        <v>219</v>
      </c>
      <c r="I38" s="29">
        <f t="shared" si="0"/>
        <v>73</v>
      </c>
      <c r="J38" s="27">
        <f t="shared" si="1"/>
        <v>18</v>
      </c>
      <c r="K38" s="27" t="str">
        <f t="shared" si="3"/>
        <v>TUNTAS</v>
      </c>
      <c r="L38" s="4" t="str">
        <f t="shared" si="4"/>
        <v xml:space="preserve"> </v>
      </c>
      <c r="M38" s="1"/>
      <c r="N38" s="2">
        <f t="shared" si="5"/>
        <v>7.3</v>
      </c>
    </row>
    <row r="39" spans="1:14" ht="15.95" customHeight="1" x14ac:dyDescent="0.25">
      <c r="A39" s="13">
        <v>32</v>
      </c>
      <c r="B39" s="9" t="s">
        <v>1282</v>
      </c>
      <c r="C39" s="10" t="s">
        <v>200</v>
      </c>
      <c r="D39" s="11" t="s">
        <v>45</v>
      </c>
      <c r="E39" s="27">
        <v>8</v>
      </c>
      <c r="F39" s="27">
        <v>7</v>
      </c>
      <c r="G39" s="27">
        <v>3</v>
      </c>
      <c r="H39" s="28">
        <f t="shared" si="2"/>
        <v>210</v>
      </c>
      <c r="I39" s="29">
        <f t="shared" si="0"/>
        <v>70</v>
      </c>
      <c r="J39" s="27">
        <f t="shared" si="1"/>
        <v>22</v>
      </c>
      <c r="K39" s="27" t="str">
        <f t="shared" si="3"/>
        <v>TUNTAS</v>
      </c>
      <c r="L39" s="4" t="str">
        <f t="shared" si="4"/>
        <v xml:space="preserve"> </v>
      </c>
      <c r="M39" s="1"/>
      <c r="N39" s="2">
        <f t="shared" si="5"/>
        <v>7</v>
      </c>
    </row>
    <row r="40" spans="1:14" ht="15.95" customHeight="1" x14ac:dyDescent="0.25">
      <c r="A40" s="13">
        <v>33</v>
      </c>
      <c r="B40" s="9" t="s">
        <v>1284</v>
      </c>
      <c r="C40" s="10" t="s">
        <v>299</v>
      </c>
      <c r="D40" s="11" t="s">
        <v>45</v>
      </c>
      <c r="E40" s="27">
        <v>4</v>
      </c>
      <c r="F40" s="27">
        <v>1</v>
      </c>
      <c r="G40" s="27">
        <v>3</v>
      </c>
      <c r="H40" s="28">
        <f t="shared" si="2"/>
        <v>240</v>
      </c>
      <c r="I40" s="29">
        <f t="shared" si="0"/>
        <v>80</v>
      </c>
      <c r="J40" s="27">
        <f t="shared" si="1"/>
        <v>12</v>
      </c>
      <c r="K40" s="27" t="str">
        <f t="shared" si="3"/>
        <v>TUNTAS</v>
      </c>
      <c r="L40" s="4" t="str">
        <f t="shared" si="4"/>
        <v xml:space="preserve"> </v>
      </c>
      <c r="M40" s="1"/>
      <c r="N40" s="2">
        <f t="shared" si="5"/>
        <v>8</v>
      </c>
    </row>
    <row r="41" spans="1:14" ht="15.95" customHeight="1" x14ac:dyDescent="0.25">
      <c r="A41" s="13">
        <v>34</v>
      </c>
      <c r="B41" s="9" t="s">
        <v>1285</v>
      </c>
      <c r="C41" s="10" t="s">
        <v>596</v>
      </c>
      <c r="D41" s="11" t="s">
        <v>128</v>
      </c>
      <c r="E41" s="27">
        <v>10</v>
      </c>
      <c r="F41" s="27">
        <v>10</v>
      </c>
      <c r="G41" s="27">
        <v>4</v>
      </c>
      <c r="H41" s="28">
        <f t="shared" si="2"/>
        <v>180</v>
      </c>
      <c r="I41" s="29">
        <f t="shared" si="0"/>
        <v>60</v>
      </c>
      <c r="J41" s="27">
        <f t="shared" si="1"/>
        <v>32</v>
      </c>
      <c r="K41" s="27" t="str">
        <f t="shared" si="3"/>
        <v>TUNTAS</v>
      </c>
      <c r="L41" s="4" t="str">
        <f t="shared" si="4"/>
        <v xml:space="preserve"> </v>
      </c>
      <c r="M41" s="1"/>
      <c r="N41" s="2">
        <f t="shared" si="5"/>
        <v>6</v>
      </c>
    </row>
    <row r="42" spans="1:14" ht="15.95" customHeight="1" x14ac:dyDescent="0.25">
      <c r="A42" s="13">
        <v>35</v>
      </c>
      <c r="B42" s="9" t="s">
        <v>1287</v>
      </c>
      <c r="C42" s="10" t="s">
        <v>194</v>
      </c>
      <c r="D42" s="11" t="s">
        <v>128</v>
      </c>
      <c r="E42" s="27">
        <v>32</v>
      </c>
      <c r="F42" s="27">
        <v>32</v>
      </c>
      <c r="G42" s="27">
        <v>5</v>
      </c>
      <c r="H42" s="28">
        <f t="shared" si="2"/>
        <v>33</v>
      </c>
      <c r="I42" s="29">
        <f t="shared" si="0"/>
        <v>11</v>
      </c>
      <c r="J42" s="27">
        <f t="shared" si="1"/>
        <v>56</v>
      </c>
      <c r="K42" s="27" t="str">
        <f t="shared" si="3"/>
        <v>TIDAK HADIR</v>
      </c>
      <c r="L42" s="4" t="str">
        <f t="shared" si="4"/>
        <v xml:space="preserve"> </v>
      </c>
      <c r="M42" s="1"/>
      <c r="N42" s="2">
        <f t="shared" si="5"/>
        <v>1.1000000000000001</v>
      </c>
    </row>
    <row r="43" spans="1:14" ht="15.95" customHeight="1" x14ac:dyDescent="0.25">
      <c r="A43" s="13">
        <v>36</v>
      </c>
      <c r="B43" s="9" t="s">
        <v>1289</v>
      </c>
      <c r="C43" s="10" t="s">
        <v>303</v>
      </c>
      <c r="D43" s="11" t="s">
        <v>107</v>
      </c>
      <c r="E43" s="27">
        <v>23</v>
      </c>
      <c r="F43" s="27">
        <v>18</v>
      </c>
      <c r="G43" s="27">
        <v>3</v>
      </c>
      <c r="H43" s="28">
        <f t="shared" si="2"/>
        <v>132</v>
      </c>
      <c r="I43" s="29">
        <f t="shared" si="0"/>
        <v>44</v>
      </c>
      <c r="J43" s="27">
        <f t="shared" si="1"/>
        <v>42</v>
      </c>
      <c r="K43" s="27" t="str">
        <f t="shared" si="3"/>
        <v>TIDAK TUNTAS</v>
      </c>
      <c r="L43" s="4" t="str">
        <f t="shared" si="4"/>
        <v xml:space="preserve"> </v>
      </c>
      <c r="M43" s="1"/>
      <c r="N43" s="2">
        <f t="shared" si="5"/>
        <v>4.4000000000000004</v>
      </c>
    </row>
    <row r="44" spans="1:14" ht="15.95" customHeight="1" x14ac:dyDescent="0.25">
      <c r="A44" s="13">
        <v>37</v>
      </c>
      <c r="B44" s="9" t="s">
        <v>1290</v>
      </c>
      <c r="C44" s="10" t="s">
        <v>1339</v>
      </c>
      <c r="D44" s="11" t="s">
        <v>48</v>
      </c>
      <c r="E44" s="27">
        <v>31</v>
      </c>
      <c r="F44" s="27">
        <v>31</v>
      </c>
      <c r="G44" s="27">
        <v>5</v>
      </c>
      <c r="H44" s="28">
        <f t="shared" si="2"/>
        <v>39</v>
      </c>
      <c r="I44" s="29">
        <f t="shared" si="0"/>
        <v>13</v>
      </c>
      <c r="J44" s="27">
        <f t="shared" si="1"/>
        <v>55</v>
      </c>
      <c r="K44" s="27" t="str">
        <f t="shared" si="3"/>
        <v>TIDAK BACA</v>
      </c>
      <c r="L44" s="4" t="str">
        <f t="shared" si="4"/>
        <v xml:space="preserve"> </v>
      </c>
      <c r="M44" s="1"/>
      <c r="N44" s="2">
        <f t="shared" si="5"/>
        <v>1.3</v>
      </c>
    </row>
    <row r="45" spans="1:14" ht="15.95" customHeight="1" x14ac:dyDescent="0.25">
      <c r="A45" s="13">
        <v>38</v>
      </c>
      <c r="B45" s="9" t="s">
        <v>1292</v>
      </c>
      <c r="C45" s="10" t="s">
        <v>413</v>
      </c>
      <c r="D45" s="11" t="s">
        <v>108</v>
      </c>
      <c r="E45" s="27">
        <v>10</v>
      </c>
      <c r="F45" s="27">
        <v>3</v>
      </c>
      <c r="G45" s="27">
        <v>4</v>
      </c>
      <c r="H45" s="28">
        <f t="shared" si="2"/>
        <v>201</v>
      </c>
      <c r="I45" s="29">
        <f t="shared" si="0"/>
        <v>67</v>
      </c>
      <c r="J45" s="27">
        <f t="shared" si="1"/>
        <v>25</v>
      </c>
      <c r="K45" s="27" t="str">
        <f t="shared" si="3"/>
        <v>TUNTAS</v>
      </c>
      <c r="L45" s="4" t="str">
        <f t="shared" si="4"/>
        <v xml:space="preserve"> </v>
      </c>
      <c r="M45" s="1"/>
      <c r="N45" s="2">
        <f t="shared" si="5"/>
        <v>6.7</v>
      </c>
    </row>
    <row r="46" spans="1:14" ht="15.95" customHeight="1" x14ac:dyDescent="0.25">
      <c r="A46" s="13">
        <v>39</v>
      </c>
      <c r="B46" s="9" t="s">
        <v>1294</v>
      </c>
      <c r="C46" s="10" t="s">
        <v>3208</v>
      </c>
      <c r="D46" s="11" t="s">
        <v>49</v>
      </c>
      <c r="E46" s="27">
        <v>32</v>
      </c>
      <c r="F46" s="27">
        <v>32</v>
      </c>
      <c r="G46" s="27">
        <v>5</v>
      </c>
      <c r="H46" s="28">
        <f t="shared" si="2"/>
        <v>33</v>
      </c>
      <c r="I46" s="29">
        <f t="shared" si="0"/>
        <v>11</v>
      </c>
      <c r="J46" s="27">
        <f t="shared" si="1"/>
        <v>56</v>
      </c>
      <c r="K46" s="27" t="str">
        <f t="shared" si="3"/>
        <v>TIDAK HADIR</v>
      </c>
      <c r="L46" s="4" t="s">
        <v>3264</v>
      </c>
      <c r="M46" s="1"/>
      <c r="N46" s="2">
        <f t="shared" si="5"/>
        <v>1.1000000000000001</v>
      </c>
    </row>
    <row r="47" spans="1:14" ht="15.95" customHeight="1" x14ac:dyDescent="0.25">
      <c r="A47" s="13">
        <v>40</v>
      </c>
      <c r="B47" s="9" t="s">
        <v>1296</v>
      </c>
      <c r="C47" s="10" t="s">
        <v>796</v>
      </c>
      <c r="D47" s="11" t="s">
        <v>51</v>
      </c>
      <c r="E47" s="27">
        <v>32</v>
      </c>
      <c r="F47" s="27">
        <v>32</v>
      </c>
      <c r="G47" s="27">
        <v>5</v>
      </c>
      <c r="H47" s="28">
        <f t="shared" si="2"/>
        <v>33</v>
      </c>
      <c r="I47" s="29">
        <f t="shared" si="0"/>
        <v>11</v>
      </c>
      <c r="J47" s="27">
        <f t="shared" si="1"/>
        <v>56</v>
      </c>
      <c r="K47" s="27" t="str">
        <f t="shared" si="3"/>
        <v>TIDAK HADIR</v>
      </c>
      <c r="L47" s="4" t="s">
        <v>3265</v>
      </c>
      <c r="M47" s="1"/>
      <c r="N47" s="2">
        <f t="shared" si="5"/>
        <v>1.1000000000000001</v>
      </c>
    </row>
    <row r="48" spans="1:14" ht="15.95" customHeight="1" x14ac:dyDescent="0.25">
      <c r="A48" s="13">
        <v>41</v>
      </c>
      <c r="B48" s="9" t="s">
        <v>1298</v>
      </c>
      <c r="C48" s="10" t="s">
        <v>798</v>
      </c>
      <c r="D48" s="11" t="s">
        <v>53</v>
      </c>
      <c r="E48" s="27">
        <v>5</v>
      </c>
      <c r="F48" s="27">
        <v>3</v>
      </c>
      <c r="G48" s="27">
        <v>3</v>
      </c>
      <c r="H48" s="28">
        <f t="shared" si="2"/>
        <v>231</v>
      </c>
      <c r="I48" s="29">
        <f t="shared" si="0"/>
        <v>77</v>
      </c>
      <c r="J48" s="27">
        <f t="shared" si="1"/>
        <v>15</v>
      </c>
      <c r="K48" s="27" t="str">
        <f t="shared" si="3"/>
        <v>TUNTAS</v>
      </c>
      <c r="L48" s="4" t="str">
        <f t="shared" si="4"/>
        <v xml:space="preserve"> </v>
      </c>
      <c r="M48" s="1"/>
      <c r="N48" s="2">
        <f t="shared" si="5"/>
        <v>7.7</v>
      </c>
    </row>
    <row r="49" spans="1:14" ht="15.95" customHeight="1" x14ac:dyDescent="0.25">
      <c r="A49" s="13">
        <v>42</v>
      </c>
      <c r="B49" s="9" t="s">
        <v>1300</v>
      </c>
      <c r="C49" s="10" t="s">
        <v>509</v>
      </c>
      <c r="D49" s="11" t="s">
        <v>118</v>
      </c>
      <c r="E49" s="27">
        <v>4</v>
      </c>
      <c r="F49" s="27">
        <v>4</v>
      </c>
      <c r="G49" s="27">
        <v>2</v>
      </c>
      <c r="H49" s="28">
        <f t="shared" si="2"/>
        <v>246</v>
      </c>
      <c r="I49" s="29">
        <f t="shared" si="0"/>
        <v>82</v>
      </c>
      <c r="J49" s="27">
        <f t="shared" si="1"/>
        <v>11</v>
      </c>
      <c r="K49" s="27" t="str">
        <f t="shared" si="3"/>
        <v>TUNTAS</v>
      </c>
      <c r="L49" s="4" t="str">
        <f t="shared" si="4"/>
        <v xml:space="preserve"> </v>
      </c>
      <c r="M49" s="1"/>
      <c r="N49" s="2">
        <f t="shared" si="5"/>
        <v>8.1999999999999993</v>
      </c>
    </row>
    <row r="50" spans="1:14" ht="15.95" customHeight="1" x14ac:dyDescent="0.25">
      <c r="A50" s="13">
        <v>43</v>
      </c>
      <c r="B50" s="9" t="s">
        <v>1302</v>
      </c>
      <c r="C50" s="10" t="s">
        <v>511</v>
      </c>
      <c r="D50" s="11" t="s">
        <v>54</v>
      </c>
      <c r="E50" s="27">
        <v>32</v>
      </c>
      <c r="F50" s="27">
        <v>32</v>
      </c>
      <c r="G50" s="27">
        <v>5</v>
      </c>
      <c r="H50" s="28">
        <f t="shared" si="2"/>
        <v>33</v>
      </c>
      <c r="I50" s="29">
        <f t="shared" si="0"/>
        <v>11</v>
      </c>
      <c r="J50" s="27">
        <f t="shared" si="1"/>
        <v>56</v>
      </c>
      <c r="K50" s="27" t="str">
        <f t="shared" si="3"/>
        <v>TIDAK HADIR</v>
      </c>
      <c r="L50" s="4" t="str">
        <f t="shared" si="4"/>
        <v xml:space="preserve"> </v>
      </c>
      <c r="M50" s="1"/>
      <c r="N50" s="2">
        <f t="shared" si="5"/>
        <v>1.1000000000000001</v>
      </c>
    </row>
    <row r="51" spans="1:14" ht="15.95" customHeight="1" x14ac:dyDescent="0.25">
      <c r="A51" s="13">
        <v>44</v>
      </c>
      <c r="B51" s="9" t="s">
        <v>1303</v>
      </c>
      <c r="C51" s="10" t="s">
        <v>3209</v>
      </c>
      <c r="D51" s="11" t="s">
        <v>54</v>
      </c>
      <c r="E51" s="27">
        <v>16</v>
      </c>
      <c r="F51" s="27">
        <v>14</v>
      </c>
      <c r="G51" s="27">
        <v>6</v>
      </c>
      <c r="H51" s="28">
        <f t="shared" si="2"/>
        <v>120</v>
      </c>
      <c r="I51" s="29">
        <f t="shared" si="0"/>
        <v>40</v>
      </c>
      <c r="J51" s="27">
        <f t="shared" si="1"/>
        <v>45</v>
      </c>
      <c r="K51" s="27" t="str">
        <f t="shared" si="3"/>
        <v>TIDAK TUNTAS</v>
      </c>
      <c r="L51" s="4" t="str">
        <f t="shared" si="4"/>
        <v>TM</v>
      </c>
      <c r="M51" s="1"/>
      <c r="N51" s="2">
        <f t="shared" si="5"/>
        <v>4</v>
      </c>
    </row>
    <row r="52" spans="1:14" ht="15.95" customHeight="1" x14ac:dyDescent="0.25">
      <c r="A52" s="13">
        <v>45</v>
      </c>
      <c r="B52" s="9" t="s">
        <v>1304</v>
      </c>
      <c r="C52" s="10" t="s">
        <v>607</v>
      </c>
      <c r="D52" s="11" t="s">
        <v>55</v>
      </c>
      <c r="E52" s="27">
        <v>7</v>
      </c>
      <c r="F52" s="27">
        <v>2</v>
      </c>
      <c r="G52" s="27">
        <v>1</v>
      </c>
      <c r="H52" s="28">
        <f t="shared" si="2"/>
        <v>258</v>
      </c>
      <c r="I52" s="29">
        <f t="shared" si="0"/>
        <v>86</v>
      </c>
      <c r="J52" s="27">
        <f t="shared" si="1"/>
        <v>6</v>
      </c>
      <c r="K52" s="27" t="str">
        <f t="shared" si="3"/>
        <v>TUNTAS</v>
      </c>
      <c r="L52" s="4" t="str">
        <f t="shared" si="4"/>
        <v xml:space="preserve"> </v>
      </c>
      <c r="M52" s="1"/>
      <c r="N52" s="2">
        <f t="shared" si="5"/>
        <v>8.6</v>
      </c>
    </row>
    <row r="53" spans="1:14" ht="15.95" customHeight="1" x14ac:dyDescent="0.25">
      <c r="A53" s="13">
        <v>46</v>
      </c>
      <c r="B53" s="9" t="s">
        <v>1305</v>
      </c>
      <c r="C53" s="10" t="s">
        <v>318</v>
      </c>
      <c r="D53" s="11" t="s">
        <v>138</v>
      </c>
      <c r="E53" s="27">
        <v>8</v>
      </c>
      <c r="F53" s="27">
        <v>2</v>
      </c>
      <c r="G53" s="27">
        <v>2</v>
      </c>
      <c r="H53" s="28">
        <f t="shared" si="2"/>
        <v>240</v>
      </c>
      <c r="I53" s="29">
        <f t="shared" si="0"/>
        <v>80</v>
      </c>
      <c r="J53" s="27">
        <f t="shared" si="1"/>
        <v>12</v>
      </c>
      <c r="K53" s="27" t="str">
        <f t="shared" si="3"/>
        <v>TUNTAS</v>
      </c>
      <c r="L53" s="4" t="str">
        <f t="shared" si="4"/>
        <v xml:space="preserve"> </v>
      </c>
      <c r="M53" s="1"/>
      <c r="N53" s="2">
        <f t="shared" si="5"/>
        <v>8</v>
      </c>
    </row>
    <row r="54" spans="1:14" x14ac:dyDescent="0.25">
      <c r="A54" s="13">
        <v>47</v>
      </c>
      <c r="B54" s="9" t="s">
        <v>1307</v>
      </c>
      <c r="C54" s="10" t="s">
        <v>215</v>
      </c>
      <c r="D54" s="11" t="s">
        <v>129</v>
      </c>
      <c r="E54" s="27">
        <v>17</v>
      </c>
      <c r="F54" s="27">
        <v>17</v>
      </c>
      <c r="G54" s="27">
        <v>5</v>
      </c>
      <c r="H54" s="28">
        <f t="shared" si="2"/>
        <v>123</v>
      </c>
      <c r="I54" s="29">
        <f t="shared" si="0"/>
        <v>41</v>
      </c>
      <c r="J54" s="27">
        <f t="shared" si="1"/>
        <v>44</v>
      </c>
      <c r="K54" s="27" t="str">
        <f t="shared" si="3"/>
        <v>TIDAK TUNTAS</v>
      </c>
      <c r="L54" s="4" t="str">
        <f t="shared" si="4"/>
        <v xml:space="preserve"> </v>
      </c>
      <c r="M54" s="1"/>
      <c r="N54" s="2">
        <f t="shared" si="5"/>
        <v>4.0999999999999996</v>
      </c>
    </row>
    <row r="55" spans="1:14" x14ac:dyDescent="0.25">
      <c r="A55" s="13">
        <v>48</v>
      </c>
      <c r="B55" s="9" t="s">
        <v>1309</v>
      </c>
      <c r="C55" s="10" t="s">
        <v>810</v>
      </c>
      <c r="D55" s="11" t="s">
        <v>57</v>
      </c>
      <c r="E55" s="27">
        <v>22</v>
      </c>
      <c r="F55" s="27">
        <v>20</v>
      </c>
      <c r="G55" s="27">
        <v>6</v>
      </c>
      <c r="H55" s="28">
        <f t="shared" si="2"/>
        <v>84</v>
      </c>
      <c r="I55" s="29">
        <f t="shared" si="0"/>
        <v>28</v>
      </c>
      <c r="J55" s="27">
        <f t="shared" si="1"/>
        <v>48</v>
      </c>
      <c r="K55" s="27" t="str">
        <f t="shared" si="3"/>
        <v>TIDAK TUNTAS</v>
      </c>
      <c r="L55" s="4" t="str">
        <f t="shared" si="4"/>
        <v>TM</v>
      </c>
      <c r="M55" s="1"/>
      <c r="N55" s="2">
        <f t="shared" si="5"/>
        <v>2.8</v>
      </c>
    </row>
    <row r="56" spans="1:14" x14ac:dyDescent="0.25">
      <c r="A56" s="13">
        <v>49</v>
      </c>
      <c r="B56" s="9" t="s">
        <v>1311</v>
      </c>
      <c r="C56" s="10" t="s">
        <v>618</v>
      </c>
      <c r="D56" s="11" t="s">
        <v>58</v>
      </c>
      <c r="E56" s="27">
        <v>13</v>
      </c>
      <c r="F56" s="27">
        <v>9</v>
      </c>
      <c r="G56" s="27">
        <v>3</v>
      </c>
      <c r="H56" s="28">
        <f t="shared" si="2"/>
        <v>189</v>
      </c>
      <c r="I56" s="29">
        <f t="shared" si="0"/>
        <v>63</v>
      </c>
      <c r="J56" s="27">
        <f t="shared" si="1"/>
        <v>27</v>
      </c>
      <c r="K56" s="27" t="str">
        <f t="shared" si="3"/>
        <v>TUNTAS</v>
      </c>
      <c r="L56" s="4" t="str">
        <f t="shared" si="4"/>
        <v xml:space="preserve"> </v>
      </c>
      <c r="M56" s="1"/>
      <c r="N56" s="2">
        <f t="shared" si="5"/>
        <v>6.3</v>
      </c>
    </row>
    <row r="57" spans="1:14" x14ac:dyDescent="0.25">
      <c r="A57" s="13">
        <v>50</v>
      </c>
      <c r="B57" s="9" t="s">
        <v>1313</v>
      </c>
      <c r="C57" s="10" t="s">
        <v>813</v>
      </c>
      <c r="D57" s="11" t="s">
        <v>60</v>
      </c>
      <c r="E57" s="27">
        <v>12</v>
      </c>
      <c r="F57" s="27">
        <v>10</v>
      </c>
      <c r="G57" s="27">
        <v>2</v>
      </c>
      <c r="H57" s="28">
        <f t="shared" si="2"/>
        <v>204</v>
      </c>
      <c r="I57" s="29">
        <f t="shared" si="0"/>
        <v>68</v>
      </c>
      <c r="J57" s="27">
        <f t="shared" si="1"/>
        <v>23</v>
      </c>
      <c r="K57" s="27" t="str">
        <f t="shared" si="3"/>
        <v>TUNTAS</v>
      </c>
      <c r="L57" s="4" t="str">
        <f t="shared" si="4"/>
        <v xml:space="preserve"> </v>
      </c>
      <c r="M57" s="1"/>
      <c r="N57" s="2">
        <f t="shared" si="5"/>
        <v>6.8</v>
      </c>
    </row>
    <row r="58" spans="1:14" x14ac:dyDescent="0.25">
      <c r="A58" s="13">
        <v>51</v>
      </c>
      <c r="B58" s="9" t="s">
        <v>1315</v>
      </c>
      <c r="C58" s="10" t="s">
        <v>220</v>
      </c>
      <c r="D58" s="11" t="s">
        <v>119</v>
      </c>
      <c r="E58" s="27">
        <v>20</v>
      </c>
      <c r="F58" s="27">
        <v>23</v>
      </c>
      <c r="G58" s="27">
        <v>6</v>
      </c>
      <c r="H58" s="28">
        <f t="shared" si="2"/>
        <v>81</v>
      </c>
      <c r="I58" s="29">
        <f t="shared" si="0"/>
        <v>27</v>
      </c>
      <c r="J58" s="27">
        <f t="shared" si="1"/>
        <v>49</v>
      </c>
      <c r="K58" s="27" t="str">
        <f t="shared" si="3"/>
        <v>TIDAK TUNTAS</v>
      </c>
      <c r="L58" s="4" t="str">
        <f t="shared" si="4"/>
        <v>TM</v>
      </c>
      <c r="M58" s="1"/>
      <c r="N58" s="2">
        <f t="shared" si="5"/>
        <v>2.7</v>
      </c>
    </row>
    <row r="59" spans="1:14" x14ac:dyDescent="0.25">
      <c r="A59" s="13">
        <v>52</v>
      </c>
      <c r="B59" s="9" t="s">
        <v>1316</v>
      </c>
      <c r="C59" s="10" t="s">
        <v>222</v>
      </c>
      <c r="D59" s="11" t="s">
        <v>86</v>
      </c>
      <c r="E59" s="27">
        <v>2</v>
      </c>
      <c r="F59" s="27">
        <v>0</v>
      </c>
      <c r="G59" s="27">
        <v>3</v>
      </c>
      <c r="H59" s="28">
        <f t="shared" si="2"/>
        <v>249</v>
      </c>
      <c r="I59" s="29">
        <f t="shared" ref="I59:I69" si="6">H59/3</f>
        <v>83</v>
      </c>
      <c r="J59" s="27">
        <f t="shared" ref="J59:J69" si="7">RANK(H59,$H$8:$H$97)</f>
        <v>10</v>
      </c>
      <c r="K59" s="27" t="str">
        <f t="shared" si="3"/>
        <v>TUNTAS</v>
      </c>
      <c r="L59" s="4" t="str">
        <f t="shared" si="4"/>
        <v xml:space="preserve"> </v>
      </c>
      <c r="N59" s="2">
        <f t="shared" si="5"/>
        <v>8.3000000000000007</v>
      </c>
    </row>
    <row r="60" spans="1:14" x14ac:dyDescent="0.25">
      <c r="A60" s="13">
        <v>53</v>
      </c>
      <c r="B60" s="9" t="s">
        <v>1318</v>
      </c>
      <c r="C60" s="10" t="s">
        <v>3210</v>
      </c>
      <c r="D60" s="11" t="s">
        <v>63</v>
      </c>
      <c r="E60" s="27">
        <v>21</v>
      </c>
      <c r="F60" s="27">
        <v>25</v>
      </c>
      <c r="G60" s="27">
        <v>6</v>
      </c>
      <c r="H60" s="28">
        <f t="shared" si="2"/>
        <v>72</v>
      </c>
      <c r="I60" s="29">
        <f t="shared" si="6"/>
        <v>24</v>
      </c>
      <c r="J60" s="27">
        <f t="shared" si="7"/>
        <v>51</v>
      </c>
      <c r="K60" s="27" t="str">
        <f t="shared" si="3"/>
        <v>TIDAK TUNTAS</v>
      </c>
      <c r="L60" s="4" t="str">
        <f t="shared" si="4"/>
        <v>TM</v>
      </c>
      <c r="N60" s="2">
        <f t="shared" si="5"/>
        <v>2.4</v>
      </c>
    </row>
    <row r="61" spans="1:14" x14ac:dyDescent="0.25">
      <c r="A61" s="13">
        <v>54</v>
      </c>
      <c r="B61" s="9" t="s">
        <v>1320</v>
      </c>
      <c r="C61" s="10" t="s">
        <v>227</v>
      </c>
      <c r="D61" s="11" t="s">
        <v>65</v>
      </c>
      <c r="E61" s="27">
        <v>13</v>
      </c>
      <c r="F61" s="27">
        <v>10</v>
      </c>
      <c r="G61" s="27">
        <v>5</v>
      </c>
      <c r="H61" s="28">
        <f t="shared" si="2"/>
        <v>156</v>
      </c>
      <c r="I61" s="29">
        <f t="shared" si="6"/>
        <v>52</v>
      </c>
      <c r="J61" s="27">
        <f t="shared" si="7"/>
        <v>36</v>
      </c>
      <c r="K61" s="27" t="str">
        <f t="shared" si="3"/>
        <v>TIDAK TUNTAS</v>
      </c>
      <c r="L61" s="4" t="str">
        <f t="shared" si="4"/>
        <v xml:space="preserve"> </v>
      </c>
      <c r="N61" s="2">
        <f t="shared" si="5"/>
        <v>5.2</v>
      </c>
    </row>
    <row r="62" spans="1:14" x14ac:dyDescent="0.25">
      <c r="A62" s="13">
        <v>55</v>
      </c>
      <c r="B62" s="9" t="s">
        <v>1322</v>
      </c>
      <c r="C62" s="10" t="s">
        <v>112</v>
      </c>
      <c r="D62" s="11" t="s">
        <v>88</v>
      </c>
      <c r="E62" s="27">
        <v>1</v>
      </c>
      <c r="F62" s="27">
        <v>0</v>
      </c>
      <c r="G62" s="27">
        <v>3</v>
      </c>
      <c r="H62" s="28">
        <f t="shared" si="2"/>
        <v>252</v>
      </c>
      <c r="I62" s="29">
        <f t="shared" si="6"/>
        <v>84</v>
      </c>
      <c r="J62" s="27">
        <f t="shared" si="7"/>
        <v>9</v>
      </c>
      <c r="K62" s="27" t="str">
        <f t="shared" si="3"/>
        <v>TUNTAS</v>
      </c>
      <c r="L62" s="4" t="str">
        <f t="shared" si="4"/>
        <v xml:space="preserve"> </v>
      </c>
      <c r="N62" s="2">
        <f t="shared" si="5"/>
        <v>8.4</v>
      </c>
    </row>
    <row r="63" spans="1:14" x14ac:dyDescent="0.25">
      <c r="A63" s="13">
        <v>56</v>
      </c>
      <c r="B63" s="9" t="s">
        <v>1324</v>
      </c>
      <c r="C63" s="10" t="s">
        <v>722</v>
      </c>
      <c r="D63" s="11" t="s">
        <v>98</v>
      </c>
      <c r="E63" s="27">
        <v>30</v>
      </c>
      <c r="F63" s="27">
        <v>30</v>
      </c>
      <c r="G63" s="27">
        <v>6</v>
      </c>
      <c r="H63" s="28">
        <f t="shared" si="2"/>
        <v>30</v>
      </c>
      <c r="I63" s="29">
        <f t="shared" si="6"/>
        <v>10</v>
      </c>
      <c r="J63" s="27">
        <f t="shared" si="7"/>
        <v>62</v>
      </c>
      <c r="K63" s="27" t="str">
        <f t="shared" si="3"/>
        <v>TIDAK HADIR</v>
      </c>
      <c r="L63" s="4" t="str">
        <f t="shared" si="4"/>
        <v>TM</v>
      </c>
      <c r="N63" s="2">
        <f t="shared" si="5"/>
        <v>1</v>
      </c>
    </row>
    <row r="64" spans="1:14" x14ac:dyDescent="0.25">
      <c r="A64" s="13">
        <v>57</v>
      </c>
      <c r="B64" s="9" t="s">
        <v>1326</v>
      </c>
      <c r="C64" s="10" t="s">
        <v>631</v>
      </c>
      <c r="D64" s="11" t="s">
        <v>67</v>
      </c>
      <c r="E64" s="27">
        <v>10</v>
      </c>
      <c r="F64" s="27">
        <v>3</v>
      </c>
      <c r="G64" s="27">
        <v>3</v>
      </c>
      <c r="H64" s="28">
        <f t="shared" si="2"/>
        <v>216</v>
      </c>
      <c r="I64" s="29">
        <f t="shared" si="6"/>
        <v>72</v>
      </c>
      <c r="J64" s="27">
        <f t="shared" si="7"/>
        <v>20</v>
      </c>
      <c r="K64" s="27" t="str">
        <f t="shared" si="3"/>
        <v>TUNTAS</v>
      </c>
      <c r="L64" s="4" t="str">
        <f t="shared" si="4"/>
        <v xml:space="preserve"> </v>
      </c>
      <c r="N64" s="2">
        <f>I64/10</f>
        <v>7.2</v>
      </c>
    </row>
    <row r="65" spans="1:14" x14ac:dyDescent="0.25">
      <c r="A65" s="13">
        <v>58</v>
      </c>
      <c r="B65" s="9" t="s">
        <v>1328</v>
      </c>
      <c r="C65" s="10" t="s">
        <v>829</v>
      </c>
      <c r="D65" s="11" t="s">
        <v>120</v>
      </c>
      <c r="E65" s="27">
        <v>7</v>
      </c>
      <c r="F65" s="27">
        <v>7</v>
      </c>
      <c r="G65" s="27">
        <v>2</v>
      </c>
      <c r="H65" s="28">
        <f t="shared" si="2"/>
        <v>228</v>
      </c>
      <c r="I65" s="29">
        <f t="shared" si="6"/>
        <v>76</v>
      </c>
      <c r="J65" s="27">
        <f t="shared" si="7"/>
        <v>16</v>
      </c>
      <c r="K65" s="27" t="str">
        <f t="shared" si="3"/>
        <v>TUNTAS</v>
      </c>
      <c r="L65" s="4" t="str">
        <f t="shared" si="4"/>
        <v xml:space="preserve"> </v>
      </c>
      <c r="N65" s="2">
        <f t="shared" ref="N65:N69" si="8">I65/10</f>
        <v>7.6</v>
      </c>
    </row>
    <row r="66" spans="1:14" x14ac:dyDescent="0.25">
      <c r="A66" s="13">
        <v>59</v>
      </c>
      <c r="B66" s="9" t="s">
        <v>1330</v>
      </c>
      <c r="C66" s="10" t="s">
        <v>730</v>
      </c>
      <c r="D66" s="11" t="s">
        <v>121</v>
      </c>
      <c r="E66" s="27">
        <v>7</v>
      </c>
      <c r="F66" s="27">
        <v>10</v>
      </c>
      <c r="G66" s="27">
        <v>3</v>
      </c>
      <c r="H66" s="28">
        <f t="shared" si="2"/>
        <v>204</v>
      </c>
      <c r="I66" s="29">
        <f t="shared" si="6"/>
        <v>68</v>
      </c>
      <c r="J66" s="27">
        <f t="shared" si="7"/>
        <v>23</v>
      </c>
      <c r="K66" s="27" t="str">
        <f t="shared" si="3"/>
        <v>TUNTAS</v>
      </c>
      <c r="L66" s="4" t="str">
        <f t="shared" si="4"/>
        <v xml:space="preserve"> </v>
      </c>
      <c r="N66" s="2">
        <f t="shared" si="8"/>
        <v>6.8</v>
      </c>
    </row>
    <row r="67" spans="1:14" x14ac:dyDescent="0.25">
      <c r="A67" s="13">
        <v>60</v>
      </c>
      <c r="B67" s="9" t="s">
        <v>1332</v>
      </c>
      <c r="C67" s="10" t="s">
        <v>345</v>
      </c>
      <c r="D67" s="11" t="s">
        <v>99</v>
      </c>
      <c r="E67" s="27">
        <v>11</v>
      </c>
      <c r="F67" s="27">
        <v>5</v>
      </c>
      <c r="G67" s="27">
        <v>6</v>
      </c>
      <c r="H67" s="28">
        <f t="shared" si="2"/>
        <v>162</v>
      </c>
      <c r="I67" s="29">
        <f t="shared" si="6"/>
        <v>54</v>
      </c>
      <c r="J67" s="27">
        <f t="shared" si="7"/>
        <v>34</v>
      </c>
      <c r="K67" s="27" t="str">
        <f t="shared" si="3"/>
        <v>TIDAK TUNTAS</v>
      </c>
      <c r="L67" s="4" t="str">
        <f t="shared" si="4"/>
        <v>TM</v>
      </c>
      <c r="N67" s="2">
        <f t="shared" si="8"/>
        <v>5.4</v>
      </c>
    </row>
    <row r="68" spans="1:14" x14ac:dyDescent="0.25">
      <c r="A68" s="13">
        <v>61</v>
      </c>
      <c r="B68" s="9" t="s">
        <v>1334</v>
      </c>
      <c r="C68" s="10" t="s">
        <v>241</v>
      </c>
      <c r="D68" s="11" t="s">
        <v>70</v>
      </c>
      <c r="E68" s="27">
        <v>14</v>
      </c>
      <c r="F68" s="27">
        <v>5</v>
      </c>
      <c r="G68" s="27">
        <v>4</v>
      </c>
      <c r="H68" s="28">
        <f t="shared" si="2"/>
        <v>183</v>
      </c>
      <c r="I68" s="29">
        <f t="shared" si="6"/>
        <v>61</v>
      </c>
      <c r="J68" s="27">
        <f t="shared" si="7"/>
        <v>29</v>
      </c>
      <c r="K68" s="27" t="str">
        <f t="shared" si="3"/>
        <v>TUNTAS</v>
      </c>
      <c r="L68" s="4" t="str">
        <f t="shared" si="4"/>
        <v xml:space="preserve"> </v>
      </c>
      <c r="N68" s="2">
        <f t="shared" si="8"/>
        <v>6.1</v>
      </c>
    </row>
    <row r="69" spans="1:14" x14ac:dyDescent="0.25">
      <c r="A69" s="13">
        <v>62</v>
      </c>
      <c r="B69" s="9" t="s">
        <v>1336</v>
      </c>
      <c r="C69" s="10" t="s">
        <v>3211</v>
      </c>
      <c r="D69" s="11" t="s">
        <v>72</v>
      </c>
      <c r="E69" s="27">
        <v>26</v>
      </c>
      <c r="F69" s="27">
        <v>22</v>
      </c>
      <c r="G69" s="27">
        <v>6</v>
      </c>
      <c r="H69" s="28">
        <f t="shared" si="2"/>
        <v>66</v>
      </c>
      <c r="I69" s="29">
        <f t="shared" si="6"/>
        <v>22</v>
      </c>
      <c r="J69" s="27">
        <f t="shared" si="7"/>
        <v>52</v>
      </c>
      <c r="K69" s="27" t="str">
        <f t="shared" si="3"/>
        <v>TIDAK TUNTAS</v>
      </c>
      <c r="L69" s="4" t="str">
        <f t="shared" si="4"/>
        <v>TM</v>
      </c>
      <c r="N69" s="2">
        <f t="shared" si="8"/>
        <v>2.2000000000000002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phoneticPr fontId="13" type="noConversion"/>
  <conditionalFormatting sqref="D8:D10">
    <cfRule type="cellIs" dxfId="71" priority="9" operator="equal">
      <formula>0</formula>
    </cfRule>
  </conditionalFormatting>
  <conditionalFormatting sqref="I8:I69">
    <cfRule type="cellIs" dxfId="70" priority="3" operator="lessThan">
      <formula>60</formula>
    </cfRule>
    <cfRule type="cellIs" dxfId="69" priority="4" operator="lessThan">
      <formula>60</formula>
    </cfRule>
    <cfRule type="cellIs" dxfId="68" priority="5" operator="lessThan">
      <formula>50</formula>
    </cfRule>
  </conditionalFormatting>
  <conditionalFormatting sqref="K8:K69">
    <cfRule type="cellIs" dxfId="67" priority="1" operator="equal">
      <formula>"TIDAK BACA"</formula>
    </cfRule>
    <cfRule type="cellIs" dxfId="66" priority="2" operator="equal">
      <formula>"TIDAK TUNTAS"</formula>
    </cfRule>
    <cfRule type="cellIs" dxfId="65" priority="6" operator="equal">
      <formula>"TUNTAS"</formula>
    </cfRule>
    <cfRule type="cellIs" dxfId="64" priority="7" operator="equal">
      <formula>"TIDAK HADIR"</formula>
    </cfRule>
    <cfRule type="cellIs" dxfId="63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08D85CC4-7110-465B-8EFA-6A7C3D8FD5B9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169F-D25A-4422-91C4-BF2F07B54C57}">
  <sheetPr>
    <tabColor theme="2" tint="-0.249977111117893"/>
  </sheetPr>
  <dimension ref="A1:N66"/>
  <sheetViews>
    <sheetView zoomScaleNormal="100" workbookViewId="0">
      <pane xSplit="1" ySplit="7" topLeftCell="B47" activePane="bottomRight" state="frozen"/>
      <selection activeCell="P66" sqref="P66"/>
      <selection pane="topRight" activeCell="P66" sqref="P66"/>
      <selection pane="bottomLeft" activeCell="P66" sqref="P66"/>
      <selection pane="bottomRight" activeCell="N66" sqref="N8:N66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s="33" customFormat="1" ht="19.899999999999999" customHeight="1" x14ac:dyDescent="0.25">
      <c r="A4" s="51" t="s">
        <v>3285</v>
      </c>
      <c r="B4" s="51"/>
      <c r="C4" s="51"/>
      <c r="D4" s="51"/>
      <c r="E4" s="51"/>
      <c r="F4" s="51"/>
      <c r="G4" s="51"/>
      <c r="H4" s="51"/>
      <c r="I4" s="51"/>
      <c r="K4" s="33" t="s">
        <v>3286</v>
      </c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1338</v>
      </c>
      <c r="C8" s="10" t="s">
        <v>643</v>
      </c>
      <c r="D8" s="11" t="s">
        <v>16</v>
      </c>
      <c r="E8" s="27">
        <v>10</v>
      </c>
      <c r="F8" s="27">
        <v>12</v>
      </c>
      <c r="G8" s="27">
        <v>4</v>
      </c>
      <c r="H8" s="28">
        <f>100-E8*3+100-F8*3+100-G8*15</f>
        <v>174</v>
      </c>
      <c r="I8" s="29">
        <f t="shared" ref="I8:I58" si="0">H8/3</f>
        <v>58</v>
      </c>
      <c r="J8" s="27">
        <f t="shared" ref="J8:J58" si="1">RANK(H8,$H$8:$H$97)</f>
        <v>27</v>
      </c>
      <c r="K8" s="27" t="str">
        <f>IF(I8&lt;11.1,"TIDAK HADIR",IF(I8&lt;13.1,"TIDAK BACA",IF(I8&lt;$K$7,"TIDAK TUNTAS","TUNTAS")))</f>
        <v>TIDAK TUNTAS</v>
      </c>
      <c r="L8" s="4" t="str">
        <f>IF(G8&gt;5,"TM"," ")</f>
        <v xml:space="preserve"> </v>
      </c>
      <c r="M8" s="1"/>
      <c r="N8" s="2">
        <f>I8/10</f>
        <v>5.8</v>
      </c>
    </row>
    <row r="9" spans="1:14" ht="15.95" customHeight="1" x14ac:dyDescent="0.25">
      <c r="A9" s="13">
        <v>2</v>
      </c>
      <c r="B9" s="9" t="s">
        <v>1340</v>
      </c>
      <c r="C9" s="10" t="s">
        <v>542</v>
      </c>
      <c r="D9" s="11" t="s">
        <v>17</v>
      </c>
      <c r="E9" s="27">
        <v>1</v>
      </c>
      <c r="F9" s="27">
        <v>3</v>
      </c>
      <c r="G9" s="27">
        <v>0</v>
      </c>
      <c r="H9" s="28">
        <f t="shared" ref="H9:H66" si="2">100-E9*3+100-F9*3+100-G9*15</f>
        <v>288</v>
      </c>
      <c r="I9" s="29">
        <f t="shared" si="0"/>
        <v>96</v>
      </c>
      <c r="J9" s="27">
        <f t="shared" si="1"/>
        <v>4</v>
      </c>
      <c r="K9" s="27" t="str">
        <f t="shared" ref="K9:K66" si="3">IF(I9&lt;11.1,"TIDAK HADIR",IF(I9&lt;13.1,"TIDAK BACA",IF(I9&lt;$K$7,"TIDAK TUNTAS","TUNTAS")))</f>
        <v>TUNTAS</v>
      </c>
      <c r="L9" s="4" t="str">
        <f t="shared" ref="L9:L66" si="4">IF(G9&gt;5,"TM"," ")</f>
        <v xml:space="preserve"> </v>
      </c>
      <c r="M9" s="1"/>
      <c r="N9" s="2">
        <f t="shared" ref="N9:N66" si="5">I9/10</f>
        <v>9.6</v>
      </c>
    </row>
    <row r="10" spans="1:14" ht="15.95" customHeight="1" x14ac:dyDescent="0.25">
      <c r="A10" s="13">
        <v>3</v>
      </c>
      <c r="B10" s="9" t="s">
        <v>1341</v>
      </c>
      <c r="C10" s="10" t="s">
        <v>544</v>
      </c>
      <c r="D10" s="11" t="s">
        <v>18</v>
      </c>
      <c r="E10" s="27">
        <v>5</v>
      </c>
      <c r="F10" s="27">
        <v>2</v>
      </c>
      <c r="G10" s="27">
        <v>1</v>
      </c>
      <c r="H10" s="28">
        <f t="shared" si="2"/>
        <v>264</v>
      </c>
      <c r="I10" s="29">
        <f>H10/3</f>
        <v>88</v>
      </c>
      <c r="J10" s="27">
        <f t="shared" si="1"/>
        <v>11</v>
      </c>
      <c r="K10" s="27" t="str">
        <f t="shared" si="3"/>
        <v>TUNTAS</v>
      </c>
      <c r="L10" s="4" t="str">
        <f t="shared" si="4"/>
        <v xml:space="preserve"> </v>
      </c>
      <c r="M10" s="1"/>
      <c r="N10" s="2">
        <f t="shared" si="5"/>
        <v>8.8000000000000007</v>
      </c>
    </row>
    <row r="11" spans="1:14" ht="15.95" customHeight="1" x14ac:dyDescent="0.25">
      <c r="A11" s="13">
        <v>4</v>
      </c>
      <c r="B11" s="9" t="s">
        <v>1342</v>
      </c>
      <c r="C11" s="10" t="s">
        <v>648</v>
      </c>
      <c r="D11" s="11" t="s">
        <v>19</v>
      </c>
      <c r="E11" s="27">
        <v>10</v>
      </c>
      <c r="F11" s="27">
        <v>12</v>
      </c>
      <c r="G11" s="27">
        <v>4</v>
      </c>
      <c r="H11" s="28">
        <f t="shared" si="2"/>
        <v>174</v>
      </c>
      <c r="I11" s="29">
        <f t="shared" si="0"/>
        <v>58</v>
      </c>
      <c r="J11" s="27">
        <f t="shared" si="1"/>
        <v>27</v>
      </c>
      <c r="K11" s="27" t="str">
        <f t="shared" si="3"/>
        <v>TIDAK TUNTAS</v>
      </c>
      <c r="L11" s="4" t="str">
        <f t="shared" si="4"/>
        <v xml:space="preserve"> </v>
      </c>
      <c r="M11" s="1"/>
      <c r="N11" s="2">
        <f t="shared" si="5"/>
        <v>5.8</v>
      </c>
    </row>
    <row r="12" spans="1:14" ht="15.95" customHeight="1" x14ac:dyDescent="0.25">
      <c r="A12" s="13">
        <v>5</v>
      </c>
      <c r="B12" s="9" t="s">
        <v>1344</v>
      </c>
      <c r="C12" s="10" t="s">
        <v>548</v>
      </c>
      <c r="D12" s="11" t="s">
        <v>22</v>
      </c>
      <c r="E12" s="27">
        <v>30</v>
      </c>
      <c r="F12" s="27">
        <v>30</v>
      </c>
      <c r="G12" s="27">
        <v>5</v>
      </c>
      <c r="H12" s="28">
        <f t="shared" si="2"/>
        <v>45</v>
      </c>
      <c r="I12" s="29">
        <f t="shared" si="0"/>
        <v>15</v>
      </c>
      <c r="J12" s="27">
        <f t="shared" si="1"/>
        <v>54</v>
      </c>
      <c r="K12" s="27" t="str">
        <f t="shared" si="3"/>
        <v>TIDAK TUNTAS</v>
      </c>
      <c r="L12" s="4" t="s">
        <v>3274</v>
      </c>
      <c r="M12" s="1"/>
      <c r="N12" s="2">
        <f t="shared" si="5"/>
        <v>1.5</v>
      </c>
    </row>
    <row r="13" spans="1:14" ht="15.95" customHeight="1" x14ac:dyDescent="0.25">
      <c r="A13" s="13">
        <v>6</v>
      </c>
      <c r="B13" s="9" t="s">
        <v>1346</v>
      </c>
      <c r="C13" s="10" t="s">
        <v>3212</v>
      </c>
      <c r="D13" s="11" t="s">
        <v>22</v>
      </c>
      <c r="E13" s="27">
        <v>30</v>
      </c>
      <c r="F13" s="27">
        <v>30</v>
      </c>
      <c r="G13" s="27">
        <v>5</v>
      </c>
      <c r="H13" s="28">
        <f t="shared" si="2"/>
        <v>45</v>
      </c>
      <c r="I13" s="29">
        <f t="shared" si="0"/>
        <v>15</v>
      </c>
      <c r="J13" s="27">
        <f t="shared" si="1"/>
        <v>54</v>
      </c>
      <c r="K13" s="27" t="str">
        <f t="shared" si="3"/>
        <v>TIDAK TUNTAS</v>
      </c>
      <c r="L13" s="4" t="s">
        <v>3274</v>
      </c>
      <c r="M13" s="1"/>
      <c r="N13" s="2">
        <f t="shared" si="5"/>
        <v>1.5</v>
      </c>
    </row>
    <row r="14" spans="1:14" ht="15.95" customHeight="1" x14ac:dyDescent="0.25">
      <c r="A14" s="13">
        <v>7</v>
      </c>
      <c r="B14" s="9" t="s">
        <v>1347</v>
      </c>
      <c r="C14" s="10" t="s">
        <v>255</v>
      </c>
      <c r="D14" s="11" t="s">
        <v>23</v>
      </c>
      <c r="E14" s="27">
        <v>10</v>
      </c>
      <c r="F14" s="27">
        <v>14</v>
      </c>
      <c r="G14" s="27">
        <v>5</v>
      </c>
      <c r="H14" s="28">
        <f t="shared" si="2"/>
        <v>153</v>
      </c>
      <c r="I14" s="29">
        <f t="shared" si="0"/>
        <v>51</v>
      </c>
      <c r="J14" s="27">
        <f t="shared" si="1"/>
        <v>36</v>
      </c>
      <c r="K14" s="27" t="str">
        <f t="shared" si="3"/>
        <v>TIDAK TUNTAS</v>
      </c>
      <c r="L14" s="4" t="str">
        <f t="shared" si="4"/>
        <v xml:space="preserve"> </v>
      </c>
      <c r="M14" s="1"/>
      <c r="N14" s="2">
        <f t="shared" si="5"/>
        <v>5.0999999999999996</v>
      </c>
    </row>
    <row r="15" spans="1:14" ht="15.95" customHeight="1" x14ac:dyDescent="0.25">
      <c r="A15" s="36">
        <v>8</v>
      </c>
      <c r="B15" s="37" t="s">
        <v>1348</v>
      </c>
      <c r="C15" s="38" t="s">
        <v>257</v>
      </c>
      <c r="D15" s="39" t="s">
        <v>24</v>
      </c>
      <c r="E15" s="27">
        <v>30</v>
      </c>
      <c r="F15" s="27">
        <v>30</v>
      </c>
      <c r="G15" s="27">
        <v>5</v>
      </c>
      <c r="H15" s="28">
        <f t="shared" si="2"/>
        <v>45</v>
      </c>
      <c r="I15" s="29">
        <f t="shared" si="0"/>
        <v>15</v>
      </c>
      <c r="J15" s="27">
        <f t="shared" si="1"/>
        <v>54</v>
      </c>
      <c r="K15" s="27" t="str">
        <f t="shared" si="3"/>
        <v>TIDAK TUNTAS</v>
      </c>
      <c r="L15" s="4" t="s">
        <v>3274</v>
      </c>
      <c r="M15" s="1"/>
      <c r="N15" s="2">
        <f t="shared" si="5"/>
        <v>1.5</v>
      </c>
    </row>
    <row r="16" spans="1:14" ht="15.95" customHeight="1" x14ac:dyDescent="0.25">
      <c r="A16" s="13">
        <v>9</v>
      </c>
      <c r="B16" s="9" t="s">
        <v>1350</v>
      </c>
      <c r="C16" s="10" t="s">
        <v>461</v>
      </c>
      <c r="D16" s="11" t="s">
        <v>124</v>
      </c>
      <c r="E16" s="27">
        <v>17</v>
      </c>
      <c r="F16" s="27">
        <v>9</v>
      </c>
      <c r="G16" s="27">
        <v>5</v>
      </c>
      <c r="H16" s="28">
        <f t="shared" si="2"/>
        <v>147</v>
      </c>
      <c r="I16" s="29">
        <f t="shared" si="0"/>
        <v>49</v>
      </c>
      <c r="J16" s="27">
        <f t="shared" si="1"/>
        <v>38</v>
      </c>
      <c r="K16" s="27" t="str">
        <f t="shared" si="3"/>
        <v>TIDAK TUNTAS</v>
      </c>
      <c r="L16" s="4" t="str">
        <f t="shared" si="4"/>
        <v xml:space="preserve"> </v>
      </c>
      <c r="M16" s="1"/>
      <c r="N16" s="2">
        <f t="shared" si="5"/>
        <v>4.9000000000000004</v>
      </c>
    </row>
    <row r="17" spans="1:14" ht="15.95" customHeight="1" x14ac:dyDescent="0.25">
      <c r="A17" s="13">
        <v>10</v>
      </c>
      <c r="B17" s="9" t="s">
        <v>1351</v>
      </c>
      <c r="C17" s="10" t="s">
        <v>164</v>
      </c>
      <c r="D17" s="11" t="s">
        <v>25</v>
      </c>
      <c r="E17" s="27">
        <v>2</v>
      </c>
      <c r="F17" s="27">
        <v>4</v>
      </c>
      <c r="G17" s="27">
        <v>1</v>
      </c>
      <c r="H17" s="28">
        <f t="shared" si="2"/>
        <v>267</v>
      </c>
      <c r="I17" s="29">
        <f t="shared" si="0"/>
        <v>89</v>
      </c>
      <c r="J17" s="27">
        <f t="shared" si="1"/>
        <v>9</v>
      </c>
      <c r="K17" s="27" t="str">
        <f t="shared" si="3"/>
        <v>TUNTAS</v>
      </c>
      <c r="L17" s="4" t="str">
        <f t="shared" si="4"/>
        <v xml:space="preserve"> </v>
      </c>
      <c r="M17" s="1"/>
      <c r="N17" s="2">
        <f t="shared" si="5"/>
        <v>8.9</v>
      </c>
    </row>
    <row r="18" spans="1:14" ht="15.95" customHeight="1" x14ac:dyDescent="0.25">
      <c r="A18" s="13">
        <v>11</v>
      </c>
      <c r="B18" s="9" t="s">
        <v>1353</v>
      </c>
      <c r="C18" s="17" t="s">
        <v>556</v>
      </c>
      <c r="D18" s="18" t="s">
        <v>101</v>
      </c>
      <c r="E18" s="27">
        <v>18</v>
      </c>
      <c r="F18" s="27">
        <v>20</v>
      </c>
      <c r="G18" s="27">
        <v>6</v>
      </c>
      <c r="H18" s="28">
        <f t="shared" si="2"/>
        <v>96</v>
      </c>
      <c r="I18" s="29">
        <f t="shared" si="0"/>
        <v>32</v>
      </c>
      <c r="J18" s="27">
        <f t="shared" si="1"/>
        <v>47</v>
      </c>
      <c r="K18" s="27" t="str">
        <f t="shared" si="3"/>
        <v>TIDAK TUNTAS</v>
      </c>
      <c r="L18" s="4" t="str">
        <f t="shared" si="4"/>
        <v>TM</v>
      </c>
      <c r="M18" s="1"/>
      <c r="N18" s="2">
        <f t="shared" si="5"/>
        <v>3.2</v>
      </c>
    </row>
    <row r="19" spans="1:14" ht="15.95" customHeight="1" x14ac:dyDescent="0.25">
      <c r="A19" s="13">
        <v>12</v>
      </c>
      <c r="B19" s="9" t="s">
        <v>1355</v>
      </c>
      <c r="C19" s="17" t="s">
        <v>759</v>
      </c>
      <c r="D19" s="18" t="s">
        <v>75</v>
      </c>
      <c r="E19" s="27">
        <v>4</v>
      </c>
      <c r="F19" s="27">
        <v>0</v>
      </c>
      <c r="G19" s="27">
        <v>0</v>
      </c>
      <c r="H19" s="28">
        <f t="shared" si="2"/>
        <v>288</v>
      </c>
      <c r="I19" s="29">
        <f t="shared" si="0"/>
        <v>96</v>
      </c>
      <c r="J19" s="27">
        <f t="shared" si="1"/>
        <v>4</v>
      </c>
      <c r="K19" s="27" t="str">
        <f t="shared" si="3"/>
        <v>TUNTAS</v>
      </c>
      <c r="L19" s="4" t="str">
        <f t="shared" si="4"/>
        <v xml:space="preserve"> </v>
      </c>
      <c r="M19" s="1"/>
      <c r="N19" s="2">
        <f t="shared" si="5"/>
        <v>9.6</v>
      </c>
    </row>
    <row r="20" spans="1:14" ht="15.95" customHeight="1" x14ac:dyDescent="0.25">
      <c r="A20" s="13">
        <v>13</v>
      </c>
      <c r="B20" s="9" t="s">
        <v>1357</v>
      </c>
      <c r="C20" s="10" t="s">
        <v>560</v>
      </c>
      <c r="D20" s="11" t="s">
        <v>28</v>
      </c>
      <c r="E20" s="27">
        <v>0</v>
      </c>
      <c r="F20" s="27">
        <v>0</v>
      </c>
      <c r="G20" s="27">
        <v>0</v>
      </c>
      <c r="H20" s="28">
        <f t="shared" si="2"/>
        <v>300</v>
      </c>
      <c r="I20" s="29">
        <f t="shared" si="0"/>
        <v>100</v>
      </c>
      <c r="J20" s="27">
        <f t="shared" si="1"/>
        <v>1</v>
      </c>
      <c r="K20" s="27" t="str">
        <f t="shared" si="3"/>
        <v>TUNTAS</v>
      </c>
      <c r="L20" s="4" t="str">
        <f t="shared" si="4"/>
        <v xml:space="preserve"> </v>
      </c>
      <c r="M20" s="1"/>
      <c r="N20" s="2">
        <f t="shared" si="5"/>
        <v>10</v>
      </c>
    </row>
    <row r="21" spans="1:14" ht="15.95" customHeight="1" x14ac:dyDescent="0.25">
      <c r="A21" s="13">
        <v>14</v>
      </c>
      <c r="B21" s="9" t="s">
        <v>1359</v>
      </c>
      <c r="C21" s="10" t="s">
        <v>469</v>
      </c>
      <c r="D21" s="11" t="s">
        <v>30</v>
      </c>
      <c r="E21" s="27">
        <v>7</v>
      </c>
      <c r="F21" s="27">
        <v>11</v>
      </c>
      <c r="G21" s="27">
        <v>4</v>
      </c>
      <c r="H21" s="28">
        <f t="shared" si="2"/>
        <v>186</v>
      </c>
      <c r="I21" s="29">
        <f t="shared" si="0"/>
        <v>62</v>
      </c>
      <c r="J21" s="27">
        <f t="shared" si="1"/>
        <v>25</v>
      </c>
      <c r="K21" s="27" t="str">
        <f t="shared" si="3"/>
        <v>TUNTAS</v>
      </c>
      <c r="L21" s="4" t="str">
        <f t="shared" si="4"/>
        <v xml:space="preserve"> </v>
      </c>
      <c r="M21" s="1"/>
      <c r="N21" s="2">
        <f t="shared" si="5"/>
        <v>6.2</v>
      </c>
    </row>
    <row r="22" spans="1:14" ht="15.95" customHeight="1" x14ac:dyDescent="0.25">
      <c r="A22" s="13">
        <v>15</v>
      </c>
      <c r="B22" s="9" t="s">
        <v>1360</v>
      </c>
      <c r="C22" s="10" t="s">
        <v>380</v>
      </c>
      <c r="D22" s="11" t="s">
        <v>91</v>
      </c>
      <c r="E22" s="27">
        <v>15</v>
      </c>
      <c r="F22" s="27">
        <v>17</v>
      </c>
      <c r="G22" s="27">
        <v>4</v>
      </c>
      <c r="H22" s="28">
        <f t="shared" si="2"/>
        <v>144</v>
      </c>
      <c r="I22" s="29">
        <f t="shared" si="0"/>
        <v>48</v>
      </c>
      <c r="J22" s="27">
        <f t="shared" si="1"/>
        <v>39</v>
      </c>
      <c r="K22" s="27" t="str">
        <f t="shared" si="3"/>
        <v>TIDAK TUNTAS</v>
      </c>
      <c r="L22" s="4" t="str">
        <f t="shared" si="4"/>
        <v xml:space="preserve"> </v>
      </c>
      <c r="M22" s="1"/>
      <c r="N22" s="2">
        <f t="shared" si="5"/>
        <v>4.8</v>
      </c>
    </row>
    <row r="23" spans="1:14" ht="15.95" customHeight="1" x14ac:dyDescent="0.25">
      <c r="A23" s="13">
        <v>16</v>
      </c>
      <c r="B23" s="9" t="s">
        <v>1362</v>
      </c>
      <c r="C23" s="10" t="s">
        <v>3213</v>
      </c>
      <c r="D23" s="11" t="s">
        <v>92</v>
      </c>
      <c r="E23" s="27">
        <v>25</v>
      </c>
      <c r="F23" s="27">
        <v>25</v>
      </c>
      <c r="G23" s="27">
        <v>5</v>
      </c>
      <c r="H23" s="28">
        <f t="shared" si="2"/>
        <v>75</v>
      </c>
      <c r="I23" s="29">
        <f t="shared" si="0"/>
        <v>25</v>
      </c>
      <c r="J23" s="27">
        <f t="shared" si="1"/>
        <v>51</v>
      </c>
      <c r="K23" s="27" t="str">
        <f t="shared" si="3"/>
        <v>TIDAK TUNTAS</v>
      </c>
      <c r="L23" s="4" t="str">
        <f t="shared" si="4"/>
        <v xml:space="preserve"> </v>
      </c>
      <c r="M23" s="1"/>
      <c r="N23" s="2">
        <f t="shared" si="5"/>
        <v>2.5</v>
      </c>
    </row>
    <row r="24" spans="1:14" ht="15.95" customHeight="1" x14ac:dyDescent="0.25">
      <c r="A24" s="13">
        <v>17</v>
      </c>
      <c r="B24" s="9" t="s">
        <v>1364</v>
      </c>
      <c r="C24" s="10" t="s">
        <v>274</v>
      </c>
      <c r="D24" s="11" t="s">
        <v>33</v>
      </c>
      <c r="E24" s="27">
        <v>25</v>
      </c>
      <c r="F24" s="27">
        <v>25</v>
      </c>
      <c r="G24" s="27">
        <v>5</v>
      </c>
      <c r="H24" s="28">
        <f t="shared" si="2"/>
        <v>75</v>
      </c>
      <c r="I24" s="29">
        <f t="shared" si="0"/>
        <v>25</v>
      </c>
      <c r="J24" s="27">
        <f t="shared" si="1"/>
        <v>51</v>
      </c>
      <c r="K24" s="27" t="str">
        <f t="shared" si="3"/>
        <v>TIDAK TUNTAS</v>
      </c>
      <c r="L24" s="4" t="str">
        <f t="shared" si="4"/>
        <v xml:space="preserve"> </v>
      </c>
      <c r="M24" s="1"/>
      <c r="N24" s="2">
        <f t="shared" si="5"/>
        <v>2.5</v>
      </c>
    </row>
    <row r="25" spans="1:14" ht="15.95" customHeight="1" x14ac:dyDescent="0.25">
      <c r="A25" s="30">
        <v>18</v>
      </c>
      <c r="B25" s="9" t="s">
        <v>1366</v>
      </c>
      <c r="C25" s="10" t="s">
        <v>767</v>
      </c>
      <c r="D25" s="11" t="s">
        <v>79</v>
      </c>
      <c r="E25" s="27">
        <v>20</v>
      </c>
      <c r="F25" s="27">
        <v>20</v>
      </c>
      <c r="G25" s="27">
        <v>5</v>
      </c>
      <c r="H25" s="28">
        <f t="shared" si="2"/>
        <v>105</v>
      </c>
      <c r="I25" s="29">
        <f t="shared" si="0"/>
        <v>35</v>
      </c>
      <c r="J25" s="27">
        <f t="shared" si="1"/>
        <v>45</v>
      </c>
      <c r="K25" s="27" t="str">
        <f t="shared" si="3"/>
        <v>TIDAK TUNTAS</v>
      </c>
      <c r="L25" s="4" t="str">
        <f t="shared" si="4"/>
        <v xml:space="preserve"> </v>
      </c>
      <c r="M25" s="1"/>
      <c r="N25" s="2">
        <f t="shared" si="5"/>
        <v>3.5</v>
      </c>
    </row>
    <row r="26" spans="1:14" ht="15.95" customHeight="1" x14ac:dyDescent="0.25">
      <c r="A26" s="13">
        <v>19</v>
      </c>
      <c r="B26" s="9" t="s">
        <v>1368</v>
      </c>
      <c r="C26" s="10" t="s">
        <v>276</v>
      </c>
      <c r="D26" s="11" t="s">
        <v>34</v>
      </c>
      <c r="E26" s="27">
        <v>5</v>
      </c>
      <c r="F26" s="27">
        <v>8</v>
      </c>
      <c r="G26" s="27">
        <v>2</v>
      </c>
      <c r="H26" s="28">
        <f t="shared" si="2"/>
        <v>231</v>
      </c>
      <c r="I26" s="29">
        <f t="shared" si="0"/>
        <v>77</v>
      </c>
      <c r="J26" s="27">
        <f t="shared" si="1"/>
        <v>17</v>
      </c>
      <c r="K26" s="27" t="str">
        <f t="shared" si="3"/>
        <v>TUNTAS</v>
      </c>
      <c r="L26" s="4" t="str">
        <f t="shared" si="4"/>
        <v xml:space="preserve"> </v>
      </c>
      <c r="M26" s="1"/>
      <c r="N26" s="2">
        <f t="shared" si="5"/>
        <v>7.7</v>
      </c>
    </row>
    <row r="27" spans="1:14" ht="15.95" customHeight="1" x14ac:dyDescent="0.25">
      <c r="A27" s="13">
        <v>20</v>
      </c>
      <c r="B27" s="9" t="s">
        <v>1370</v>
      </c>
      <c r="C27" s="10" t="s">
        <v>481</v>
      </c>
      <c r="D27" s="11" t="s">
        <v>35</v>
      </c>
      <c r="E27" s="27">
        <v>15</v>
      </c>
      <c r="F27" s="27">
        <v>13</v>
      </c>
      <c r="G27" s="27">
        <v>4</v>
      </c>
      <c r="H27" s="28">
        <f t="shared" si="2"/>
        <v>156</v>
      </c>
      <c r="I27" s="29">
        <f t="shared" si="0"/>
        <v>52</v>
      </c>
      <c r="J27" s="27">
        <f t="shared" si="1"/>
        <v>33</v>
      </c>
      <c r="K27" s="27" t="str">
        <f t="shared" si="3"/>
        <v>TIDAK TUNTAS</v>
      </c>
      <c r="L27" s="4" t="str">
        <f t="shared" si="4"/>
        <v xml:space="preserve"> </v>
      </c>
      <c r="M27" s="1"/>
      <c r="N27" s="2">
        <f t="shared" si="5"/>
        <v>5.2</v>
      </c>
    </row>
    <row r="28" spans="1:14" ht="15.95" customHeight="1" x14ac:dyDescent="0.25">
      <c r="A28" s="13">
        <v>21</v>
      </c>
      <c r="B28" s="9" t="s">
        <v>1372</v>
      </c>
      <c r="C28" s="10" t="s">
        <v>574</v>
      </c>
      <c r="D28" s="11" t="s">
        <v>93</v>
      </c>
      <c r="E28" s="27">
        <v>15</v>
      </c>
      <c r="F28" s="27">
        <v>19</v>
      </c>
      <c r="G28" s="27">
        <v>5</v>
      </c>
      <c r="H28" s="28">
        <f t="shared" si="2"/>
        <v>123</v>
      </c>
      <c r="I28" s="29">
        <f t="shared" si="0"/>
        <v>41</v>
      </c>
      <c r="J28" s="27">
        <f t="shared" si="1"/>
        <v>42</v>
      </c>
      <c r="K28" s="27" t="str">
        <f t="shared" si="3"/>
        <v>TIDAK TUNTAS</v>
      </c>
      <c r="L28" s="4" t="str">
        <f t="shared" si="4"/>
        <v xml:space="preserve"> </v>
      </c>
      <c r="M28" s="1"/>
      <c r="N28" s="2">
        <f t="shared" si="5"/>
        <v>4.0999999999999996</v>
      </c>
    </row>
    <row r="29" spans="1:14" ht="15.95" customHeight="1" x14ac:dyDescent="0.25">
      <c r="A29" s="13">
        <v>22</v>
      </c>
      <c r="B29" s="9" t="s">
        <v>3214</v>
      </c>
      <c r="C29" s="10" t="s">
        <v>485</v>
      </c>
      <c r="D29" s="11" t="s">
        <v>36</v>
      </c>
      <c r="E29" s="27">
        <v>4</v>
      </c>
      <c r="F29" s="27">
        <v>2</v>
      </c>
      <c r="G29" s="27">
        <v>1</v>
      </c>
      <c r="H29" s="28">
        <f t="shared" si="2"/>
        <v>267</v>
      </c>
      <c r="I29" s="29">
        <f t="shared" si="0"/>
        <v>89</v>
      </c>
      <c r="J29" s="27">
        <f t="shared" si="1"/>
        <v>9</v>
      </c>
      <c r="K29" s="27" t="str">
        <f t="shared" si="3"/>
        <v>TUNTAS</v>
      </c>
      <c r="L29" s="4" t="str">
        <f t="shared" si="4"/>
        <v xml:space="preserve"> </v>
      </c>
      <c r="M29" s="1"/>
      <c r="N29" s="2">
        <f t="shared" si="5"/>
        <v>8.9</v>
      </c>
    </row>
    <row r="30" spans="1:14" ht="15.95" customHeight="1" x14ac:dyDescent="0.25">
      <c r="A30" s="13">
        <v>23</v>
      </c>
      <c r="B30" s="9" t="s">
        <v>3215</v>
      </c>
      <c r="C30" s="10" t="s">
        <v>280</v>
      </c>
      <c r="D30" s="11" t="s">
        <v>37</v>
      </c>
      <c r="E30" s="27">
        <v>13</v>
      </c>
      <c r="F30" s="27">
        <v>18</v>
      </c>
      <c r="G30" s="27">
        <v>3</v>
      </c>
      <c r="H30" s="28">
        <f t="shared" si="2"/>
        <v>162</v>
      </c>
      <c r="I30" s="29">
        <f t="shared" si="0"/>
        <v>54</v>
      </c>
      <c r="J30" s="27">
        <f t="shared" si="1"/>
        <v>32</v>
      </c>
      <c r="K30" s="27" t="str">
        <f t="shared" si="3"/>
        <v>TIDAK TUNTAS</v>
      </c>
      <c r="L30" s="4" t="str">
        <f t="shared" si="4"/>
        <v xml:space="preserve"> </v>
      </c>
      <c r="M30" s="1"/>
      <c r="N30" s="2">
        <f t="shared" si="5"/>
        <v>5.4</v>
      </c>
    </row>
    <row r="31" spans="1:14" ht="15.95" customHeight="1" x14ac:dyDescent="0.25">
      <c r="A31" s="13">
        <v>24</v>
      </c>
      <c r="B31" s="9" t="s">
        <v>3216</v>
      </c>
      <c r="C31" s="10" t="s">
        <v>282</v>
      </c>
      <c r="D31" s="11" t="s">
        <v>105</v>
      </c>
      <c r="E31" s="27">
        <v>7</v>
      </c>
      <c r="F31" s="27">
        <v>1</v>
      </c>
      <c r="G31" s="27">
        <v>1</v>
      </c>
      <c r="H31" s="28">
        <f t="shared" si="2"/>
        <v>261</v>
      </c>
      <c r="I31" s="29">
        <f t="shared" si="0"/>
        <v>87</v>
      </c>
      <c r="J31" s="27">
        <f t="shared" si="1"/>
        <v>13</v>
      </c>
      <c r="K31" s="27" t="str">
        <f t="shared" si="3"/>
        <v>TUNTAS</v>
      </c>
      <c r="L31" s="4" t="str">
        <f t="shared" si="4"/>
        <v xml:space="preserve"> </v>
      </c>
      <c r="M31" s="1"/>
      <c r="N31" s="2">
        <f t="shared" si="5"/>
        <v>8.6999999999999993</v>
      </c>
    </row>
    <row r="32" spans="1:14" ht="15.95" customHeight="1" x14ac:dyDescent="0.25">
      <c r="A32" s="13">
        <v>25</v>
      </c>
      <c r="B32" s="9" t="s">
        <v>3217</v>
      </c>
      <c r="C32" s="10" t="s">
        <v>688</v>
      </c>
      <c r="D32" s="11" t="s">
        <v>41</v>
      </c>
      <c r="E32" s="27">
        <v>15</v>
      </c>
      <c r="F32" s="27">
        <v>13</v>
      </c>
      <c r="G32" s="27">
        <v>3</v>
      </c>
      <c r="H32" s="28">
        <f t="shared" si="2"/>
        <v>171</v>
      </c>
      <c r="I32" s="29">
        <f t="shared" si="0"/>
        <v>57</v>
      </c>
      <c r="J32" s="27">
        <f t="shared" si="1"/>
        <v>30</v>
      </c>
      <c r="K32" s="27" t="str">
        <f t="shared" si="3"/>
        <v>TIDAK TUNTAS</v>
      </c>
      <c r="L32" s="4" t="str">
        <f t="shared" si="4"/>
        <v xml:space="preserve"> </v>
      </c>
      <c r="M32" s="1"/>
      <c r="N32" s="2">
        <f t="shared" si="5"/>
        <v>5.7</v>
      </c>
    </row>
    <row r="33" spans="1:14" ht="15.95" customHeight="1" x14ac:dyDescent="0.25">
      <c r="A33" s="13">
        <v>26</v>
      </c>
      <c r="B33" s="9" t="s">
        <v>3218</v>
      </c>
      <c r="C33" s="10" t="s">
        <v>690</v>
      </c>
      <c r="D33" s="11" t="s">
        <v>106</v>
      </c>
      <c r="E33" s="27">
        <v>5</v>
      </c>
      <c r="F33" s="27">
        <v>2</v>
      </c>
      <c r="G33" s="27">
        <v>1</v>
      </c>
      <c r="H33" s="28">
        <f t="shared" si="2"/>
        <v>264</v>
      </c>
      <c r="I33" s="29">
        <f t="shared" si="0"/>
        <v>88</v>
      </c>
      <c r="J33" s="27">
        <f t="shared" si="1"/>
        <v>11</v>
      </c>
      <c r="K33" s="27" t="str">
        <f t="shared" si="3"/>
        <v>TUNTAS</v>
      </c>
      <c r="L33" s="4" t="str">
        <f t="shared" si="4"/>
        <v xml:space="preserve"> </v>
      </c>
      <c r="M33" s="1"/>
      <c r="N33" s="2">
        <f t="shared" si="5"/>
        <v>8.8000000000000007</v>
      </c>
    </row>
    <row r="34" spans="1:14" ht="15.95" customHeight="1" x14ac:dyDescent="0.25">
      <c r="A34" s="13">
        <v>27</v>
      </c>
      <c r="B34" s="9" t="s">
        <v>3219</v>
      </c>
      <c r="C34" s="10" t="s">
        <v>402</v>
      </c>
      <c r="D34" s="11" t="s">
        <v>82</v>
      </c>
      <c r="E34" s="27">
        <v>7</v>
      </c>
      <c r="F34" s="27">
        <v>3</v>
      </c>
      <c r="G34" s="27">
        <v>4</v>
      </c>
      <c r="H34" s="28">
        <f t="shared" si="2"/>
        <v>210</v>
      </c>
      <c r="I34" s="29">
        <f t="shared" si="0"/>
        <v>70</v>
      </c>
      <c r="J34" s="27">
        <f t="shared" si="1"/>
        <v>22</v>
      </c>
      <c r="K34" s="27" t="str">
        <f t="shared" si="3"/>
        <v>TUNTAS</v>
      </c>
      <c r="L34" s="4" t="str">
        <f t="shared" si="4"/>
        <v xml:space="preserve"> </v>
      </c>
      <c r="M34" s="1"/>
      <c r="N34" s="2">
        <f t="shared" si="5"/>
        <v>7</v>
      </c>
    </row>
    <row r="35" spans="1:14" ht="15.95" customHeight="1" x14ac:dyDescent="0.25">
      <c r="A35" s="13">
        <v>28</v>
      </c>
      <c r="B35" s="9" t="s">
        <v>3220</v>
      </c>
      <c r="C35" s="10" t="s">
        <v>981</v>
      </c>
      <c r="D35" s="11" t="s">
        <v>83</v>
      </c>
      <c r="E35" s="27">
        <v>32</v>
      </c>
      <c r="F35" s="27">
        <v>32</v>
      </c>
      <c r="G35" s="27">
        <v>5</v>
      </c>
      <c r="H35" s="28">
        <f t="shared" si="2"/>
        <v>33</v>
      </c>
      <c r="I35" s="29">
        <f t="shared" si="0"/>
        <v>11</v>
      </c>
      <c r="J35" s="27">
        <f t="shared" si="1"/>
        <v>58</v>
      </c>
      <c r="K35" s="27" t="str">
        <f t="shared" si="3"/>
        <v>TIDAK HADIR</v>
      </c>
      <c r="L35" s="4" t="s">
        <v>3265</v>
      </c>
      <c r="M35" s="1"/>
      <c r="N35" s="2">
        <f t="shared" si="5"/>
        <v>1.1000000000000001</v>
      </c>
    </row>
    <row r="36" spans="1:14" ht="15.95" customHeight="1" x14ac:dyDescent="0.25">
      <c r="A36" s="13">
        <v>29</v>
      </c>
      <c r="B36" s="9" t="s">
        <v>3221</v>
      </c>
      <c r="C36" s="10" t="s">
        <v>192</v>
      </c>
      <c r="D36" s="11" t="s">
        <v>135</v>
      </c>
      <c r="E36" s="27">
        <v>17</v>
      </c>
      <c r="F36" s="27">
        <v>18</v>
      </c>
      <c r="G36" s="27">
        <v>4</v>
      </c>
      <c r="H36" s="28">
        <f t="shared" si="2"/>
        <v>135</v>
      </c>
      <c r="I36" s="29">
        <f t="shared" si="0"/>
        <v>45</v>
      </c>
      <c r="J36" s="27">
        <f t="shared" si="1"/>
        <v>40</v>
      </c>
      <c r="K36" s="27" t="str">
        <f t="shared" si="3"/>
        <v>TIDAK TUNTAS</v>
      </c>
      <c r="L36" s="4" t="str">
        <f t="shared" si="4"/>
        <v xml:space="preserve"> </v>
      </c>
      <c r="M36" s="1"/>
      <c r="N36" s="2">
        <f t="shared" si="5"/>
        <v>4.5</v>
      </c>
    </row>
    <row r="37" spans="1:14" ht="15.95" customHeight="1" x14ac:dyDescent="0.25">
      <c r="A37" s="13">
        <v>30</v>
      </c>
      <c r="B37" s="9" t="s">
        <v>3222</v>
      </c>
      <c r="C37" s="10" t="s">
        <v>3223</v>
      </c>
      <c r="D37" s="11" t="s">
        <v>116</v>
      </c>
      <c r="E37" s="27">
        <v>7</v>
      </c>
      <c r="F37" s="27">
        <v>21</v>
      </c>
      <c r="G37" s="27">
        <v>4</v>
      </c>
      <c r="H37" s="28">
        <f t="shared" si="2"/>
        <v>156</v>
      </c>
      <c r="I37" s="29">
        <f t="shared" si="0"/>
        <v>52</v>
      </c>
      <c r="J37" s="27">
        <f t="shared" si="1"/>
        <v>33</v>
      </c>
      <c r="K37" s="27" t="str">
        <f t="shared" si="3"/>
        <v>TIDAK TUNTAS</v>
      </c>
      <c r="L37" s="4" t="str">
        <f t="shared" si="4"/>
        <v xml:space="preserve"> </v>
      </c>
      <c r="M37" s="1"/>
      <c r="N37" s="2">
        <f t="shared" si="5"/>
        <v>5.2</v>
      </c>
    </row>
    <row r="38" spans="1:14" ht="15.95" customHeight="1" x14ac:dyDescent="0.25">
      <c r="A38" s="13">
        <v>31</v>
      </c>
      <c r="B38" s="9" t="s">
        <v>3224</v>
      </c>
      <c r="C38" s="10" t="s">
        <v>3225</v>
      </c>
      <c r="D38" s="11" t="s">
        <v>128</v>
      </c>
      <c r="E38" s="27">
        <v>1</v>
      </c>
      <c r="F38" s="27">
        <v>3</v>
      </c>
      <c r="G38" s="27">
        <v>1</v>
      </c>
      <c r="H38" s="28">
        <f t="shared" si="2"/>
        <v>273</v>
      </c>
      <c r="I38" s="29">
        <f t="shared" si="0"/>
        <v>91</v>
      </c>
      <c r="J38" s="27">
        <f t="shared" si="1"/>
        <v>8</v>
      </c>
      <c r="K38" s="27" t="str">
        <f t="shared" si="3"/>
        <v>TUNTAS</v>
      </c>
      <c r="L38" s="4" t="str">
        <f t="shared" si="4"/>
        <v xml:space="preserve"> </v>
      </c>
      <c r="M38" s="1"/>
      <c r="N38" s="2">
        <f t="shared" si="5"/>
        <v>9.1</v>
      </c>
    </row>
    <row r="39" spans="1:14" ht="15.95" customHeight="1" x14ac:dyDescent="0.25">
      <c r="A39" s="13">
        <v>32</v>
      </c>
      <c r="B39" s="9" t="s">
        <v>3226</v>
      </c>
      <c r="C39" s="10" t="s">
        <v>790</v>
      </c>
      <c r="D39" s="11" t="s">
        <v>46</v>
      </c>
      <c r="E39" s="27">
        <v>10</v>
      </c>
      <c r="F39" s="27">
        <v>3</v>
      </c>
      <c r="G39" s="27">
        <v>4</v>
      </c>
      <c r="H39" s="28">
        <f t="shared" si="2"/>
        <v>201</v>
      </c>
      <c r="I39" s="29">
        <f t="shared" si="0"/>
        <v>67</v>
      </c>
      <c r="J39" s="27">
        <f t="shared" si="1"/>
        <v>23</v>
      </c>
      <c r="K39" s="27" t="str">
        <f t="shared" si="3"/>
        <v>TUNTAS</v>
      </c>
      <c r="L39" s="4" t="str">
        <f t="shared" si="4"/>
        <v xml:space="preserve"> </v>
      </c>
      <c r="M39" s="1"/>
      <c r="N39" s="2">
        <f t="shared" si="5"/>
        <v>6.7</v>
      </c>
    </row>
    <row r="40" spans="1:14" ht="15.95" customHeight="1" x14ac:dyDescent="0.25">
      <c r="A40" s="13">
        <v>33</v>
      </c>
      <c r="B40" s="9" t="s">
        <v>3227</v>
      </c>
      <c r="C40" s="10" t="s">
        <v>699</v>
      </c>
      <c r="D40" s="11" t="s">
        <v>107</v>
      </c>
      <c r="E40" s="27">
        <v>6</v>
      </c>
      <c r="F40" s="27">
        <v>7</v>
      </c>
      <c r="G40" s="27">
        <v>3</v>
      </c>
      <c r="H40" s="28">
        <f t="shared" si="2"/>
        <v>216</v>
      </c>
      <c r="I40" s="29">
        <f t="shared" si="0"/>
        <v>72</v>
      </c>
      <c r="J40" s="27">
        <f t="shared" si="1"/>
        <v>20</v>
      </c>
      <c r="K40" s="27" t="str">
        <f t="shared" si="3"/>
        <v>TUNTAS</v>
      </c>
      <c r="L40" s="4" t="str">
        <f t="shared" si="4"/>
        <v xml:space="preserve"> </v>
      </c>
      <c r="M40" s="1"/>
      <c r="N40" s="2">
        <f t="shared" si="5"/>
        <v>7.2</v>
      </c>
    </row>
    <row r="41" spans="1:14" ht="15.95" customHeight="1" x14ac:dyDescent="0.25">
      <c r="A41" s="13">
        <v>34</v>
      </c>
      <c r="B41" s="9" t="s">
        <v>3228</v>
      </c>
      <c r="C41" s="10" t="s">
        <v>3229</v>
      </c>
      <c r="D41" s="11" t="s">
        <v>48</v>
      </c>
      <c r="E41" s="27">
        <v>2</v>
      </c>
      <c r="F41" s="27">
        <v>0</v>
      </c>
      <c r="G41" s="27">
        <v>0</v>
      </c>
      <c r="H41" s="28">
        <f t="shared" si="2"/>
        <v>294</v>
      </c>
      <c r="I41" s="29">
        <f t="shared" si="0"/>
        <v>98</v>
      </c>
      <c r="J41" s="27">
        <f t="shared" si="1"/>
        <v>2</v>
      </c>
      <c r="K41" s="27" t="str">
        <f t="shared" si="3"/>
        <v>TUNTAS</v>
      </c>
      <c r="L41" s="4" t="str">
        <f t="shared" si="4"/>
        <v xml:space="preserve"> </v>
      </c>
      <c r="M41" s="1"/>
      <c r="N41" s="2">
        <f t="shared" si="5"/>
        <v>9.8000000000000007</v>
      </c>
    </row>
    <row r="42" spans="1:14" ht="15.95" customHeight="1" x14ac:dyDescent="0.25">
      <c r="A42" s="13">
        <v>35</v>
      </c>
      <c r="B42" s="9" t="s">
        <v>3230</v>
      </c>
      <c r="C42" s="10" t="s">
        <v>498</v>
      </c>
      <c r="D42" s="11" t="s">
        <v>108</v>
      </c>
      <c r="E42" s="27">
        <v>22</v>
      </c>
      <c r="F42" s="27">
        <v>20</v>
      </c>
      <c r="G42" s="27">
        <v>6</v>
      </c>
      <c r="H42" s="28">
        <f t="shared" si="2"/>
        <v>84</v>
      </c>
      <c r="I42" s="29">
        <f t="shared" si="0"/>
        <v>28</v>
      </c>
      <c r="J42" s="27">
        <f t="shared" si="1"/>
        <v>50</v>
      </c>
      <c r="K42" s="27" t="str">
        <f t="shared" si="3"/>
        <v>TIDAK TUNTAS</v>
      </c>
      <c r="L42" s="4" t="str">
        <f t="shared" si="4"/>
        <v>TM</v>
      </c>
      <c r="M42" s="1"/>
      <c r="N42" s="2">
        <f t="shared" si="5"/>
        <v>2.8</v>
      </c>
    </row>
    <row r="43" spans="1:14" ht="15.95" customHeight="1" x14ac:dyDescent="0.25">
      <c r="A43" s="13">
        <v>36</v>
      </c>
      <c r="B43" s="9" t="s">
        <v>3231</v>
      </c>
      <c r="C43" s="10" t="s">
        <v>203</v>
      </c>
      <c r="D43" s="11" t="s">
        <v>49</v>
      </c>
      <c r="E43" s="27">
        <v>8</v>
      </c>
      <c r="F43" s="27">
        <v>7</v>
      </c>
      <c r="G43" s="27">
        <v>2</v>
      </c>
      <c r="H43" s="28">
        <f t="shared" si="2"/>
        <v>225</v>
      </c>
      <c r="I43" s="29">
        <f t="shared" si="0"/>
        <v>75</v>
      </c>
      <c r="J43" s="27">
        <f t="shared" si="1"/>
        <v>19</v>
      </c>
      <c r="K43" s="27" t="str">
        <f t="shared" si="3"/>
        <v>TUNTAS</v>
      </c>
      <c r="L43" s="4" t="str">
        <f t="shared" si="4"/>
        <v xml:space="preserve"> </v>
      </c>
      <c r="M43" s="1"/>
      <c r="N43" s="2">
        <f t="shared" si="5"/>
        <v>7.5</v>
      </c>
    </row>
    <row r="44" spans="1:14" ht="15.95" customHeight="1" x14ac:dyDescent="0.25">
      <c r="A44" s="13">
        <v>37</v>
      </c>
      <c r="B44" s="9" t="s">
        <v>3232</v>
      </c>
      <c r="C44" s="10" t="s">
        <v>310</v>
      </c>
      <c r="D44" s="11" t="s">
        <v>52</v>
      </c>
      <c r="E44" s="27">
        <v>2</v>
      </c>
      <c r="F44" s="27">
        <v>2</v>
      </c>
      <c r="G44" s="27">
        <v>0</v>
      </c>
      <c r="H44" s="28">
        <f t="shared" si="2"/>
        <v>288</v>
      </c>
      <c r="I44" s="29">
        <f t="shared" si="0"/>
        <v>96</v>
      </c>
      <c r="J44" s="27">
        <f t="shared" si="1"/>
        <v>4</v>
      </c>
      <c r="K44" s="27" t="str">
        <f t="shared" si="3"/>
        <v>TUNTAS</v>
      </c>
      <c r="L44" s="4" t="str">
        <f t="shared" si="4"/>
        <v xml:space="preserve"> </v>
      </c>
      <c r="M44" s="1"/>
      <c r="N44" s="2">
        <f t="shared" si="5"/>
        <v>9.6</v>
      </c>
    </row>
    <row r="45" spans="1:14" ht="15.95" customHeight="1" x14ac:dyDescent="0.25">
      <c r="A45" s="13">
        <v>38</v>
      </c>
      <c r="B45" s="9" t="s">
        <v>3233</v>
      </c>
      <c r="C45" s="10" t="s">
        <v>416</v>
      </c>
      <c r="D45" s="11" t="s">
        <v>118</v>
      </c>
      <c r="E45" s="27">
        <v>10</v>
      </c>
      <c r="F45" s="27">
        <v>8</v>
      </c>
      <c r="G45" s="27">
        <v>3</v>
      </c>
      <c r="H45" s="28">
        <f t="shared" si="2"/>
        <v>201</v>
      </c>
      <c r="I45" s="29">
        <f t="shared" si="0"/>
        <v>67</v>
      </c>
      <c r="J45" s="27">
        <f t="shared" si="1"/>
        <v>23</v>
      </c>
      <c r="K45" s="27" t="str">
        <f t="shared" si="3"/>
        <v>TUNTAS</v>
      </c>
      <c r="L45" s="4" t="str">
        <f t="shared" si="4"/>
        <v xml:space="preserve"> </v>
      </c>
      <c r="M45" s="1"/>
      <c r="N45" s="2">
        <f t="shared" si="5"/>
        <v>6.7</v>
      </c>
    </row>
    <row r="46" spans="1:14" ht="15.95" customHeight="1" x14ac:dyDescent="0.25">
      <c r="A46" s="13">
        <v>39</v>
      </c>
      <c r="B46" s="9" t="s">
        <v>3234</v>
      </c>
      <c r="C46" s="10" t="s">
        <v>800</v>
      </c>
      <c r="D46" s="11" t="s">
        <v>54</v>
      </c>
      <c r="E46" s="27">
        <v>11</v>
      </c>
      <c r="F46" s="27">
        <v>8</v>
      </c>
      <c r="G46" s="27">
        <v>2</v>
      </c>
      <c r="H46" s="28">
        <f t="shared" si="2"/>
        <v>213</v>
      </c>
      <c r="I46" s="29">
        <f t="shared" si="0"/>
        <v>71</v>
      </c>
      <c r="J46" s="27">
        <f t="shared" si="1"/>
        <v>21</v>
      </c>
      <c r="K46" s="27" t="str">
        <f t="shared" si="3"/>
        <v>TUNTAS</v>
      </c>
      <c r="L46" s="4" t="str">
        <f t="shared" si="4"/>
        <v xml:space="preserve"> </v>
      </c>
      <c r="M46" s="1"/>
      <c r="N46" s="2">
        <f t="shared" si="5"/>
        <v>7.1</v>
      </c>
    </row>
    <row r="47" spans="1:14" ht="15.95" customHeight="1" x14ac:dyDescent="0.25">
      <c r="A47" s="13">
        <v>40</v>
      </c>
      <c r="B47" s="9" t="s">
        <v>3235</v>
      </c>
      <c r="C47" s="10" t="s">
        <v>316</v>
      </c>
      <c r="D47" s="11" t="s">
        <v>55</v>
      </c>
      <c r="E47" s="27">
        <v>32</v>
      </c>
      <c r="F47" s="27">
        <v>32</v>
      </c>
      <c r="G47" s="27">
        <v>5</v>
      </c>
      <c r="H47" s="28">
        <f t="shared" si="2"/>
        <v>33</v>
      </c>
      <c r="I47" s="29">
        <f t="shared" si="0"/>
        <v>11</v>
      </c>
      <c r="J47" s="27">
        <f t="shared" si="1"/>
        <v>58</v>
      </c>
      <c r="K47" s="27" t="str">
        <f t="shared" si="3"/>
        <v>TIDAK HADIR</v>
      </c>
      <c r="L47" s="4" t="s">
        <v>3264</v>
      </c>
      <c r="M47" s="1"/>
      <c r="N47" s="2">
        <f t="shared" si="5"/>
        <v>1.1000000000000001</v>
      </c>
    </row>
    <row r="48" spans="1:14" ht="15.95" customHeight="1" x14ac:dyDescent="0.25">
      <c r="A48" s="13">
        <v>41</v>
      </c>
      <c r="B48" s="9" t="s">
        <v>3236</v>
      </c>
      <c r="C48" s="10" t="s">
        <v>525</v>
      </c>
      <c r="D48" s="11" t="s">
        <v>138</v>
      </c>
      <c r="E48" s="27">
        <v>2</v>
      </c>
      <c r="F48" s="27">
        <v>0</v>
      </c>
      <c r="G48" s="27">
        <v>0</v>
      </c>
      <c r="H48" s="28">
        <f t="shared" si="2"/>
        <v>294</v>
      </c>
      <c r="I48" s="29">
        <f t="shared" si="0"/>
        <v>98</v>
      </c>
      <c r="J48" s="27">
        <f t="shared" si="1"/>
        <v>2</v>
      </c>
      <c r="K48" s="27" t="str">
        <f t="shared" si="3"/>
        <v>TUNTAS</v>
      </c>
      <c r="L48" s="4" t="str">
        <f t="shared" si="4"/>
        <v xml:space="preserve"> </v>
      </c>
      <c r="M48" s="1"/>
      <c r="N48" s="2">
        <f t="shared" si="5"/>
        <v>9.8000000000000007</v>
      </c>
    </row>
    <row r="49" spans="1:14" ht="15.95" customHeight="1" x14ac:dyDescent="0.25">
      <c r="A49" s="13">
        <v>42</v>
      </c>
      <c r="B49" s="9" t="s">
        <v>3237</v>
      </c>
      <c r="C49" s="10" t="s">
        <v>3238</v>
      </c>
      <c r="D49" s="11" t="s">
        <v>129</v>
      </c>
      <c r="E49" s="27">
        <v>27</v>
      </c>
      <c r="F49" s="27">
        <v>26</v>
      </c>
      <c r="G49" s="27">
        <v>6</v>
      </c>
      <c r="H49" s="28">
        <f t="shared" si="2"/>
        <v>51</v>
      </c>
      <c r="I49" s="29">
        <f t="shared" si="0"/>
        <v>17</v>
      </c>
      <c r="J49" s="27">
        <f t="shared" si="1"/>
        <v>53</v>
      </c>
      <c r="K49" s="27" t="str">
        <f t="shared" si="3"/>
        <v>TIDAK TUNTAS</v>
      </c>
      <c r="L49" s="4" t="str">
        <f t="shared" si="4"/>
        <v>TM</v>
      </c>
      <c r="M49" s="1"/>
      <c r="N49" s="2">
        <f t="shared" si="5"/>
        <v>1.7</v>
      </c>
    </row>
    <row r="50" spans="1:14" ht="15.95" customHeight="1" x14ac:dyDescent="0.25">
      <c r="A50" s="13">
        <v>43</v>
      </c>
      <c r="B50" s="9" t="s">
        <v>3239</v>
      </c>
      <c r="C50" s="10" t="s">
        <v>320</v>
      </c>
      <c r="D50" s="11" t="s">
        <v>57</v>
      </c>
      <c r="E50" s="27">
        <v>20</v>
      </c>
      <c r="F50" s="27">
        <v>20</v>
      </c>
      <c r="G50" s="27">
        <v>6</v>
      </c>
      <c r="H50" s="28">
        <f t="shared" si="2"/>
        <v>90</v>
      </c>
      <c r="I50" s="29">
        <f t="shared" si="0"/>
        <v>30</v>
      </c>
      <c r="J50" s="27">
        <f t="shared" si="1"/>
        <v>48</v>
      </c>
      <c r="K50" s="27" t="str">
        <f t="shared" si="3"/>
        <v>TIDAK TUNTAS</v>
      </c>
      <c r="L50" s="4" t="str">
        <f t="shared" si="4"/>
        <v>TM</v>
      </c>
      <c r="M50" s="1"/>
      <c r="N50" s="2">
        <f t="shared" si="5"/>
        <v>3</v>
      </c>
    </row>
    <row r="51" spans="1:14" ht="15.95" customHeight="1" x14ac:dyDescent="0.25">
      <c r="A51" s="13">
        <v>44</v>
      </c>
      <c r="B51" s="9" t="s">
        <v>3240</v>
      </c>
      <c r="C51" s="10" t="s">
        <v>426</v>
      </c>
      <c r="D51" s="11" t="s">
        <v>58</v>
      </c>
      <c r="E51" s="27">
        <v>19</v>
      </c>
      <c r="F51" s="27">
        <v>15</v>
      </c>
      <c r="G51" s="27">
        <v>6</v>
      </c>
      <c r="H51" s="28">
        <f t="shared" si="2"/>
        <v>108</v>
      </c>
      <c r="I51" s="29">
        <f t="shared" si="0"/>
        <v>36</v>
      </c>
      <c r="J51" s="27">
        <f t="shared" si="1"/>
        <v>44</v>
      </c>
      <c r="K51" s="27" t="str">
        <f t="shared" si="3"/>
        <v>TIDAK TUNTAS</v>
      </c>
      <c r="L51" s="4" t="str">
        <f t="shared" si="4"/>
        <v>TM</v>
      </c>
      <c r="M51" s="1"/>
      <c r="N51" s="2">
        <f t="shared" si="5"/>
        <v>3.6</v>
      </c>
    </row>
    <row r="52" spans="1:14" ht="15.95" customHeight="1" x14ac:dyDescent="0.25">
      <c r="A52" s="13">
        <v>45</v>
      </c>
      <c r="B52" s="9" t="s">
        <v>3241</v>
      </c>
      <c r="C52" s="10" t="s">
        <v>324</v>
      </c>
      <c r="D52" s="11" t="s">
        <v>97</v>
      </c>
      <c r="E52" s="27">
        <v>20</v>
      </c>
      <c r="F52" s="27">
        <v>20</v>
      </c>
      <c r="G52" s="27">
        <v>6</v>
      </c>
      <c r="H52" s="28">
        <f t="shared" si="2"/>
        <v>90</v>
      </c>
      <c r="I52" s="29">
        <f t="shared" si="0"/>
        <v>30</v>
      </c>
      <c r="J52" s="27">
        <f t="shared" si="1"/>
        <v>48</v>
      </c>
      <c r="K52" s="27" t="str">
        <f t="shared" si="3"/>
        <v>TIDAK TUNTAS</v>
      </c>
      <c r="L52" s="4" t="str">
        <f t="shared" si="4"/>
        <v>TM</v>
      </c>
      <c r="M52" s="1"/>
      <c r="N52" s="2">
        <f t="shared" si="5"/>
        <v>3</v>
      </c>
    </row>
    <row r="53" spans="1:14" ht="15.95" customHeight="1" x14ac:dyDescent="0.25">
      <c r="A53" s="13">
        <v>46</v>
      </c>
      <c r="B53" s="9" t="s">
        <v>3242</v>
      </c>
      <c r="C53" s="10" t="s">
        <v>430</v>
      </c>
      <c r="D53" s="11" t="s">
        <v>327</v>
      </c>
      <c r="E53" s="27">
        <v>18</v>
      </c>
      <c r="F53" s="27">
        <v>20</v>
      </c>
      <c r="G53" s="27">
        <v>5</v>
      </c>
      <c r="H53" s="28">
        <f t="shared" si="2"/>
        <v>111</v>
      </c>
      <c r="I53" s="29">
        <f t="shared" si="0"/>
        <v>37</v>
      </c>
      <c r="J53" s="27">
        <f t="shared" si="1"/>
        <v>43</v>
      </c>
      <c r="K53" s="27" t="str">
        <f t="shared" si="3"/>
        <v>TIDAK TUNTAS</v>
      </c>
      <c r="L53" s="4" t="str">
        <f t="shared" si="4"/>
        <v xml:space="preserve"> </v>
      </c>
      <c r="M53" s="1"/>
      <c r="N53" s="2">
        <f t="shared" si="5"/>
        <v>3.7</v>
      </c>
    </row>
    <row r="54" spans="1:14" x14ac:dyDescent="0.25">
      <c r="A54" s="13">
        <v>47</v>
      </c>
      <c r="B54" s="9" t="s">
        <v>3243</v>
      </c>
      <c r="C54" s="10" t="s">
        <v>326</v>
      </c>
      <c r="D54" s="11" t="s">
        <v>327</v>
      </c>
      <c r="E54" s="27">
        <v>2</v>
      </c>
      <c r="F54" s="27">
        <v>0</v>
      </c>
      <c r="G54" s="27">
        <v>1</v>
      </c>
      <c r="H54" s="28">
        <f t="shared" si="2"/>
        <v>279</v>
      </c>
      <c r="I54" s="29">
        <f t="shared" si="0"/>
        <v>93</v>
      </c>
      <c r="J54" s="27">
        <f t="shared" si="1"/>
        <v>7</v>
      </c>
      <c r="K54" s="27" t="str">
        <f t="shared" si="3"/>
        <v>TUNTAS</v>
      </c>
      <c r="L54" s="4" t="str">
        <f t="shared" si="4"/>
        <v xml:space="preserve"> </v>
      </c>
      <c r="M54" s="1"/>
      <c r="N54" s="2">
        <f t="shared" si="5"/>
        <v>9.3000000000000007</v>
      </c>
    </row>
    <row r="55" spans="1:14" x14ac:dyDescent="0.25">
      <c r="A55" s="13">
        <v>48</v>
      </c>
      <c r="B55" s="9" t="s">
        <v>3244</v>
      </c>
      <c r="C55" s="10" t="s">
        <v>716</v>
      </c>
      <c r="D55" s="11" t="s">
        <v>63</v>
      </c>
      <c r="E55" s="27">
        <v>3</v>
      </c>
      <c r="F55" s="27">
        <v>0</v>
      </c>
      <c r="G55" s="27">
        <v>3</v>
      </c>
      <c r="H55" s="28">
        <f t="shared" si="2"/>
        <v>246</v>
      </c>
      <c r="I55" s="29">
        <f t="shared" si="0"/>
        <v>82</v>
      </c>
      <c r="J55" s="27">
        <f t="shared" si="1"/>
        <v>15</v>
      </c>
      <c r="K55" s="27" t="str">
        <f t="shared" si="3"/>
        <v>TUNTAS</v>
      </c>
      <c r="L55" s="4" t="str">
        <f t="shared" si="4"/>
        <v xml:space="preserve"> </v>
      </c>
      <c r="M55" s="1"/>
      <c r="N55" s="2">
        <f t="shared" si="5"/>
        <v>8.1999999999999993</v>
      </c>
    </row>
    <row r="56" spans="1:14" x14ac:dyDescent="0.25">
      <c r="A56" s="13">
        <v>49</v>
      </c>
      <c r="B56" s="9" t="s">
        <v>3245</v>
      </c>
      <c r="C56" s="10" t="s">
        <v>331</v>
      </c>
      <c r="D56" s="11" t="s">
        <v>64</v>
      </c>
      <c r="E56" s="27">
        <v>8</v>
      </c>
      <c r="F56" s="27">
        <v>15</v>
      </c>
      <c r="G56" s="27">
        <v>5</v>
      </c>
      <c r="H56" s="28">
        <f t="shared" si="2"/>
        <v>156</v>
      </c>
      <c r="I56" s="29">
        <f t="shared" si="0"/>
        <v>52</v>
      </c>
      <c r="J56" s="27">
        <f t="shared" si="1"/>
        <v>33</v>
      </c>
      <c r="K56" s="27" t="str">
        <f t="shared" si="3"/>
        <v>TIDAK TUNTAS</v>
      </c>
      <c r="L56" s="4" t="str">
        <f t="shared" si="4"/>
        <v xml:space="preserve"> </v>
      </c>
      <c r="M56" s="1"/>
      <c r="N56" s="2">
        <f t="shared" si="5"/>
        <v>5.2</v>
      </c>
    </row>
    <row r="57" spans="1:14" x14ac:dyDescent="0.25">
      <c r="A57" s="13">
        <v>50</v>
      </c>
      <c r="B57" s="9" t="s">
        <v>3246</v>
      </c>
      <c r="C57" s="10" t="s">
        <v>333</v>
      </c>
      <c r="D57" s="11" t="s">
        <v>88</v>
      </c>
      <c r="E57" s="27">
        <v>14</v>
      </c>
      <c r="F57" s="27">
        <v>10</v>
      </c>
      <c r="G57" s="27">
        <v>4</v>
      </c>
      <c r="H57" s="28">
        <f t="shared" si="2"/>
        <v>168</v>
      </c>
      <c r="I57" s="29">
        <f t="shared" si="0"/>
        <v>56</v>
      </c>
      <c r="J57" s="27">
        <f t="shared" si="1"/>
        <v>31</v>
      </c>
      <c r="K57" s="27" t="str">
        <f t="shared" si="3"/>
        <v>TIDAK TUNTAS</v>
      </c>
      <c r="L57" s="4" t="str">
        <f t="shared" si="4"/>
        <v xml:space="preserve"> </v>
      </c>
      <c r="M57" s="1"/>
      <c r="N57" s="2">
        <f t="shared" si="5"/>
        <v>5.6</v>
      </c>
    </row>
    <row r="58" spans="1:14" x14ac:dyDescent="0.25">
      <c r="A58" s="13">
        <v>51</v>
      </c>
      <c r="B58" s="9" t="s">
        <v>3247</v>
      </c>
      <c r="C58" s="10" t="s">
        <v>335</v>
      </c>
      <c r="D58" s="11" t="s">
        <v>98</v>
      </c>
      <c r="E58" s="27">
        <v>11</v>
      </c>
      <c r="F58" s="27">
        <v>11</v>
      </c>
      <c r="G58" s="27">
        <v>4</v>
      </c>
      <c r="H58" s="28">
        <f t="shared" si="2"/>
        <v>174</v>
      </c>
      <c r="I58" s="29">
        <f t="shared" si="0"/>
        <v>58</v>
      </c>
      <c r="J58" s="27">
        <f t="shared" si="1"/>
        <v>27</v>
      </c>
      <c r="K58" s="27" t="str">
        <f t="shared" si="3"/>
        <v>TIDAK TUNTAS</v>
      </c>
      <c r="L58" s="4" t="str">
        <f t="shared" si="4"/>
        <v xml:space="preserve"> </v>
      </c>
      <c r="M58" s="1"/>
      <c r="N58" s="2">
        <f t="shared" si="5"/>
        <v>5.8</v>
      </c>
    </row>
    <row r="59" spans="1:14" x14ac:dyDescent="0.25">
      <c r="A59" s="13">
        <v>52</v>
      </c>
      <c r="B59" s="9" t="s">
        <v>3248</v>
      </c>
      <c r="C59" s="10" t="s">
        <v>3249</v>
      </c>
      <c r="D59" s="11" t="s">
        <v>67</v>
      </c>
      <c r="E59" s="27">
        <v>15</v>
      </c>
      <c r="F59" s="27">
        <v>10</v>
      </c>
      <c r="G59" s="27">
        <v>5</v>
      </c>
      <c r="H59" s="28">
        <f t="shared" si="2"/>
        <v>150</v>
      </c>
      <c r="I59" s="29">
        <f t="shared" ref="I59:I66" si="6">H59/3</f>
        <v>50</v>
      </c>
      <c r="J59" s="27">
        <f t="shared" ref="J59:J66" si="7">RANK(H59,$H$8:$H$97)</f>
        <v>37</v>
      </c>
      <c r="K59" s="27" t="str">
        <f t="shared" si="3"/>
        <v>TIDAK TUNTAS</v>
      </c>
      <c r="L59" s="4" t="str">
        <f t="shared" si="4"/>
        <v xml:space="preserve"> </v>
      </c>
      <c r="N59" s="2">
        <f t="shared" si="5"/>
        <v>5</v>
      </c>
    </row>
    <row r="60" spans="1:14" x14ac:dyDescent="0.25">
      <c r="A60" s="13">
        <v>53</v>
      </c>
      <c r="B60" s="9" t="s">
        <v>3250</v>
      </c>
      <c r="C60" s="10" t="s">
        <v>1013</v>
      </c>
      <c r="D60" s="11" t="s">
        <v>87</v>
      </c>
      <c r="E60" s="27">
        <v>7</v>
      </c>
      <c r="F60" s="27">
        <v>8</v>
      </c>
      <c r="G60" s="27">
        <v>5</v>
      </c>
      <c r="H60" s="28">
        <f t="shared" si="2"/>
        <v>180</v>
      </c>
      <c r="I60" s="29">
        <f t="shared" si="6"/>
        <v>60</v>
      </c>
      <c r="J60" s="27">
        <f t="shared" si="7"/>
        <v>26</v>
      </c>
      <c r="K60" s="27" t="str">
        <f t="shared" si="3"/>
        <v>TUNTAS</v>
      </c>
      <c r="L60" s="4" t="str">
        <f t="shared" si="4"/>
        <v xml:space="preserve"> </v>
      </c>
      <c r="N60" s="2">
        <f t="shared" si="5"/>
        <v>6</v>
      </c>
    </row>
    <row r="61" spans="1:14" x14ac:dyDescent="0.25">
      <c r="A61" s="13">
        <v>54</v>
      </c>
      <c r="B61" s="9" t="s">
        <v>3251</v>
      </c>
      <c r="C61" s="10" t="s">
        <v>231</v>
      </c>
      <c r="D61" s="11" t="s">
        <v>120</v>
      </c>
      <c r="E61" s="27">
        <v>30</v>
      </c>
      <c r="F61" s="27">
        <v>30</v>
      </c>
      <c r="G61" s="27">
        <v>5</v>
      </c>
      <c r="H61" s="28">
        <f t="shared" si="2"/>
        <v>45</v>
      </c>
      <c r="I61" s="29">
        <f t="shared" si="6"/>
        <v>15</v>
      </c>
      <c r="J61" s="27">
        <f t="shared" si="7"/>
        <v>54</v>
      </c>
      <c r="K61" s="27" t="str">
        <f t="shared" si="3"/>
        <v>TIDAK TUNTAS</v>
      </c>
      <c r="L61" s="4" t="str">
        <f t="shared" si="4"/>
        <v xml:space="preserve"> </v>
      </c>
      <c r="N61" s="2">
        <f t="shared" si="5"/>
        <v>1.5</v>
      </c>
    </row>
    <row r="62" spans="1:14" x14ac:dyDescent="0.25">
      <c r="A62" s="13">
        <v>55</v>
      </c>
      <c r="B62" s="9" t="s">
        <v>3252</v>
      </c>
      <c r="C62" s="10" t="s">
        <v>633</v>
      </c>
      <c r="D62" s="11" t="s">
        <v>68</v>
      </c>
      <c r="E62" s="27">
        <v>3</v>
      </c>
      <c r="F62" s="27">
        <v>5</v>
      </c>
      <c r="G62" s="27">
        <v>3</v>
      </c>
      <c r="H62" s="28">
        <f t="shared" si="2"/>
        <v>231</v>
      </c>
      <c r="I62" s="29">
        <f t="shared" si="6"/>
        <v>77</v>
      </c>
      <c r="J62" s="27">
        <f t="shared" si="7"/>
        <v>17</v>
      </c>
      <c r="K62" s="27" t="str">
        <f t="shared" si="3"/>
        <v>TUNTAS</v>
      </c>
      <c r="L62" s="4" t="str">
        <f t="shared" si="4"/>
        <v xml:space="preserve"> </v>
      </c>
      <c r="N62" s="2">
        <f t="shared" si="5"/>
        <v>7.7</v>
      </c>
    </row>
    <row r="63" spans="1:14" x14ac:dyDescent="0.25">
      <c r="A63" s="13">
        <v>56</v>
      </c>
      <c r="B63" s="9" t="s">
        <v>3253</v>
      </c>
      <c r="C63" s="10" t="s">
        <v>3254</v>
      </c>
      <c r="D63" s="11" t="s">
        <v>121</v>
      </c>
      <c r="E63" s="27">
        <v>5</v>
      </c>
      <c r="F63" s="27">
        <v>3</v>
      </c>
      <c r="G63" s="27">
        <v>1</v>
      </c>
      <c r="H63" s="28">
        <f t="shared" si="2"/>
        <v>261</v>
      </c>
      <c r="I63" s="29">
        <f t="shared" si="6"/>
        <v>87</v>
      </c>
      <c r="J63" s="27">
        <f t="shared" si="7"/>
        <v>13</v>
      </c>
      <c r="K63" s="27" t="str">
        <f t="shared" si="3"/>
        <v>TUNTAS</v>
      </c>
      <c r="L63" s="4" t="str">
        <f t="shared" si="4"/>
        <v xml:space="preserve"> </v>
      </c>
      <c r="N63" s="2">
        <f t="shared" si="5"/>
        <v>8.6999999999999993</v>
      </c>
    </row>
    <row r="64" spans="1:14" x14ac:dyDescent="0.25">
      <c r="A64" s="13">
        <v>57</v>
      </c>
      <c r="B64" s="9" t="s">
        <v>3255</v>
      </c>
      <c r="C64" s="10" t="s">
        <v>3256</v>
      </c>
      <c r="D64" s="11" t="s">
        <v>99</v>
      </c>
      <c r="E64" s="27">
        <v>15</v>
      </c>
      <c r="F64" s="27">
        <v>15</v>
      </c>
      <c r="G64" s="27">
        <v>5</v>
      </c>
      <c r="H64" s="28">
        <f t="shared" si="2"/>
        <v>135</v>
      </c>
      <c r="I64" s="29">
        <f t="shared" si="6"/>
        <v>45</v>
      </c>
      <c r="J64" s="27">
        <f t="shared" si="7"/>
        <v>40</v>
      </c>
      <c r="K64" s="27" t="str">
        <f t="shared" si="3"/>
        <v>TIDAK TUNTAS</v>
      </c>
      <c r="L64" s="4" t="str">
        <f t="shared" si="4"/>
        <v xml:space="preserve"> </v>
      </c>
      <c r="N64" s="2">
        <f t="shared" si="5"/>
        <v>4.5</v>
      </c>
    </row>
    <row r="65" spans="1:14" x14ac:dyDescent="0.25">
      <c r="A65" s="13">
        <v>58</v>
      </c>
      <c r="B65" s="9" t="s">
        <v>3257</v>
      </c>
      <c r="C65" s="10" t="s">
        <v>736</v>
      </c>
      <c r="D65" s="11" t="s">
        <v>70</v>
      </c>
      <c r="E65" s="27">
        <v>20</v>
      </c>
      <c r="F65" s="27">
        <v>20</v>
      </c>
      <c r="G65" s="27">
        <v>5</v>
      </c>
      <c r="H65" s="28">
        <f t="shared" si="2"/>
        <v>105</v>
      </c>
      <c r="I65" s="29">
        <f t="shared" si="6"/>
        <v>35</v>
      </c>
      <c r="J65" s="27">
        <f t="shared" si="7"/>
        <v>45</v>
      </c>
      <c r="K65" s="27" t="str">
        <f t="shared" si="3"/>
        <v>TIDAK TUNTAS</v>
      </c>
      <c r="L65" s="4" t="str">
        <f t="shared" si="4"/>
        <v xml:space="preserve"> </v>
      </c>
      <c r="N65" s="2">
        <f t="shared" si="5"/>
        <v>3.5</v>
      </c>
    </row>
    <row r="66" spans="1:14" x14ac:dyDescent="0.25">
      <c r="A66" s="13">
        <v>59</v>
      </c>
      <c r="B66" s="9" t="s">
        <v>3258</v>
      </c>
      <c r="C66" s="10" t="s">
        <v>738</v>
      </c>
      <c r="D66" s="11" t="s">
        <v>89</v>
      </c>
      <c r="E66" s="27">
        <v>11</v>
      </c>
      <c r="F66" s="27">
        <v>2</v>
      </c>
      <c r="G66" s="27">
        <v>1</v>
      </c>
      <c r="H66" s="28">
        <f t="shared" si="2"/>
        <v>246</v>
      </c>
      <c r="I66" s="29">
        <f t="shared" si="6"/>
        <v>82</v>
      </c>
      <c r="J66" s="27">
        <f t="shared" si="7"/>
        <v>15</v>
      </c>
      <c r="K66" s="27" t="str">
        <f t="shared" si="3"/>
        <v>TUNTAS</v>
      </c>
      <c r="L66" s="4" t="str">
        <f t="shared" si="4"/>
        <v xml:space="preserve"> </v>
      </c>
      <c r="N66" s="2">
        <f t="shared" si="5"/>
        <v>8.1999999999999993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phoneticPr fontId="13" type="noConversion"/>
  <conditionalFormatting sqref="D8:D10">
    <cfRule type="cellIs" dxfId="62" priority="9" operator="equal">
      <formula>0</formula>
    </cfRule>
  </conditionalFormatting>
  <conditionalFormatting sqref="I8:I66">
    <cfRule type="cellIs" dxfId="61" priority="3" operator="lessThan">
      <formula>60</formula>
    </cfRule>
    <cfRule type="cellIs" dxfId="60" priority="4" operator="lessThan">
      <formula>60</formula>
    </cfRule>
    <cfRule type="cellIs" dxfId="59" priority="5" operator="lessThan">
      <formula>50</formula>
    </cfRule>
  </conditionalFormatting>
  <conditionalFormatting sqref="K8:K66">
    <cfRule type="cellIs" dxfId="58" priority="1" operator="equal">
      <formula>"TIDAK BACA"</formula>
    </cfRule>
    <cfRule type="cellIs" dxfId="57" priority="2" operator="equal">
      <formula>"TIDAK TUNTAS"</formula>
    </cfRule>
    <cfRule type="cellIs" dxfId="56" priority="6" operator="equal">
      <formula>"TUNTAS"</formula>
    </cfRule>
    <cfRule type="cellIs" dxfId="55" priority="7" operator="equal">
      <formula>"TIDAK HADIR"</formula>
    </cfRule>
    <cfRule type="cellIs" dxfId="54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72E3E65A-4458-4909-95ED-573E3AAF474A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B145-5369-4052-A31A-3ED4E578C647}">
  <sheetPr>
    <tabColor theme="9" tint="0.59999389629810485"/>
  </sheetPr>
  <dimension ref="A1:N44"/>
  <sheetViews>
    <sheetView zoomScaleNormal="100" workbookViewId="0">
      <pane xSplit="1" ySplit="7" topLeftCell="B35" activePane="bottomRight" state="frozen"/>
      <selection activeCell="M39" sqref="M39"/>
      <selection pane="topRight" activeCell="M39" sqref="M39"/>
      <selection pane="bottomLeft" activeCell="M39" sqref="M39"/>
      <selection pane="bottomRight" activeCell="N8" sqref="N8:N44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2" customWidth="1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1373</v>
      </c>
      <c r="C8" s="10" t="s">
        <v>838</v>
      </c>
      <c r="D8" s="11" t="s">
        <v>14</v>
      </c>
      <c r="E8" s="27">
        <v>20</v>
      </c>
      <c r="F8" s="27">
        <v>18</v>
      </c>
      <c r="G8" s="27">
        <v>4</v>
      </c>
      <c r="H8" s="28">
        <f t="shared" ref="H8:H44" si="0">100-E8*3+100-F8*3+100-G8*15</f>
        <v>126</v>
      </c>
      <c r="I8" s="29">
        <f t="shared" ref="I8:I44" si="1">H8/3</f>
        <v>42</v>
      </c>
      <c r="J8" s="27">
        <f t="shared" ref="J8:J44" si="2">RANK(H8,$H$8:$H$83)</f>
        <v>35</v>
      </c>
      <c r="K8" s="27" t="str">
        <f t="shared" ref="K8:K44" si="3">IF(I8&lt;11.1,"TIDAK HADIR",IF(I8&lt;13.1,"TIDAK BACA",IF(I8&lt;$K$7,"TIDAK TUNTAS","TUNTAS")))</f>
        <v>TIDAK TUNTAS</v>
      </c>
      <c r="L8" s="13" t="str">
        <f t="shared" ref="L8:L44" si="4">IF(G8&gt;5,"TM"," ")</f>
        <v xml:space="preserve"> </v>
      </c>
      <c r="M8" s="1"/>
      <c r="N8" s="2">
        <f>I8/10</f>
        <v>4.2</v>
      </c>
    </row>
    <row r="9" spans="1:14" ht="15.95" customHeight="1" x14ac:dyDescent="0.25">
      <c r="A9" s="13">
        <v>2</v>
      </c>
      <c r="B9" s="9" t="s">
        <v>1374</v>
      </c>
      <c r="C9" s="10" t="s">
        <v>3259</v>
      </c>
      <c r="D9" s="11" t="s">
        <v>100</v>
      </c>
      <c r="E9" s="27">
        <v>2</v>
      </c>
      <c r="F9" s="27">
        <v>2</v>
      </c>
      <c r="G9" s="27">
        <v>2</v>
      </c>
      <c r="H9" s="28">
        <f t="shared" si="0"/>
        <v>258</v>
      </c>
      <c r="I9" s="29">
        <f t="shared" si="1"/>
        <v>86</v>
      </c>
      <c r="J9" s="27">
        <f t="shared" si="2"/>
        <v>12</v>
      </c>
      <c r="K9" s="27" t="str">
        <f t="shared" si="3"/>
        <v>TUNTAS</v>
      </c>
      <c r="L9" s="13" t="str">
        <f t="shared" si="4"/>
        <v xml:space="preserve"> </v>
      </c>
      <c r="M9" s="1"/>
      <c r="N9" s="2">
        <f t="shared" ref="N9:N44" si="5">I9/10</f>
        <v>8.6</v>
      </c>
    </row>
    <row r="10" spans="1:14" ht="15.95" customHeight="1" x14ac:dyDescent="0.25">
      <c r="A10" s="13">
        <v>3</v>
      </c>
      <c r="B10" s="9" t="s">
        <v>1375</v>
      </c>
      <c r="C10" s="10" t="s">
        <v>1025</v>
      </c>
      <c r="D10" s="11" t="s">
        <v>18</v>
      </c>
      <c r="E10" s="27">
        <v>4</v>
      </c>
      <c r="F10" s="27">
        <v>2</v>
      </c>
      <c r="G10" s="27">
        <v>0</v>
      </c>
      <c r="H10" s="28">
        <f t="shared" si="0"/>
        <v>282</v>
      </c>
      <c r="I10" s="29">
        <f t="shared" si="1"/>
        <v>94</v>
      </c>
      <c r="J10" s="27">
        <f t="shared" si="2"/>
        <v>4</v>
      </c>
      <c r="K10" s="27" t="str">
        <f t="shared" si="3"/>
        <v>TUNTAS</v>
      </c>
      <c r="L10" s="13" t="str">
        <f t="shared" si="4"/>
        <v xml:space="preserve"> </v>
      </c>
      <c r="M10" s="1"/>
      <c r="N10" s="2">
        <f t="shared" si="5"/>
        <v>9.4</v>
      </c>
    </row>
    <row r="11" spans="1:14" ht="15.95" customHeight="1" x14ac:dyDescent="0.25">
      <c r="A11" s="13">
        <v>4</v>
      </c>
      <c r="B11" s="9" t="s">
        <v>1376</v>
      </c>
      <c r="C11" s="10" t="s">
        <v>934</v>
      </c>
      <c r="D11" s="11" t="s">
        <v>20</v>
      </c>
      <c r="E11" s="27">
        <v>7</v>
      </c>
      <c r="F11" s="27">
        <v>4</v>
      </c>
      <c r="G11" s="27">
        <v>2</v>
      </c>
      <c r="H11" s="28">
        <f t="shared" si="0"/>
        <v>237</v>
      </c>
      <c r="I11" s="29">
        <f t="shared" si="1"/>
        <v>79</v>
      </c>
      <c r="J11" s="27">
        <f t="shared" si="2"/>
        <v>19</v>
      </c>
      <c r="K11" s="27" t="str">
        <f t="shared" si="3"/>
        <v>TUNTAS</v>
      </c>
      <c r="L11" s="13" t="str">
        <f t="shared" si="4"/>
        <v xml:space="preserve"> </v>
      </c>
      <c r="M11" s="1"/>
      <c r="N11" s="2">
        <f t="shared" si="5"/>
        <v>7.9</v>
      </c>
    </row>
    <row r="12" spans="1:14" ht="15.95" customHeight="1" x14ac:dyDescent="0.25">
      <c r="A12" s="13">
        <v>5</v>
      </c>
      <c r="B12" s="9" t="s">
        <v>1377</v>
      </c>
      <c r="C12" s="10" t="s">
        <v>1297</v>
      </c>
      <c r="D12" s="11" t="s">
        <v>23</v>
      </c>
      <c r="E12" s="27">
        <v>4</v>
      </c>
      <c r="F12" s="27">
        <v>0</v>
      </c>
      <c r="G12" s="27">
        <v>2</v>
      </c>
      <c r="H12" s="28">
        <f t="shared" si="0"/>
        <v>258</v>
      </c>
      <c r="I12" s="29">
        <f t="shared" si="1"/>
        <v>86</v>
      </c>
      <c r="J12" s="27">
        <f t="shared" si="2"/>
        <v>12</v>
      </c>
      <c r="K12" s="27" t="str">
        <f t="shared" si="3"/>
        <v>TUNTAS</v>
      </c>
      <c r="L12" s="13" t="str">
        <f t="shared" si="4"/>
        <v xml:space="preserve"> </v>
      </c>
      <c r="M12" s="1"/>
      <c r="N12" s="2">
        <f t="shared" si="5"/>
        <v>8.6</v>
      </c>
    </row>
    <row r="13" spans="1:14" ht="15.95" customHeight="1" x14ac:dyDescent="0.25">
      <c r="A13" s="13">
        <v>6</v>
      </c>
      <c r="B13" s="9" t="s">
        <v>1378</v>
      </c>
      <c r="C13" s="10" t="s">
        <v>1299</v>
      </c>
      <c r="D13" s="11" t="s">
        <v>25</v>
      </c>
      <c r="E13" s="27">
        <v>3</v>
      </c>
      <c r="F13" s="27">
        <v>2</v>
      </c>
      <c r="G13" s="27">
        <v>3</v>
      </c>
      <c r="H13" s="28">
        <f t="shared" si="0"/>
        <v>240</v>
      </c>
      <c r="I13" s="29">
        <f t="shared" si="1"/>
        <v>80</v>
      </c>
      <c r="J13" s="27">
        <f t="shared" si="2"/>
        <v>18</v>
      </c>
      <c r="K13" s="27" t="str">
        <f t="shared" si="3"/>
        <v>TUNTAS</v>
      </c>
      <c r="L13" s="13" t="str">
        <f t="shared" si="4"/>
        <v xml:space="preserve"> </v>
      </c>
      <c r="M13" s="1"/>
      <c r="N13" s="2">
        <f t="shared" si="5"/>
        <v>8</v>
      </c>
    </row>
    <row r="14" spans="1:14" ht="15.95" customHeight="1" x14ac:dyDescent="0.25">
      <c r="A14" s="13">
        <v>7</v>
      </c>
      <c r="B14" s="9" t="s">
        <v>1379</v>
      </c>
      <c r="C14" s="10" t="s">
        <v>1382</v>
      </c>
      <c r="D14" s="11" t="s">
        <v>25</v>
      </c>
      <c r="E14" s="27">
        <v>8</v>
      </c>
      <c r="F14" s="27">
        <v>13</v>
      </c>
      <c r="G14" s="27">
        <v>5</v>
      </c>
      <c r="H14" s="28">
        <f t="shared" si="0"/>
        <v>162</v>
      </c>
      <c r="I14" s="29">
        <f t="shared" si="1"/>
        <v>54</v>
      </c>
      <c r="J14" s="27">
        <f t="shared" si="2"/>
        <v>31</v>
      </c>
      <c r="K14" s="27" t="str">
        <f t="shared" si="3"/>
        <v>TIDAK TUNTAS</v>
      </c>
      <c r="L14" s="13" t="str">
        <f t="shared" si="4"/>
        <v xml:space="preserve"> </v>
      </c>
      <c r="M14" s="1"/>
      <c r="N14" s="2">
        <f t="shared" si="5"/>
        <v>5.4</v>
      </c>
    </row>
    <row r="15" spans="1:14" ht="15.95" customHeight="1" x14ac:dyDescent="0.25">
      <c r="A15" s="13">
        <v>8</v>
      </c>
      <c r="B15" s="9" t="s">
        <v>1380</v>
      </c>
      <c r="C15" s="17" t="s">
        <v>1033</v>
      </c>
      <c r="D15" s="18" t="s">
        <v>75</v>
      </c>
      <c r="E15" s="27">
        <v>4</v>
      </c>
      <c r="F15" s="27">
        <v>1</v>
      </c>
      <c r="G15" s="27">
        <v>1</v>
      </c>
      <c r="H15" s="28">
        <f t="shared" si="0"/>
        <v>270</v>
      </c>
      <c r="I15" s="29">
        <f t="shared" si="1"/>
        <v>90</v>
      </c>
      <c r="J15" s="27">
        <f t="shared" si="2"/>
        <v>6</v>
      </c>
      <c r="K15" s="27" t="str">
        <f t="shared" si="3"/>
        <v>TUNTAS</v>
      </c>
      <c r="L15" s="13" t="str">
        <f t="shared" si="4"/>
        <v xml:space="preserve"> </v>
      </c>
      <c r="M15" s="1"/>
      <c r="N15" s="2">
        <f t="shared" si="5"/>
        <v>9</v>
      </c>
    </row>
    <row r="16" spans="1:14" ht="15.95" customHeight="1" x14ac:dyDescent="0.25">
      <c r="A16" s="13">
        <v>9</v>
      </c>
      <c r="B16" s="9" t="s">
        <v>1381</v>
      </c>
      <c r="C16" s="10" t="s">
        <v>1217</v>
      </c>
      <c r="D16" s="11" t="s">
        <v>29</v>
      </c>
      <c r="E16" s="27">
        <v>5</v>
      </c>
      <c r="F16" s="27">
        <v>1</v>
      </c>
      <c r="G16" s="27">
        <v>4</v>
      </c>
      <c r="H16" s="28">
        <f t="shared" si="0"/>
        <v>222</v>
      </c>
      <c r="I16" s="29">
        <f t="shared" si="1"/>
        <v>74</v>
      </c>
      <c r="J16" s="27">
        <f t="shared" si="2"/>
        <v>22</v>
      </c>
      <c r="K16" s="27" t="str">
        <f t="shared" si="3"/>
        <v>TUNTAS</v>
      </c>
      <c r="L16" s="13" t="str">
        <f t="shared" si="4"/>
        <v xml:space="preserve"> </v>
      </c>
      <c r="M16" s="1"/>
      <c r="N16" s="2">
        <f t="shared" si="5"/>
        <v>7.4</v>
      </c>
    </row>
    <row r="17" spans="1:14" ht="15.95" customHeight="1" x14ac:dyDescent="0.25">
      <c r="A17" s="13">
        <v>10</v>
      </c>
      <c r="B17" s="9" t="s">
        <v>1383</v>
      </c>
      <c r="C17" s="10" t="s">
        <v>1306</v>
      </c>
      <c r="D17" s="11" t="s">
        <v>91</v>
      </c>
      <c r="E17" s="27">
        <v>4</v>
      </c>
      <c r="F17" s="27">
        <v>2</v>
      </c>
      <c r="G17" s="27">
        <v>1</v>
      </c>
      <c r="H17" s="28">
        <f t="shared" si="0"/>
        <v>267</v>
      </c>
      <c r="I17" s="29">
        <f t="shared" si="1"/>
        <v>89</v>
      </c>
      <c r="J17" s="27">
        <f t="shared" si="2"/>
        <v>8</v>
      </c>
      <c r="K17" s="27" t="str">
        <f t="shared" si="3"/>
        <v>TUNTAS</v>
      </c>
      <c r="L17" s="13" t="str">
        <f t="shared" si="4"/>
        <v xml:space="preserve"> </v>
      </c>
      <c r="M17" s="1"/>
      <c r="N17" s="2">
        <f t="shared" si="5"/>
        <v>8.9</v>
      </c>
    </row>
    <row r="18" spans="1:14" ht="15.95" customHeight="1" x14ac:dyDescent="0.25">
      <c r="A18" s="13">
        <v>11</v>
      </c>
      <c r="B18" s="9" t="s">
        <v>1384</v>
      </c>
      <c r="C18" s="17" t="s">
        <v>1308</v>
      </c>
      <c r="D18" s="18" t="s">
        <v>125</v>
      </c>
      <c r="E18" s="27">
        <v>9</v>
      </c>
      <c r="F18" s="27">
        <v>5</v>
      </c>
      <c r="G18" s="27">
        <v>4</v>
      </c>
      <c r="H18" s="28">
        <f t="shared" si="0"/>
        <v>198</v>
      </c>
      <c r="I18" s="29">
        <f t="shared" si="1"/>
        <v>66</v>
      </c>
      <c r="J18" s="27">
        <f t="shared" si="2"/>
        <v>26</v>
      </c>
      <c r="K18" s="27" t="str">
        <f t="shared" si="3"/>
        <v>TUNTAS</v>
      </c>
      <c r="L18" s="13" t="str">
        <f t="shared" si="4"/>
        <v xml:space="preserve"> </v>
      </c>
      <c r="M18" s="1"/>
      <c r="N18" s="2">
        <f t="shared" si="5"/>
        <v>6.6</v>
      </c>
    </row>
    <row r="19" spans="1:14" ht="15.95" customHeight="1" x14ac:dyDescent="0.25">
      <c r="A19" s="13">
        <v>12</v>
      </c>
      <c r="B19" s="9" t="s">
        <v>1385</v>
      </c>
      <c r="C19" s="17" t="s">
        <v>957</v>
      </c>
      <c r="D19" s="18" t="s">
        <v>79</v>
      </c>
      <c r="E19" s="27">
        <v>6</v>
      </c>
      <c r="F19" s="27">
        <v>6</v>
      </c>
      <c r="G19" s="27">
        <v>2</v>
      </c>
      <c r="H19" s="28">
        <f t="shared" si="0"/>
        <v>234</v>
      </c>
      <c r="I19" s="29">
        <f t="shared" si="1"/>
        <v>78</v>
      </c>
      <c r="J19" s="27">
        <f t="shared" si="2"/>
        <v>21</v>
      </c>
      <c r="K19" s="27" t="str">
        <f t="shared" si="3"/>
        <v>TUNTAS</v>
      </c>
      <c r="L19" s="13" t="str">
        <f t="shared" si="4"/>
        <v xml:space="preserve"> </v>
      </c>
      <c r="M19" s="1"/>
      <c r="N19" s="2">
        <f t="shared" si="5"/>
        <v>7.8</v>
      </c>
    </row>
    <row r="20" spans="1:14" ht="15.95" customHeight="1" x14ac:dyDescent="0.25">
      <c r="A20" s="13">
        <v>13</v>
      </c>
      <c r="B20" s="9" t="s">
        <v>1386</v>
      </c>
      <c r="C20" s="10" t="s">
        <v>1229</v>
      </c>
      <c r="D20" s="11" t="s">
        <v>34</v>
      </c>
      <c r="E20" s="27">
        <v>17</v>
      </c>
      <c r="F20" s="27">
        <v>9</v>
      </c>
      <c r="G20" s="27">
        <v>5</v>
      </c>
      <c r="H20" s="28">
        <f t="shared" si="0"/>
        <v>147</v>
      </c>
      <c r="I20" s="29">
        <f t="shared" si="1"/>
        <v>49</v>
      </c>
      <c r="J20" s="27">
        <f t="shared" si="2"/>
        <v>32</v>
      </c>
      <c r="K20" s="27" t="str">
        <f t="shared" si="3"/>
        <v>TIDAK TUNTAS</v>
      </c>
      <c r="L20" s="13" t="str">
        <f t="shared" si="4"/>
        <v xml:space="preserve"> </v>
      </c>
      <c r="M20" s="1"/>
      <c r="N20" s="2">
        <f t="shared" si="5"/>
        <v>4.9000000000000004</v>
      </c>
    </row>
    <row r="21" spans="1:14" ht="15.95" customHeight="1" x14ac:dyDescent="0.25">
      <c r="A21" s="13">
        <v>14</v>
      </c>
      <c r="B21" s="9" t="s">
        <v>1387</v>
      </c>
      <c r="C21" s="10" t="s">
        <v>1231</v>
      </c>
      <c r="D21" s="11" t="s">
        <v>103</v>
      </c>
      <c r="E21" s="27">
        <v>0</v>
      </c>
      <c r="F21" s="27">
        <v>0</v>
      </c>
      <c r="G21" s="27">
        <v>0</v>
      </c>
      <c r="H21" s="28">
        <f t="shared" si="0"/>
        <v>300</v>
      </c>
      <c r="I21" s="29">
        <f t="shared" si="1"/>
        <v>100</v>
      </c>
      <c r="J21" s="27">
        <f t="shared" si="2"/>
        <v>1</v>
      </c>
      <c r="K21" s="27" t="str">
        <f t="shared" si="3"/>
        <v>TUNTAS</v>
      </c>
      <c r="L21" s="13" t="str">
        <f t="shared" si="4"/>
        <v xml:space="preserve"> </v>
      </c>
      <c r="M21" s="1"/>
      <c r="N21" s="2">
        <f t="shared" si="5"/>
        <v>10</v>
      </c>
    </row>
    <row r="22" spans="1:14" ht="15.95" customHeight="1" x14ac:dyDescent="0.25">
      <c r="A22" s="13">
        <v>15</v>
      </c>
      <c r="B22" s="9" t="s">
        <v>1388</v>
      </c>
      <c r="C22" s="10" t="s">
        <v>1049</v>
      </c>
      <c r="D22" s="11" t="s">
        <v>93</v>
      </c>
      <c r="E22" s="27">
        <v>10</v>
      </c>
      <c r="F22" s="27">
        <v>8</v>
      </c>
      <c r="G22" s="27">
        <v>5</v>
      </c>
      <c r="H22" s="28">
        <f t="shared" si="0"/>
        <v>171</v>
      </c>
      <c r="I22" s="29">
        <f t="shared" si="1"/>
        <v>57</v>
      </c>
      <c r="J22" s="27">
        <f t="shared" si="2"/>
        <v>30</v>
      </c>
      <c r="K22" s="27" t="str">
        <f t="shared" si="3"/>
        <v>TIDAK TUNTAS</v>
      </c>
      <c r="L22" s="13" t="str">
        <f t="shared" si="4"/>
        <v xml:space="preserve"> </v>
      </c>
      <c r="M22" s="1"/>
      <c r="N22" s="2">
        <f t="shared" si="5"/>
        <v>5.7</v>
      </c>
    </row>
    <row r="23" spans="1:14" ht="15.95" customHeight="1" x14ac:dyDescent="0.25">
      <c r="A23" s="13">
        <v>16</v>
      </c>
      <c r="B23" s="9" t="s">
        <v>1389</v>
      </c>
      <c r="C23" s="10" t="s">
        <v>1140</v>
      </c>
      <c r="D23" s="11" t="s">
        <v>36</v>
      </c>
      <c r="E23" s="27">
        <v>20</v>
      </c>
      <c r="F23" s="27">
        <v>6</v>
      </c>
      <c r="G23" s="27">
        <v>5</v>
      </c>
      <c r="H23" s="28">
        <f t="shared" si="0"/>
        <v>147</v>
      </c>
      <c r="I23" s="29">
        <f t="shared" si="1"/>
        <v>49</v>
      </c>
      <c r="J23" s="27">
        <f t="shared" si="2"/>
        <v>32</v>
      </c>
      <c r="K23" s="27" t="str">
        <f t="shared" si="3"/>
        <v>TIDAK TUNTAS</v>
      </c>
      <c r="L23" s="13" t="str">
        <f t="shared" si="4"/>
        <v xml:space="preserve"> </v>
      </c>
      <c r="M23" s="1"/>
      <c r="N23" s="2">
        <f t="shared" si="5"/>
        <v>4.9000000000000004</v>
      </c>
    </row>
    <row r="24" spans="1:14" ht="15.95" customHeight="1" x14ac:dyDescent="0.25">
      <c r="A24" s="13">
        <v>17</v>
      </c>
      <c r="B24" s="9" t="s">
        <v>1390</v>
      </c>
      <c r="C24" s="10" t="s">
        <v>969</v>
      </c>
      <c r="D24" s="11" t="s">
        <v>105</v>
      </c>
      <c r="E24" s="27">
        <v>6</v>
      </c>
      <c r="F24" s="27">
        <v>2</v>
      </c>
      <c r="G24" s="27">
        <v>2</v>
      </c>
      <c r="H24" s="28">
        <f t="shared" si="0"/>
        <v>246</v>
      </c>
      <c r="I24" s="29">
        <f t="shared" si="1"/>
        <v>82</v>
      </c>
      <c r="J24" s="27">
        <f t="shared" si="2"/>
        <v>15</v>
      </c>
      <c r="K24" s="27" t="str">
        <f t="shared" si="3"/>
        <v>TUNTAS</v>
      </c>
      <c r="L24" s="13" t="str">
        <f t="shared" si="4"/>
        <v xml:space="preserve"> </v>
      </c>
      <c r="M24" s="1"/>
      <c r="N24" s="2">
        <f t="shared" si="5"/>
        <v>8.1999999999999993</v>
      </c>
    </row>
    <row r="25" spans="1:14" ht="15.95" customHeight="1" x14ac:dyDescent="0.25">
      <c r="A25" s="13">
        <v>18</v>
      </c>
      <c r="B25" s="9" t="s">
        <v>1391</v>
      </c>
      <c r="C25" s="10" t="s">
        <v>971</v>
      </c>
      <c r="D25" s="11" t="s">
        <v>284</v>
      </c>
      <c r="E25" s="27">
        <v>5</v>
      </c>
      <c r="F25" s="27">
        <v>16</v>
      </c>
      <c r="G25" s="27">
        <v>3</v>
      </c>
      <c r="H25" s="28">
        <f t="shared" si="0"/>
        <v>192</v>
      </c>
      <c r="I25" s="29">
        <f t="shared" si="1"/>
        <v>64</v>
      </c>
      <c r="J25" s="27">
        <f t="shared" si="2"/>
        <v>28</v>
      </c>
      <c r="K25" s="27" t="str">
        <f t="shared" si="3"/>
        <v>TUNTAS</v>
      </c>
      <c r="L25" s="13" t="str">
        <f t="shared" si="4"/>
        <v xml:space="preserve"> </v>
      </c>
      <c r="M25" s="1"/>
      <c r="N25" s="2">
        <f t="shared" si="5"/>
        <v>6.4</v>
      </c>
    </row>
    <row r="26" spans="1:14" ht="15.95" customHeight="1" x14ac:dyDescent="0.25">
      <c r="A26" s="13">
        <v>19</v>
      </c>
      <c r="B26" s="9" t="s">
        <v>1392</v>
      </c>
      <c r="C26" s="10" t="s">
        <v>975</v>
      </c>
      <c r="D26" s="11" t="s">
        <v>287</v>
      </c>
      <c r="E26" s="27">
        <v>0</v>
      </c>
      <c r="F26" s="27">
        <v>1</v>
      </c>
      <c r="G26" s="27">
        <v>0</v>
      </c>
      <c r="H26" s="28">
        <f t="shared" si="0"/>
        <v>297</v>
      </c>
      <c r="I26" s="29">
        <f t="shared" si="1"/>
        <v>99</v>
      </c>
      <c r="J26" s="27">
        <f t="shared" si="2"/>
        <v>2</v>
      </c>
      <c r="K26" s="27" t="str">
        <f t="shared" si="3"/>
        <v>TUNTAS</v>
      </c>
      <c r="L26" s="13" t="str">
        <f t="shared" si="4"/>
        <v xml:space="preserve"> </v>
      </c>
      <c r="M26" s="1"/>
      <c r="N26" s="2">
        <f t="shared" si="5"/>
        <v>9.9</v>
      </c>
    </row>
    <row r="27" spans="1:14" ht="15.95" customHeight="1" x14ac:dyDescent="0.25">
      <c r="A27" s="13">
        <v>20</v>
      </c>
      <c r="B27" s="9" t="s">
        <v>1393</v>
      </c>
      <c r="C27" s="10" t="s">
        <v>763</v>
      </c>
      <c r="D27" s="11" t="s">
        <v>106</v>
      </c>
      <c r="E27" s="27">
        <v>6</v>
      </c>
      <c r="F27" s="27">
        <v>2</v>
      </c>
      <c r="G27" s="27">
        <v>2</v>
      </c>
      <c r="H27" s="28">
        <f t="shared" si="0"/>
        <v>246</v>
      </c>
      <c r="I27" s="29">
        <f t="shared" si="1"/>
        <v>82</v>
      </c>
      <c r="J27" s="27">
        <f t="shared" si="2"/>
        <v>15</v>
      </c>
      <c r="K27" s="27" t="str">
        <f t="shared" si="3"/>
        <v>TUNTAS</v>
      </c>
      <c r="L27" s="13" t="str">
        <f t="shared" si="4"/>
        <v xml:space="preserve"> </v>
      </c>
      <c r="M27" s="1"/>
      <c r="N27" s="2">
        <f t="shared" si="5"/>
        <v>8.1999999999999993</v>
      </c>
    </row>
    <row r="28" spans="1:14" ht="15.95" customHeight="1" x14ac:dyDescent="0.25">
      <c r="A28" s="13">
        <v>21</v>
      </c>
      <c r="B28" s="9" t="s">
        <v>1394</v>
      </c>
      <c r="C28" s="10" t="s">
        <v>134</v>
      </c>
      <c r="D28" s="11" t="s">
        <v>82</v>
      </c>
      <c r="E28" s="27">
        <v>4</v>
      </c>
      <c r="F28" s="27">
        <v>3</v>
      </c>
      <c r="G28" s="27">
        <v>1</v>
      </c>
      <c r="H28" s="28">
        <f t="shared" si="0"/>
        <v>264</v>
      </c>
      <c r="I28" s="29">
        <f t="shared" si="1"/>
        <v>88</v>
      </c>
      <c r="J28" s="27">
        <f t="shared" si="2"/>
        <v>11</v>
      </c>
      <c r="K28" s="27" t="str">
        <f t="shared" si="3"/>
        <v>TUNTAS</v>
      </c>
      <c r="L28" s="13" t="str">
        <f t="shared" si="4"/>
        <v xml:space="preserve"> </v>
      </c>
      <c r="M28" s="1"/>
      <c r="N28" s="2">
        <f t="shared" si="5"/>
        <v>8.8000000000000007</v>
      </c>
    </row>
    <row r="29" spans="1:14" ht="15.95" customHeight="1" x14ac:dyDescent="0.25">
      <c r="A29" s="13">
        <v>22</v>
      </c>
      <c r="B29" s="9" t="s">
        <v>1395</v>
      </c>
      <c r="C29" s="10" t="s">
        <v>1333</v>
      </c>
      <c r="D29" s="11" t="s">
        <v>45</v>
      </c>
      <c r="E29" s="27">
        <v>2</v>
      </c>
      <c r="F29" s="27">
        <v>0</v>
      </c>
      <c r="G29" s="27">
        <v>1</v>
      </c>
      <c r="H29" s="28">
        <f t="shared" si="0"/>
        <v>279</v>
      </c>
      <c r="I29" s="29">
        <f t="shared" si="1"/>
        <v>93</v>
      </c>
      <c r="J29" s="27">
        <f t="shared" si="2"/>
        <v>5</v>
      </c>
      <c r="K29" s="27" t="str">
        <f t="shared" si="3"/>
        <v>TUNTAS</v>
      </c>
      <c r="L29" s="13" t="str">
        <f t="shared" si="4"/>
        <v xml:space="preserve"> </v>
      </c>
      <c r="M29" s="1"/>
      <c r="N29" s="2">
        <f t="shared" si="5"/>
        <v>9.3000000000000007</v>
      </c>
    </row>
    <row r="30" spans="1:14" ht="15.95" customHeight="1" x14ac:dyDescent="0.25">
      <c r="A30" s="13">
        <v>23</v>
      </c>
      <c r="B30" s="9" t="s">
        <v>1396</v>
      </c>
      <c r="C30" s="10" t="s">
        <v>1335</v>
      </c>
      <c r="D30" s="11" t="s">
        <v>128</v>
      </c>
      <c r="E30" s="27">
        <v>9</v>
      </c>
      <c r="F30" s="27">
        <v>5</v>
      </c>
      <c r="G30" s="27">
        <v>4</v>
      </c>
      <c r="H30" s="28">
        <f t="shared" si="0"/>
        <v>198</v>
      </c>
      <c r="I30" s="29">
        <f t="shared" si="1"/>
        <v>66</v>
      </c>
      <c r="J30" s="27">
        <f t="shared" si="2"/>
        <v>26</v>
      </c>
      <c r="K30" s="27" t="str">
        <f t="shared" si="3"/>
        <v>TUNTAS</v>
      </c>
      <c r="L30" s="13" t="str">
        <f t="shared" si="4"/>
        <v xml:space="preserve"> </v>
      </c>
      <c r="M30" s="1"/>
      <c r="N30" s="2">
        <f t="shared" si="5"/>
        <v>6.6</v>
      </c>
    </row>
    <row r="31" spans="1:14" ht="15.95" customHeight="1" x14ac:dyDescent="0.25">
      <c r="A31" s="13">
        <v>24</v>
      </c>
      <c r="B31" s="9" t="s">
        <v>1397</v>
      </c>
      <c r="C31" s="10" t="s">
        <v>990</v>
      </c>
      <c r="D31" s="11" t="s">
        <v>48</v>
      </c>
      <c r="E31" s="27">
        <v>10</v>
      </c>
      <c r="F31" s="27">
        <v>3</v>
      </c>
      <c r="G31" s="27">
        <v>4</v>
      </c>
      <c r="H31" s="28">
        <f t="shared" si="0"/>
        <v>201</v>
      </c>
      <c r="I31" s="29">
        <f t="shared" si="1"/>
        <v>67</v>
      </c>
      <c r="J31" s="27">
        <f t="shared" si="2"/>
        <v>24</v>
      </c>
      <c r="K31" s="27" t="str">
        <f t="shared" si="3"/>
        <v>TUNTAS</v>
      </c>
      <c r="L31" s="13" t="str">
        <f t="shared" si="4"/>
        <v xml:space="preserve"> </v>
      </c>
      <c r="M31" s="1"/>
      <c r="N31" s="2">
        <f t="shared" si="5"/>
        <v>6.7</v>
      </c>
    </row>
    <row r="32" spans="1:14" ht="15.95" customHeight="1" x14ac:dyDescent="0.25">
      <c r="A32" s="13">
        <v>25</v>
      </c>
      <c r="B32" s="9" t="s">
        <v>1398</v>
      </c>
      <c r="C32" s="10" t="s">
        <v>1076</v>
      </c>
      <c r="D32" s="11" t="s">
        <v>49</v>
      </c>
      <c r="E32" s="27">
        <v>12</v>
      </c>
      <c r="F32" s="27">
        <v>10</v>
      </c>
      <c r="G32" s="27">
        <v>2</v>
      </c>
      <c r="H32" s="28">
        <f t="shared" si="0"/>
        <v>204</v>
      </c>
      <c r="I32" s="29">
        <f t="shared" si="1"/>
        <v>68</v>
      </c>
      <c r="J32" s="27">
        <f t="shared" si="2"/>
        <v>23</v>
      </c>
      <c r="K32" s="27" t="str">
        <f t="shared" si="3"/>
        <v>TUNTAS</v>
      </c>
      <c r="L32" s="13" t="str">
        <f t="shared" si="4"/>
        <v xml:space="preserve"> </v>
      </c>
      <c r="M32" s="1"/>
      <c r="N32" s="2">
        <f t="shared" si="5"/>
        <v>6.8</v>
      </c>
    </row>
    <row r="33" spans="1:14" ht="15.95" customHeight="1" x14ac:dyDescent="0.25">
      <c r="A33" s="13">
        <v>26</v>
      </c>
      <c r="B33" s="9" t="s">
        <v>1399</v>
      </c>
      <c r="C33" s="10" t="s">
        <v>1343</v>
      </c>
      <c r="D33" s="11" t="s">
        <v>52</v>
      </c>
      <c r="E33" s="27">
        <v>4</v>
      </c>
      <c r="F33" s="27">
        <v>2</v>
      </c>
      <c r="G33" s="27">
        <v>1</v>
      </c>
      <c r="H33" s="28">
        <f t="shared" si="0"/>
        <v>267</v>
      </c>
      <c r="I33" s="29">
        <f t="shared" si="1"/>
        <v>89</v>
      </c>
      <c r="J33" s="27">
        <f t="shared" si="2"/>
        <v>8</v>
      </c>
      <c r="K33" s="27" t="str">
        <f t="shared" si="3"/>
        <v>TUNTAS</v>
      </c>
      <c r="L33" s="13" t="str">
        <f t="shared" si="4"/>
        <v xml:space="preserve"> </v>
      </c>
      <c r="M33" s="1"/>
      <c r="N33" s="2">
        <f t="shared" si="5"/>
        <v>8.9</v>
      </c>
    </row>
    <row r="34" spans="1:14" ht="15.95" customHeight="1" x14ac:dyDescent="0.25">
      <c r="A34" s="13">
        <v>27</v>
      </c>
      <c r="B34" s="9" t="s">
        <v>1400</v>
      </c>
      <c r="C34" s="10" t="s">
        <v>1644</v>
      </c>
      <c r="D34" s="11" t="s">
        <v>52</v>
      </c>
      <c r="E34" s="27">
        <v>18</v>
      </c>
      <c r="F34" s="27">
        <v>11</v>
      </c>
      <c r="G34" s="27">
        <v>5</v>
      </c>
      <c r="H34" s="28">
        <f t="shared" si="0"/>
        <v>138</v>
      </c>
      <c r="I34" s="29">
        <f t="shared" si="1"/>
        <v>46</v>
      </c>
      <c r="J34" s="27">
        <f t="shared" si="2"/>
        <v>34</v>
      </c>
      <c r="K34" s="27" t="str">
        <f t="shared" si="3"/>
        <v>TIDAK TUNTAS</v>
      </c>
      <c r="L34" s="13" t="str">
        <f t="shared" si="4"/>
        <v xml:space="preserve"> </v>
      </c>
      <c r="M34" s="1"/>
      <c r="N34" s="2">
        <f t="shared" si="5"/>
        <v>4.5999999999999996</v>
      </c>
    </row>
    <row r="35" spans="1:14" ht="15.95" customHeight="1" x14ac:dyDescent="0.25">
      <c r="A35" s="13">
        <v>28</v>
      </c>
      <c r="B35" s="9" t="s">
        <v>1401</v>
      </c>
      <c r="C35" s="10" t="s">
        <v>1181</v>
      </c>
      <c r="D35" s="11" t="s">
        <v>95</v>
      </c>
      <c r="E35" s="27">
        <v>19</v>
      </c>
      <c r="F35" s="27">
        <v>17</v>
      </c>
      <c r="G35" s="27">
        <v>5</v>
      </c>
      <c r="H35" s="28">
        <f t="shared" si="0"/>
        <v>117</v>
      </c>
      <c r="I35" s="29">
        <f t="shared" si="1"/>
        <v>39</v>
      </c>
      <c r="J35" s="27">
        <f t="shared" si="2"/>
        <v>36</v>
      </c>
      <c r="K35" s="27" t="str">
        <f t="shared" si="3"/>
        <v>TIDAK TUNTAS</v>
      </c>
      <c r="L35" s="13" t="str">
        <f t="shared" si="4"/>
        <v xml:space="preserve"> </v>
      </c>
      <c r="M35" s="1"/>
      <c r="N35" s="2">
        <f t="shared" si="5"/>
        <v>3.9</v>
      </c>
    </row>
    <row r="36" spans="1:14" ht="15.95" customHeight="1" x14ac:dyDescent="0.25">
      <c r="A36" s="13">
        <v>29</v>
      </c>
      <c r="B36" s="9" t="s">
        <v>1402</v>
      </c>
      <c r="C36" s="10" t="s">
        <v>911</v>
      </c>
      <c r="D36" s="11" t="s">
        <v>61</v>
      </c>
      <c r="E36" s="27">
        <v>6</v>
      </c>
      <c r="F36" s="27">
        <v>5</v>
      </c>
      <c r="G36" s="27">
        <v>5</v>
      </c>
      <c r="H36" s="28">
        <f t="shared" si="0"/>
        <v>192</v>
      </c>
      <c r="I36" s="29">
        <f t="shared" si="1"/>
        <v>64</v>
      </c>
      <c r="J36" s="27">
        <f t="shared" si="2"/>
        <v>28</v>
      </c>
      <c r="K36" s="27" t="str">
        <f t="shared" si="3"/>
        <v>TUNTAS</v>
      </c>
      <c r="L36" s="13" t="str">
        <f t="shared" si="4"/>
        <v xml:space="preserve"> </v>
      </c>
      <c r="M36" s="1"/>
      <c r="N36" s="2">
        <f t="shared" si="5"/>
        <v>6.4</v>
      </c>
    </row>
    <row r="37" spans="1:14" ht="15.95" customHeight="1" x14ac:dyDescent="0.25">
      <c r="A37" s="13">
        <v>30</v>
      </c>
      <c r="B37" s="9" t="s">
        <v>1403</v>
      </c>
      <c r="C37" s="10" t="s">
        <v>1275</v>
      </c>
      <c r="D37" s="11" t="s">
        <v>86</v>
      </c>
      <c r="E37" s="27">
        <v>1</v>
      </c>
      <c r="F37" s="27">
        <v>0</v>
      </c>
      <c r="G37" s="27">
        <v>0</v>
      </c>
      <c r="H37" s="28">
        <f t="shared" si="0"/>
        <v>297</v>
      </c>
      <c r="I37" s="29">
        <f t="shared" si="1"/>
        <v>99</v>
      </c>
      <c r="J37" s="27">
        <f t="shared" si="2"/>
        <v>2</v>
      </c>
      <c r="K37" s="27" t="str">
        <f t="shared" si="3"/>
        <v>TUNTAS</v>
      </c>
      <c r="L37" s="13" t="str">
        <f t="shared" si="4"/>
        <v xml:space="preserve"> </v>
      </c>
      <c r="M37" s="1"/>
      <c r="N37" s="2">
        <f t="shared" si="5"/>
        <v>9.9</v>
      </c>
    </row>
    <row r="38" spans="1:14" ht="15.95" customHeight="1" x14ac:dyDescent="0.25">
      <c r="A38" s="13">
        <v>31</v>
      </c>
      <c r="B38" s="9" t="s">
        <v>1404</v>
      </c>
      <c r="C38" s="10" t="s">
        <v>1191</v>
      </c>
      <c r="D38" s="11" t="s">
        <v>66</v>
      </c>
      <c r="E38" s="27">
        <v>4</v>
      </c>
      <c r="F38" s="27">
        <v>2</v>
      </c>
      <c r="G38" s="27">
        <v>3</v>
      </c>
      <c r="H38" s="28">
        <f t="shared" si="0"/>
        <v>237</v>
      </c>
      <c r="I38" s="29">
        <f t="shared" si="1"/>
        <v>79</v>
      </c>
      <c r="J38" s="27">
        <f t="shared" si="2"/>
        <v>19</v>
      </c>
      <c r="K38" s="27" t="str">
        <f t="shared" si="3"/>
        <v>TUNTAS</v>
      </c>
      <c r="L38" s="13" t="str">
        <f t="shared" si="4"/>
        <v xml:space="preserve"> </v>
      </c>
      <c r="M38" s="1"/>
      <c r="N38" s="2">
        <f t="shared" si="5"/>
        <v>7.9</v>
      </c>
    </row>
    <row r="39" spans="1:14" ht="15.95" customHeight="1" x14ac:dyDescent="0.25">
      <c r="A39" s="13">
        <v>32</v>
      </c>
      <c r="B39" s="9" t="s">
        <v>1405</v>
      </c>
      <c r="C39" s="10" t="s">
        <v>1584</v>
      </c>
      <c r="D39" s="11" t="s">
        <v>98</v>
      </c>
      <c r="E39" s="27">
        <v>32</v>
      </c>
      <c r="F39" s="27">
        <v>32</v>
      </c>
      <c r="G39" s="27">
        <v>5</v>
      </c>
      <c r="H39" s="28">
        <f t="shared" si="0"/>
        <v>33</v>
      </c>
      <c r="I39" s="29">
        <f t="shared" si="1"/>
        <v>11</v>
      </c>
      <c r="J39" s="27">
        <f t="shared" si="2"/>
        <v>37</v>
      </c>
      <c r="K39" s="27" t="str">
        <f t="shared" si="3"/>
        <v>TIDAK HADIR</v>
      </c>
      <c r="L39" s="13" t="str">
        <f t="shared" si="4"/>
        <v xml:space="preserve"> </v>
      </c>
      <c r="M39" s="1"/>
      <c r="N39" s="2">
        <f t="shared" si="5"/>
        <v>1.1000000000000001</v>
      </c>
    </row>
    <row r="40" spans="1:14" x14ac:dyDescent="0.25">
      <c r="A40" s="13">
        <v>33</v>
      </c>
      <c r="B40" s="9" t="s">
        <v>1406</v>
      </c>
      <c r="C40" s="10" t="s">
        <v>1365</v>
      </c>
      <c r="D40" s="11" t="s">
        <v>121</v>
      </c>
      <c r="E40" s="27">
        <v>3</v>
      </c>
      <c r="F40" s="27">
        <v>0</v>
      </c>
      <c r="G40" s="27">
        <v>3</v>
      </c>
      <c r="H40" s="28">
        <f t="shared" si="0"/>
        <v>246</v>
      </c>
      <c r="I40" s="29">
        <f t="shared" si="1"/>
        <v>82</v>
      </c>
      <c r="J40" s="27">
        <f t="shared" si="2"/>
        <v>15</v>
      </c>
      <c r="K40" s="27" t="str">
        <f t="shared" si="3"/>
        <v>TUNTAS</v>
      </c>
      <c r="L40" s="13" t="str">
        <f t="shared" si="4"/>
        <v xml:space="preserve"> </v>
      </c>
      <c r="M40" s="1"/>
      <c r="N40" s="2">
        <f t="shared" si="5"/>
        <v>8.1999999999999993</v>
      </c>
    </row>
    <row r="41" spans="1:14" x14ac:dyDescent="0.25">
      <c r="A41" s="13">
        <v>34</v>
      </c>
      <c r="B41" s="9" t="s">
        <v>1407</v>
      </c>
      <c r="C41" s="10" t="s">
        <v>1015</v>
      </c>
      <c r="D41" s="11" t="s">
        <v>69</v>
      </c>
      <c r="E41" s="27">
        <v>4</v>
      </c>
      <c r="F41" s="27">
        <v>4</v>
      </c>
      <c r="G41" s="27">
        <v>5</v>
      </c>
      <c r="H41" s="28">
        <f t="shared" si="0"/>
        <v>201</v>
      </c>
      <c r="I41" s="29">
        <f t="shared" si="1"/>
        <v>67</v>
      </c>
      <c r="J41" s="27">
        <f t="shared" si="2"/>
        <v>24</v>
      </c>
      <c r="K41" s="27" t="str">
        <f t="shared" si="3"/>
        <v>TUNTAS</v>
      </c>
      <c r="L41" s="13" t="str">
        <f t="shared" si="4"/>
        <v xml:space="preserve"> </v>
      </c>
      <c r="M41" s="1"/>
      <c r="N41" s="2">
        <f t="shared" si="5"/>
        <v>6.7</v>
      </c>
    </row>
    <row r="42" spans="1:14" x14ac:dyDescent="0.25">
      <c r="A42" s="13">
        <v>35</v>
      </c>
      <c r="B42" s="9" t="s">
        <v>1408</v>
      </c>
      <c r="C42" s="10" t="s">
        <v>921</v>
      </c>
      <c r="D42" s="11" t="s">
        <v>99</v>
      </c>
      <c r="E42" s="27">
        <v>4</v>
      </c>
      <c r="F42" s="27">
        <v>1</v>
      </c>
      <c r="G42" s="27">
        <v>1</v>
      </c>
      <c r="H42" s="28">
        <f t="shared" si="0"/>
        <v>270</v>
      </c>
      <c r="I42" s="29">
        <f t="shared" si="1"/>
        <v>90</v>
      </c>
      <c r="J42" s="27">
        <f t="shared" si="2"/>
        <v>6</v>
      </c>
      <c r="K42" s="27" t="str">
        <f t="shared" si="3"/>
        <v>TUNTAS</v>
      </c>
      <c r="L42" s="13" t="str">
        <f t="shared" si="4"/>
        <v xml:space="preserve"> </v>
      </c>
      <c r="M42" s="1"/>
      <c r="N42" s="2">
        <f t="shared" si="5"/>
        <v>9</v>
      </c>
    </row>
    <row r="43" spans="1:14" x14ac:dyDescent="0.25">
      <c r="A43" s="13">
        <v>36</v>
      </c>
      <c r="B43" s="9" t="s">
        <v>1409</v>
      </c>
      <c r="C43" s="10" t="s">
        <v>386</v>
      </c>
      <c r="D43" s="11" t="s">
        <v>131</v>
      </c>
      <c r="E43" s="27">
        <v>3</v>
      </c>
      <c r="F43" s="27">
        <v>2</v>
      </c>
      <c r="G43" s="27">
        <v>2</v>
      </c>
      <c r="H43" s="28">
        <f t="shared" si="0"/>
        <v>255</v>
      </c>
      <c r="I43" s="29">
        <f t="shared" si="1"/>
        <v>85</v>
      </c>
      <c r="J43" s="27">
        <f t="shared" si="2"/>
        <v>14</v>
      </c>
      <c r="K43" s="27" t="str">
        <f t="shared" si="3"/>
        <v>TUNTAS</v>
      </c>
      <c r="L43" s="13" t="str">
        <f t="shared" si="4"/>
        <v xml:space="preserve"> </v>
      </c>
      <c r="M43" s="1"/>
      <c r="N43" s="2">
        <f t="shared" si="5"/>
        <v>8.5</v>
      </c>
    </row>
    <row r="44" spans="1:14" x14ac:dyDescent="0.25">
      <c r="A44" s="13">
        <v>37</v>
      </c>
      <c r="B44" s="9" t="s">
        <v>1410</v>
      </c>
      <c r="C44" s="10" t="s">
        <v>1022</v>
      </c>
      <c r="D44" s="11" t="s">
        <v>349</v>
      </c>
      <c r="E44" s="27">
        <v>1</v>
      </c>
      <c r="F44" s="27">
        <v>0</v>
      </c>
      <c r="G44" s="27">
        <v>2</v>
      </c>
      <c r="H44" s="28">
        <f t="shared" si="0"/>
        <v>267</v>
      </c>
      <c r="I44" s="29">
        <f t="shared" si="1"/>
        <v>89</v>
      </c>
      <c r="J44" s="27">
        <f t="shared" si="2"/>
        <v>8</v>
      </c>
      <c r="K44" s="27" t="str">
        <f t="shared" si="3"/>
        <v>TUNTAS</v>
      </c>
      <c r="L44" s="13" t="str">
        <f t="shared" si="4"/>
        <v xml:space="preserve"> </v>
      </c>
      <c r="M44" s="1"/>
      <c r="N44" s="2">
        <f t="shared" si="5"/>
        <v>8.9</v>
      </c>
    </row>
  </sheetData>
  <autoFilter ref="B5:L7" xr:uid="{B41BB145-5369-4052-A31A-3ED4E578C647}">
    <filterColumn colId="3" showButton="0"/>
    <filterColumn colId="4" showButton="0"/>
    <sortState xmlns:xlrd2="http://schemas.microsoft.com/office/spreadsheetml/2017/richdata2" ref="B10:L44">
      <sortCondition ref="B5:B7"/>
    </sortState>
  </autoFilter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8">
    <cfRule type="cellIs" dxfId="53" priority="14" operator="equal">
      <formula>0</formula>
    </cfRule>
  </conditionalFormatting>
  <conditionalFormatting sqref="I8:I44">
    <cfRule type="cellIs" dxfId="52" priority="8" operator="lessThan">
      <formula>60</formula>
    </cfRule>
    <cfRule type="cellIs" dxfId="51" priority="9" operator="lessThan">
      <formula>60</formula>
    </cfRule>
    <cfRule type="cellIs" dxfId="50" priority="10" operator="lessThan">
      <formula>50</formula>
    </cfRule>
  </conditionalFormatting>
  <conditionalFormatting sqref="K8:K44">
    <cfRule type="cellIs" dxfId="49" priority="1" operator="equal">
      <formula>"TIDAK BACA"</formula>
    </cfRule>
    <cfRule type="cellIs" dxfId="48" priority="2" operator="equal">
      <formula>"TIDAK TUNTAS"</formula>
    </cfRule>
    <cfRule type="cellIs" dxfId="47" priority="3" operator="equal">
      <formula>"TUNTAS"</formula>
    </cfRule>
    <cfRule type="cellIs" dxfId="46" priority="4" operator="equal">
      <formula>"TIDAK HADIR"</formula>
    </cfRule>
    <cfRule type="cellIs" dxfId="45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5:D15 C17 C11:D13 C9:D9" xr:uid="{109159A6-0A99-49C7-8AF6-E3C328A1AAA5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215B-4403-44BB-A63F-79688F14BA7E}">
  <sheetPr>
    <tabColor theme="9" tint="0.59999389629810485"/>
  </sheetPr>
  <dimension ref="A1:N49"/>
  <sheetViews>
    <sheetView zoomScaleNormal="100" workbookViewId="0">
      <pane xSplit="1" ySplit="7" topLeftCell="B38" activePane="bottomRight" state="frozen"/>
      <selection activeCell="M39" sqref="M39"/>
      <selection pane="topRight" activeCell="M39" sqref="M39"/>
      <selection pane="bottomLeft" activeCell="M39" sqref="M39"/>
      <selection pane="bottomRight" activeCell="N8" sqref="N8:N49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1411</v>
      </c>
      <c r="C8" s="10" t="s">
        <v>1288</v>
      </c>
      <c r="D8" s="11" t="s">
        <v>14</v>
      </c>
      <c r="E8" s="27">
        <v>6</v>
      </c>
      <c r="F8" s="27">
        <v>0</v>
      </c>
      <c r="G8" s="27">
        <v>3</v>
      </c>
      <c r="H8" s="28">
        <f>100-E8*3+100-F8*3+100-G8*15</f>
        <v>237</v>
      </c>
      <c r="I8" s="29">
        <f t="shared" ref="I8:I49" si="0">H8/3</f>
        <v>79</v>
      </c>
      <c r="J8" s="27">
        <f t="shared" ref="J8:J49" si="1">RANK(H8,$H$8:$H$88)</f>
        <v>24</v>
      </c>
      <c r="K8" s="27" t="str">
        <f t="shared" ref="K8:K44" si="2">IF(I8&lt;11.1,"TIDAK HADIR",IF(I8&lt;13.1,"TIDAK BACA",IF(I8&lt;$K$7,"TIDAK TUNTAS","TUNTAS")))</f>
        <v>TUNTAS</v>
      </c>
      <c r="L8" s="13" t="str">
        <f>IF(G8&gt;5,"TM"," ")</f>
        <v xml:space="preserve"> </v>
      </c>
      <c r="M8" s="1"/>
      <c r="N8" s="2">
        <f>I8/10</f>
        <v>7.9</v>
      </c>
    </row>
    <row r="9" spans="1:14" ht="15.95" customHeight="1" x14ac:dyDescent="0.25">
      <c r="A9" s="13">
        <v>2</v>
      </c>
      <c r="B9" s="9" t="s">
        <v>1412</v>
      </c>
      <c r="C9" s="10" t="s">
        <v>1291</v>
      </c>
      <c r="D9" s="11" t="s">
        <v>18</v>
      </c>
      <c r="E9" s="27">
        <v>7</v>
      </c>
      <c r="F9" s="27">
        <v>6</v>
      </c>
      <c r="G9" s="27">
        <v>4</v>
      </c>
      <c r="H9" s="28">
        <f t="shared" ref="H9:H49" si="3">100-E9*3+100-F9*3+100-G9*15</f>
        <v>201</v>
      </c>
      <c r="I9" s="29">
        <f t="shared" si="0"/>
        <v>67</v>
      </c>
      <c r="J9" s="27">
        <f t="shared" si="1"/>
        <v>31</v>
      </c>
      <c r="K9" s="27" t="str">
        <f t="shared" si="2"/>
        <v>TUNTAS</v>
      </c>
      <c r="L9" s="13" t="str">
        <f t="shared" ref="L9:L48" si="4">IF(G9&gt;5,"TM"," ")</f>
        <v xml:space="preserve"> </v>
      </c>
      <c r="M9" s="1"/>
      <c r="N9" s="2">
        <f t="shared" ref="N9:N49" si="5">I9/10</f>
        <v>6.7</v>
      </c>
    </row>
    <row r="10" spans="1:14" ht="15.95" customHeight="1" x14ac:dyDescent="0.25">
      <c r="A10" s="13">
        <v>3</v>
      </c>
      <c r="B10" s="9" t="s">
        <v>1413</v>
      </c>
      <c r="C10" s="10" t="s">
        <v>1208</v>
      </c>
      <c r="D10" s="11" t="s">
        <v>122</v>
      </c>
      <c r="E10" s="27">
        <v>4</v>
      </c>
      <c r="F10" s="27">
        <v>1</v>
      </c>
      <c r="G10" s="27">
        <v>1</v>
      </c>
      <c r="H10" s="28">
        <f t="shared" si="3"/>
        <v>270</v>
      </c>
      <c r="I10" s="29">
        <f t="shared" si="0"/>
        <v>90</v>
      </c>
      <c r="J10" s="27">
        <f t="shared" si="1"/>
        <v>12</v>
      </c>
      <c r="K10" s="27" t="str">
        <f t="shared" si="2"/>
        <v>TUNTAS</v>
      </c>
      <c r="L10" s="13" t="str">
        <f t="shared" si="4"/>
        <v xml:space="preserve"> </v>
      </c>
      <c r="M10" s="1"/>
      <c r="N10" s="2">
        <f t="shared" si="5"/>
        <v>9</v>
      </c>
    </row>
    <row r="11" spans="1:14" ht="15.95" customHeight="1" x14ac:dyDescent="0.25">
      <c r="A11" s="13">
        <v>4</v>
      </c>
      <c r="B11" s="9" t="s">
        <v>1414</v>
      </c>
      <c r="C11" s="10" t="s">
        <v>847</v>
      </c>
      <c r="D11" s="11" t="s">
        <v>20</v>
      </c>
      <c r="E11" s="27">
        <v>23</v>
      </c>
      <c r="F11" s="27">
        <v>20</v>
      </c>
      <c r="G11" s="27">
        <v>6</v>
      </c>
      <c r="H11" s="28">
        <f t="shared" si="3"/>
        <v>81</v>
      </c>
      <c r="I11" s="29">
        <f t="shared" si="0"/>
        <v>27</v>
      </c>
      <c r="J11" s="27">
        <f t="shared" si="1"/>
        <v>39</v>
      </c>
      <c r="K11" s="27" t="str">
        <f t="shared" si="2"/>
        <v>TIDAK TUNTAS</v>
      </c>
      <c r="L11" s="13" t="str">
        <f t="shared" si="4"/>
        <v>TM</v>
      </c>
      <c r="M11" s="1"/>
      <c r="N11" s="2">
        <f t="shared" si="5"/>
        <v>2.7</v>
      </c>
    </row>
    <row r="12" spans="1:14" ht="15.95" customHeight="1" x14ac:dyDescent="0.25">
      <c r="A12" s="13">
        <v>5</v>
      </c>
      <c r="B12" s="9" t="s">
        <v>1415</v>
      </c>
      <c r="C12" s="10" t="s">
        <v>853</v>
      </c>
      <c r="D12" s="11" t="s">
        <v>143</v>
      </c>
      <c r="E12" s="27">
        <v>5</v>
      </c>
      <c r="F12" s="27">
        <v>4</v>
      </c>
      <c r="G12" s="27">
        <v>0</v>
      </c>
      <c r="H12" s="28">
        <f t="shared" si="3"/>
        <v>273</v>
      </c>
      <c r="I12" s="29">
        <f t="shared" si="0"/>
        <v>91</v>
      </c>
      <c r="J12" s="27">
        <f t="shared" si="1"/>
        <v>11</v>
      </c>
      <c r="K12" s="27" t="str">
        <f t="shared" si="2"/>
        <v>TUNTAS</v>
      </c>
      <c r="L12" s="13" t="str">
        <f t="shared" si="4"/>
        <v xml:space="preserve"> </v>
      </c>
      <c r="M12" s="1"/>
      <c r="N12" s="2">
        <f t="shared" si="5"/>
        <v>9.1</v>
      </c>
    </row>
    <row r="13" spans="1:14" ht="15.95" customHeight="1" x14ac:dyDescent="0.25">
      <c r="A13" s="13">
        <v>6</v>
      </c>
      <c r="B13" s="9" t="s">
        <v>1416</v>
      </c>
      <c r="C13" s="10" t="s">
        <v>855</v>
      </c>
      <c r="D13" s="11" t="s">
        <v>25</v>
      </c>
      <c r="E13" s="27">
        <v>12</v>
      </c>
      <c r="F13" s="27">
        <v>7</v>
      </c>
      <c r="G13" s="27">
        <v>3</v>
      </c>
      <c r="H13" s="28">
        <f t="shared" si="3"/>
        <v>198</v>
      </c>
      <c r="I13" s="29">
        <f t="shared" si="0"/>
        <v>66</v>
      </c>
      <c r="J13" s="27">
        <f t="shared" si="1"/>
        <v>32</v>
      </c>
      <c r="K13" s="27" t="str">
        <f t="shared" si="2"/>
        <v>TUNTAS</v>
      </c>
      <c r="L13" s="13" t="str">
        <f t="shared" si="4"/>
        <v xml:space="preserve"> </v>
      </c>
      <c r="M13" s="1"/>
      <c r="N13" s="2">
        <f t="shared" si="5"/>
        <v>6.6</v>
      </c>
    </row>
    <row r="14" spans="1:14" ht="15.95" customHeight="1" x14ac:dyDescent="0.25">
      <c r="A14" s="13">
        <v>7</v>
      </c>
      <c r="B14" s="9" t="s">
        <v>1417</v>
      </c>
      <c r="C14" s="10" t="s">
        <v>858</v>
      </c>
      <c r="D14" s="11" t="s">
        <v>75</v>
      </c>
      <c r="E14" s="27">
        <v>7</v>
      </c>
      <c r="F14" s="27">
        <v>1</v>
      </c>
      <c r="G14" s="27">
        <v>3</v>
      </c>
      <c r="H14" s="28">
        <f t="shared" si="3"/>
        <v>231</v>
      </c>
      <c r="I14" s="29">
        <f t="shared" si="0"/>
        <v>77</v>
      </c>
      <c r="J14" s="27">
        <f t="shared" si="1"/>
        <v>26</v>
      </c>
      <c r="K14" s="27" t="str">
        <f t="shared" si="2"/>
        <v>TUNTAS</v>
      </c>
      <c r="L14" s="13" t="str">
        <f t="shared" si="4"/>
        <v xml:space="preserve"> </v>
      </c>
      <c r="M14" s="1"/>
      <c r="N14" s="2">
        <f t="shared" si="5"/>
        <v>7.7</v>
      </c>
    </row>
    <row r="15" spans="1:14" ht="15.95" customHeight="1" x14ac:dyDescent="0.25">
      <c r="A15" s="13">
        <v>8</v>
      </c>
      <c r="B15" s="9" t="s">
        <v>1418</v>
      </c>
      <c r="C15" s="17" t="s">
        <v>1035</v>
      </c>
      <c r="D15" s="18" t="s">
        <v>77</v>
      </c>
      <c r="E15" s="27">
        <v>32</v>
      </c>
      <c r="F15" s="27">
        <v>32</v>
      </c>
      <c r="G15" s="27">
        <v>5</v>
      </c>
      <c r="H15" s="28">
        <f t="shared" si="3"/>
        <v>33</v>
      </c>
      <c r="I15" s="29">
        <f t="shared" si="0"/>
        <v>11</v>
      </c>
      <c r="J15" s="27">
        <f t="shared" si="1"/>
        <v>40</v>
      </c>
      <c r="K15" s="27" t="str">
        <f t="shared" si="2"/>
        <v>TIDAK HADIR</v>
      </c>
      <c r="L15" s="13" t="s">
        <v>3264</v>
      </c>
      <c r="N15" s="2">
        <f t="shared" si="5"/>
        <v>1.1000000000000001</v>
      </c>
    </row>
    <row r="16" spans="1:14" ht="15.95" customHeight="1" x14ac:dyDescent="0.25">
      <c r="A16" s="13">
        <v>9</v>
      </c>
      <c r="B16" s="9" t="s">
        <v>1419</v>
      </c>
      <c r="C16" s="10" t="s">
        <v>950</v>
      </c>
      <c r="D16" s="11" t="s">
        <v>114</v>
      </c>
      <c r="E16" s="27">
        <v>32</v>
      </c>
      <c r="F16" s="27">
        <v>32</v>
      </c>
      <c r="G16" s="27">
        <v>5</v>
      </c>
      <c r="H16" s="28">
        <f t="shared" si="3"/>
        <v>33</v>
      </c>
      <c r="I16" s="29">
        <f t="shared" si="0"/>
        <v>11</v>
      </c>
      <c r="J16" s="27">
        <f t="shared" si="1"/>
        <v>40</v>
      </c>
      <c r="K16" s="27" t="str">
        <f t="shared" si="2"/>
        <v>TIDAK HADIR</v>
      </c>
      <c r="L16" s="13" t="s">
        <v>3264</v>
      </c>
      <c r="M16" s="13"/>
      <c r="N16" s="2">
        <f t="shared" si="5"/>
        <v>1.1000000000000001</v>
      </c>
    </row>
    <row r="17" spans="1:14" ht="15.95" customHeight="1" x14ac:dyDescent="0.25">
      <c r="A17" s="13">
        <v>10</v>
      </c>
      <c r="B17" s="9" t="s">
        <v>1420</v>
      </c>
      <c r="C17" s="10" t="s">
        <v>866</v>
      </c>
      <c r="D17" s="11" t="s">
        <v>91</v>
      </c>
      <c r="E17" s="27">
        <v>0</v>
      </c>
      <c r="F17" s="27">
        <v>0</v>
      </c>
      <c r="G17" s="27">
        <v>1</v>
      </c>
      <c r="H17" s="28">
        <f t="shared" si="3"/>
        <v>285</v>
      </c>
      <c r="I17" s="29">
        <f t="shared" si="0"/>
        <v>95</v>
      </c>
      <c r="J17" s="27">
        <f t="shared" si="1"/>
        <v>8</v>
      </c>
      <c r="K17" s="27" t="str">
        <f t="shared" si="2"/>
        <v>TUNTAS</v>
      </c>
      <c r="L17" s="13" t="str">
        <f t="shared" si="4"/>
        <v xml:space="preserve"> </v>
      </c>
      <c r="M17" s="1"/>
      <c r="N17" s="2">
        <f t="shared" si="5"/>
        <v>9.5</v>
      </c>
    </row>
    <row r="18" spans="1:14" ht="15.95" customHeight="1" x14ac:dyDescent="0.25">
      <c r="A18" s="13">
        <v>11</v>
      </c>
      <c r="B18" s="9" t="s">
        <v>1421</v>
      </c>
      <c r="C18" s="17" t="s">
        <v>868</v>
      </c>
      <c r="D18" s="18" t="s">
        <v>125</v>
      </c>
      <c r="E18" s="27">
        <v>6</v>
      </c>
      <c r="F18" s="27">
        <v>6</v>
      </c>
      <c r="G18" s="27">
        <v>5</v>
      </c>
      <c r="H18" s="28">
        <f t="shared" si="3"/>
        <v>189</v>
      </c>
      <c r="I18" s="29">
        <f t="shared" si="0"/>
        <v>63</v>
      </c>
      <c r="J18" s="27">
        <f t="shared" si="1"/>
        <v>33</v>
      </c>
      <c r="K18" s="27" t="str">
        <f t="shared" si="2"/>
        <v>TUNTAS</v>
      </c>
      <c r="L18" s="13" t="str">
        <f t="shared" si="4"/>
        <v xml:space="preserve"> </v>
      </c>
      <c r="M18" s="1"/>
      <c r="N18" s="2">
        <f t="shared" si="5"/>
        <v>6.3</v>
      </c>
    </row>
    <row r="19" spans="1:14" ht="15.95" customHeight="1" x14ac:dyDescent="0.25">
      <c r="A19" s="13">
        <v>12</v>
      </c>
      <c r="B19" s="9" t="s">
        <v>1422</v>
      </c>
      <c r="C19" s="17" t="s">
        <v>1134</v>
      </c>
      <c r="D19" s="18" t="s">
        <v>79</v>
      </c>
      <c r="E19" s="27">
        <v>4</v>
      </c>
      <c r="F19" s="27">
        <v>3</v>
      </c>
      <c r="G19" s="27">
        <v>3</v>
      </c>
      <c r="H19" s="28">
        <f t="shared" si="3"/>
        <v>234</v>
      </c>
      <c r="I19" s="29">
        <f t="shared" si="0"/>
        <v>78</v>
      </c>
      <c r="J19" s="27">
        <f t="shared" si="1"/>
        <v>25</v>
      </c>
      <c r="K19" s="27" t="str">
        <f t="shared" si="2"/>
        <v>TUNTAS</v>
      </c>
      <c r="L19" s="13" t="str">
        <f t="shared" si="4"/>
        <v xml:space="preserve"> </v>
      </c>
      <c r="M19" s="1"/>
      <c r="N19" s="2">
        <f t="shared" si="5"/>
        <v>7.8</v>
      </c>
    </row>
    <row r="20" spans="1:14" ht="15.95" customHeight="1" x14ac:dyDescent="0.25">
      <c r="A20" s="13">
        <v>13</v>
      </c>
      <c r="B20" s="9" t="s">
        <v>1423</v>
      </c>
      <c r="C20" s="10" t="s">
        <v>1046</v>
      </c>
      <c r="D20" s="11" t="s">
        <v>34</v>
      </c>
      <c r="E20" s="27">
        <v>4</v>
      </c>
      <c r="F20" s="27">
        <v>2</v>
      </c>
      <c r="G20" s="27">
        <v>2</v>
      </c>
      <c r="H20" s="28">
        <f t="shared" si="3"/>
        <v>252</v>
      </c>
      <c r="I20" s="29">
        <f t="shared" si="0"/>
        <v>84</v>
      </c>
      <c r="J20" s="27">
        <f t="shared" si="1"/>
        <v>17</v>
      </c>
      <c r="K20" s="27" t="str">
        <f t="shared" si="2"/>
        <v>TUNTAS</v>
      </c>
      <c r="L20" s="13" t="str">
        <f t="shared" si="4"/>
        <v xml:space="preserve"> </v>
      </c>
      <c r="M20" s="1"/>
      <c r="N20" s="2">
        <f t="shared" si="5"/>
        <v>8.4</v>
      </c>
    </row>
    <row r="21" spans="1:14" ht="15.95" customHeight="1" x14ac:dyDescent="0.25">
      <c r="A21" s="13">
        <v>14</v>
      </c>
      <c r="B21" s="9" t="s">
        <v>1424</v>
      </c>
      <c r="C21" s="10" t="s">
        <v>1314</v>
      </c>
      <c r="D21" s="11" t="s">
        <v>103</v>
      </c>
      <c r="E21" s="27">
        <v>1</v>
      </c>
      <c r="F21" s="27">
        <v>0</v>
      </c>
      <c r="G21" s="27">
        <v>0</v>
      </c>
      <c r="H21" s="28">
        <f t="shared" si="3"/>
        <v>297</v>
      </c>
      <c r="I21" s="29">
        <f t="shared" si="0"/>
        <v>99</v>
      </c>
      <c r="J21" s="27">
        <f t="shared" si="1"/>
        <v>2</v>
      </c>
      <c r="K21" s="27" t="str">
        <f t="shared" si="2"/>
        <v>TUNTAS</v>
      </c>
      <c r="L21" s="13" t="str">
        <f t="shared" si="4"/>
        <v xml:space="preserve"> </v>
      </c>
      <c r="M21" s="1"/>
      <c r="N21" s="2">
        <f t="shared" si="5"/>
        <v>9.9</v>
      </c>
    </row>
    <row r="22" spans="1:14" ht="15.95" customHeight="1" x14ac:dyDescent="0.25">
      <c r="A22" s="13">
        <v>15</v>
      </c>
      <c r="B22" s="9" t="s">
        <v>1425</v>
      </c>
      <c r="C22" s="10" t="s">
        <v>964</v>
      </c>
      <c r="D22" s="11" t="s">
        <v>93</v>
      </c>
      <c r="E22" s="27">
        <v>2</v>
      </c>
      <c r="F22" s="27">
        <v>0</v>
      </c>
      <c r="G22" s="27">
        <v>3</v>
      </c>
      <c r="H22" s="28">
        <f t="shared" si="3"/>
        <v>249</v>
      </c>
      <c r="I22" s="29">
        <f t="shared" si="0"/>
        <v>83</v>
      </c>
      <c r="J22" s="27">
        <f t="shared" si="1"/>
        <v>18</v>
      </c>
      <c r="K22" s="27" t="str">
        <f t="shared" si="2"/>
        <v>TUNTAS</v>
      </c>
      <c r="L22" s="13" t="str">
        <f t="shared" si="4"/>
        <v xml:space="preserve"> </v>
      </c>
      <c r="M22" s="1"/>
      <c r="N22" s="2">
        <f t="shared" si="5"/>
        <v>8.3000000000000007</v>
      </c>
    </row>
    <row r="23" spans="1:14" ht="15.95" customHeight="1" x14ac:dyDescent="0.25">
      <c r="A23" s="13">
        <v>16</v>
      </c>
      <c r="B23" s="9" t="s">
        <v>1426</v>
      </c>
      <c r="C23" s="10" t="s">
        <v>878</v>
      </c>
      <c r="D23" s="11" t="s">
        <v>36</v>
      </c>
      <c r="E23" s="27">
        <v>32</v>
      </c>
      <c r="F23" s="27">
        <v>32</v>
      </c>
      <c r="G23" s="27">
        <v>5</v>
      </c>
      <c r="H23" s="28">
        <f t="shared" si="3"/>
        <v>33</v>
      </c>
      <c r="I23" s="29">
        <f t="shared" si="0"/>
        <v>11</v>
      </c>
      <c r="J23" s="27">
        <f t="shared" si="1"/>
        <v>40</v>
      </c>
      <c r="K23" s="27" t="str">
        <f t="shared" si="2"/>
        <v>TIDAK HADIR</v>
      </c>
      <c r="L23" s="13" t="s">
        <v>3264</v>
      </c>
      <c r="M23" s="1"/>
      <c r="N23" s="2">
        <f t="shared" si="5"/>
        <v>1.1000000000000001</v>
      </c>
    </row>
    <row r="24" spans="1:14" ht="15.95" customHeight="1" x14ac:dyDescent="0.25">
      <c r="A24" s="13">
        <v>17</v>
      </c>
      <c r="B24" s="9" t="s">
        <v>1427</v>
      </c>
      <c r="C24" s="10" t="s">
        <v>1144</v>
      </c>
      <c r="D24" s="11" t="s">
        <v>126</v>
      </c>
      <c r="E24" s="27">
        <v>2</v>
      </c>
      <c r="F24" s="27">
        <v>0</v>
      </c>
      <c r="G24" s="27">
        <v>0</v>
      </c>
      <c r="H24" s="28">
        <f t="shared" si="3"/>
        <v>294</v>
      </c>
      <c r="I24" s="29">
        <f t="shared" si="0"/>
        <v>98</v>
      </c>
      <c r="J24" s="27">
        <f t="shared" si="1"/>
        <v>4</v>
      </c>
      <c r="K24" s="27" t="str">
        <f t="shared" si="2"/>
        <v>TUNTAS</v>
      </c>
      <c r="L24" s="13" t="str">
        <f t="shared" si="4"/>
        <v xml:space="preserve"> </v>
      </c>
      <c r="M24" s="1"/>
      <c r="N24" s="2">
        <f t="shared" si="5"/>
        <v>9.8000000000000007</v>
      </c>
    </row>
    <row r="25" spans="1:14" ht="15.95" customHeight="1" x14ac:dyDescent="0.25">
      <c r="A25" s="30">
        <v>18</v>
      </c>
      <c r="B25" s="9" t="s">
        <v>1428</v>
      </c>
      <c r="C25" s="10" t="s">
        <v>1058</v>
      </c>
      <c r="D25" s="11" t="s">
        <v>105</v>
      </c>
      <c r="E25" s="27">
        <v>6</v>
      </c>
      <c r="F25" s="27">
        <v>1</v>
      </c>
      <c r="G25" s="27">
        <v>0</v>
      </c>
      <c r="H25" s="28">
        <f t="shared" si="3"/>
        <v>279</v>
      </c>
      <c r="I25" s="29">
        <f t="shared" si="0"/>
        <v>93</v>
      </c>
      <c r="J25" s="27">
        <f t="shared" si="1"/>
        <v>9</v>
      </c>
      <c r="K25" s="27" t="str">
        <f t="shared" si="2"/>
        <v>TUNTAS</v>
      </c>
      <c r="L25" s="13" t="str">
        <f t="shared" si="4"/>
        <v xml:space="preserve"> </v>
      </c>
      <c r="M25" s="1"/>
      <c r="N25" s="2">
        <f t="shared" si="5"/>
        <v>9.3000000000000007</v>
      </c>
    </row>
    <row r="26" spans="1:14" ht="15.95" customHeight="1" x14ac:dyDescent="0.25">
      <c r="A26" s="13">
        <v>19</v>
      </c>
      <c r="B26" s="9" t="s">
        <v>1429</v>
      </c>
      <c r="C26" s="10" t="s">
        <v>884</v>
      </c>
      <c r="D26" s="11" t="s">
        <v>284</v>
      </c>
      <c r="E26" s="27">
        <v>3</v>
      </c>
      <c r="F26" s="27">
        <v>0</v>
      </c>
      <c r="G26" s="27">
        <v>0</v>
      </c>
      <c r="H26" s="28">
        <f t="shared" si="3"/>
        <v>291</v>
      </c>
      <c r="I26" s="29">
        <f t="shared" si="0"/>
        <v>97</v>
      </c>
      <c r="J26" s="27">
        <f t="shared" si="1"/>
        <v>6</v>
      </c>
      <c r="K26" s="27" t="str">
        <f t="shared" si="2"/>
        <v>TUNTAS</v>
      </c>
      <c r="L26" s="13" t="str">
        <f t="shared" si="4"/>
        <v xml:space="preserve"> </v>
      </c>
      <c r="M26" s="1"/>
      <c r="N26" s="2">
        <f t="shared" si="5"/>
        <v>9.6999999999999993</v>
      </c>
    </row>
    <row r="27" spans="1:14" ht="15.95" customHeight="1" x14ac:dyDescent="0.25">
      <c r="A27" s="13">
        <v>20</v>
      </c>
      <c r="B27" s="9" t="s">
        <v>1430</v>
      </c>
      <c r="C27" s="10" t="s">
        <v>1152</v>
      </c>
      <c r="D27" s="11" t="s">
        <v>81</v>
      </c>
      <c r="E27" s="27">
        <v>4</v>
      </c>
      <c r="F27" s="27">
        <v>1</v>
      </c>
      <c r="G27" s="27">
        <v>3</v>
      </c>
      <c r="H27" s="28">
        <f t="shared" si="3"/>
        <v>240</v>
      </c>
      <c r="I27" s="29">
        <f t="shared" si="0"/>
        <v>80</v>
      </c>
      <c r="J27" s="27">
        <f t="shared" si="1"/>
        <v>23</v>
      </c>
      <c r="K27" s="27" t="str">
        <f t="shared" si="2"/>
        <v>TUNTAS</v>
      </c>
      <c r="L27" s="13" t="str">
        <f t="shared" si="4"/>
        <v xml:space="preserve"> </v>
      </c>
      <c r="M27" s="1"/>
      <c r="N27" s="2">
        <f t="shared" si="5"/>
        <v>8</v>
      </c>
    </row>
    <row r="28" spans="1:14" ht="15.95" customHeight="1" x14ac:dyDescent="0.25">
      <c r="A28" s="13">
        <v>21</v>
      </c>
      <c r="B28" s="9" t="s">
        <v>1431</v>
      </c>
      <c r="C28" s="10" t="s">
        <v>1329</v>
      </c>
      <c r="D28" s="11" t="s">
        <v>82</v>
      </c>
      <c r="E28" s="27">
        <v>16</v>
      </c>
      <c r="F28" s="27">
        <v>15</v>
      </c>
      <c r="G28" s="27">
        <v>4</v>
      </c>
      <c r="H28" s="28">
        <f t="shared" si="3"/>
        <v>147</v>
      </c>
      <c r="I28" s="29">
        <f t="shared" si="0"/>
        <v>49</v>
      </c>
      <c r="J28" s="27">
        <f t="shared" si="1"/>
        <v>38</v>
      </c>
      <c r="K28" s="27" t="str">
        <f t="shared" si="2"/>
        <v>TIDAK TUNTAS</v>
      </c>
      <c r="L28" s="13" t="str">
        <f t="shared" si="4"/>
        <v xml:space="preserve"> </v>
      </c>
      <c r="M28" s="1"/>
      <c r="N28" s="2">
        <f t="shared" si="5"/>
        <v>4.9000000000000004</v>
      </c>
    </row>
    <row r="29" spans="1:14" ht="15.95" customHeight="1" x14ac:dyDescent="0.25">
      <c r="A29" s="13">
        <v>22</v>
      </c>
      <c r="B29" s="9" t="s">
        <v>1433</v>
      </c>
      <c r="C29" s="10" t="s">
        <v>1331</v>
      </c>
      <c r="D29" s="11" t="s">
        <v>44</v>
      </c>
      <c r="E29" s="27">
        <v>2</v>
      </c>
      <c r="F29" s="27">
        <v>0</v>
      </c>
      <c r="G29" s="27">
        <v>1</v>
      </c>
      <c r="H29" s="28">
        <f t="shared" si="3"/>
        <v>279</v>
      </c>
      <c r="I29" s="29">
        <f t="shared" si="0"/>
        <v>93</v>
      </c>
      <c r="J29" s="27">
        <f t="shared" si="1"/>
        <v>9</v>
      </c>
      <c r="K29" s="27" t="str">
        <f t="shared" si="2"/>
        <v>TUNTAS</v>
      </c>
      <c r="L29" s="13" t="str">
        <f t="shared" si="4"/>
        <v xml:space="preserve"> </v>
      </c>
      <c r="M29" s="1"/>
      <c r="N29" s="2">
        <f t="shared" si="5"/>
        <v>9.3000000000000007</v>
      </c>
    </row>
    <row r="30" spans="1:14" ht="15.95" customHeight="1" x14ac:dyDescent="0.25">
      <c r="A30" s="13">
        <v>23</v>
      </c>
      <c r="B30" s="9" t="s">
        <v>1434</v>
      </c>
      <c r="C30" s="10" t="s">
        <v>986</v>
      </c>
      <c r="D30" s="11" t="s">
        <v>116</v>
      </c>
      <c r="E30" s="27">
        <v>3</v>
      </c>
      <c r="F30" s="27">
        <v>1</v>
      </c>
      <c r="G30" s="27">
        <v>2</v>
      </c>
      <c r="H30" s="28">
        <f t="shared" si="3"/>
        <v>258</v>
      </c>
      <c r="I30" s="29">
        <f t="shared" si="0"/>
        <v>86</v>
      </c>
      <c r="J30" s="27">
        <f t="shared" si="1"/>
        <v>15</v>
      </c>
      <c r="K30" s="27" t="str">
        <f t="shared" si="2"/>
        <v>TUNTAS</v>
      </c>
      <c r="L30" s="13" t="str">
        <f t="shared" si="4"/>
        <v xml:space="preserve"> </v>
      </c>
      <c r="M30" s="1"/>
      <c r="N30" s="2">
        <f t="shared" si="5"/>
        <v>8.6</v>
      </c>
    </row>
    <row r="31" spans="1:14" ht="15.95" customHeight="1" x14ac:dyDescent="0.25">
      <c r="A31" s="13">
        <v>24</v>
      </c>
      <c r="B31" s="9" t="s">
        <v>1435</v>
      </c>
      <c r="C31" s="10" t="s">
        <v>892</v>
      </c>
      <c r="D31" s="11" t="s">
        <v>128</v>
      </c>
      <c r="E31" s="27">
        <v>1</v>
      </c>
      <c r="F31" s="27">
        <v>2</v>
      </c>
      <c r="G31" s="27">
        <v>3</v>
      </c>
      <c r="H31" s="28">
        <f t="shared" si="3"/>
        <v>246</v>
      </c>
      <c r="I31" s="29">
        <f t="shared" si="0"/>
        <v>82</v>
      </c>
      <c r="J31" s="27">
        <f t="shared" si="1"/>
        <v>20</v>
      </c>
      <c r="K31" s="27" t="str">
        <f t="shared" si="2"/>
        <v>TUNTAS</v>
      </c>
      <c r="L31" s="13" t="str">
        <f t="shared" si="4"/>
        <v xml:space="preserve"> </v>
      </c>
      <c r="M31" s="1"/>
      <c r="N31" s="2">
        <f t="shared" si="5"/>
        <v>8.1999999999999993</v>
      </c>
    </row>
    <row r="32" spans="1:14" ht="15.95" customHeight="1" x14ac:dyDescent="0.25">
      <c r="A32" s="13">
        <v>25</v>
      </c>
      <c r="B32" s="9" t="s">
        <v>1436</v>
      </c>
      <c r="C32" s="10" t="s">
        <v>1074</v>
      </c>
      <c r="D32" s="11" t="s">
        <v>48</v>
      </c>
      <c r="E32" s="27">
        <v>2</v>
      </c>
      <c r="F32" s="27">
        <v>0</v>
      </c>
      <c r="G32" s="27">
        <v>0</v>
      </c>
      <c r="H32" s="28">
        <f t="shared" si="3"/>
        <v>294</v>
      </c>
      <c r="I32" s="29">
        <f t="shared" si="0"/>
        <v>98</v>
      </c>
      <c r="J32" s="27">
        <f t="shared" si="1"/>
        <v>4</v>
      </c>
      <c r="K32" s="27" t="str">
        <f t="shared" si="2"/>
        <v>TUNTAS</v>
      </c>
      <c r="L32" s="13" t="str">
        <f t="shared" si="4"/>
        <v xml:space="preserve"> </v>
      </c>
      <c r="M32" s="1"/>
      <c r="N32" s="2">
        <f t="shared" si="5"/>
        <v>9.8000000000000007</v>
      </c>
    </row>
    <row r="33" spans="1:14" ht="15.95" customHeight="1" x14ac:dyDescent="0.25">
      <c r="A33" s="13">
        <v>26</v>
      </c>
      <c r="B33" s="9" t="s">
        <v>1437</v>
      </c>
      <c r="C33" s="10" t="s">
        <v>1168</v>
      </c>
      <c r="D33" s="11" t="s">
        <v>49</v>
      </c>
      <c r="E33" s="27">
        <v>4</v>
      </c>
      <c r="F33" s="27">
        <v>4</v>
      </c>
      <c r="G33" s="27">
        <v>1</v>
      </c>
      <c r="H33" s="28">
        <f t="shared" si="3"/>
        <v>261</v>
      </c>
      <c r="I33" s="29">
        <f t="shared" si="0"/>
        <v>87</v>
      </c>
      <c r="J33" s="27">
        <f t="shared" si="1"/>
        <v>14</v>
      </c>
      <c r="K33" s="27" t="str">
        <f t="shared" si="2"/>
        <v>TUNTAS</v>
      </c>
      <c r="L33" s="13" t="str">
        <f t="shared" si="4"/>
        <v xml:space="preserve"> </v>
      </c>
      <c r="M33" s="1"/>
      <c r="N33" s="2">
        <f t="shared" si="5"/>
        <v>8.6999999999999993</v>
      </c>
    </row>
    <row r="34" spans="1:14" ht="15.95" customHeight="1" x14ac:dyDescent="0.25">
      <c r="A34" s="13">
        <v>27</v>
      </c>
      <c r="B34" s="9" t="s">
        <v>1438</v>
      </c>
      <c r="C34" s="10" t="s">
        <v>263</v>
      </c>
      <c r="D34" s="11" t="s">
        <v>52</v>
      </c>
      <c r="E34" s="27">
        <v>0</v>
      </c>
      <c r="F34" s="27">
        <v>0</v>
      </c>
      <c r="G34" s="27">
        <v>0</v>
      </c>
      <c r="H34" s="28">
        <f t="shared" si="3"/>
        <v>300</v>
      </c>
      <c r="I34" s="29">
        <f t="shared" si="0"/>
        <v>100</v>
      </c>
      <c r="J34" s="27">
        <f t="shared" si="1"/>
        <v>1</v>
      </c>
      <c r="K34" s="27" t="str">
        <f t="shared" si="2"/>
        <v>TUNTAS</v>
      </c>
      <c r="L34" s="13" t="str">
        <f t="shared" si="4"/>
        <v xml:space="preserve"> </v>
      </c>
      <c r="M34" s="1"/>
      <c r="N34" s="2">
        <f t="shared" si="5"/>
        <v>10</v>
      </c>
    </row>
    <row r="35" spans="1:14" ht="15.95" customHeight="1" x14ac:dyDescent="0.25">
      <c r="A35" s="13">
        <v>28</v>
      </c>
      <c r="B35" s="9" t="s">
        <v>1439</v>
      </c>
      <c r="C35" s="10" t="s">
        <v>1497</v>
      </c>
      <c r="D35" s="11" t="s">
        <v>54</v>
      </c>
      <c r="E35" s="27">
        <v>10</v>
      </c>
      <c r="F35" s="27">
        <v>8</v>
      </c>
      <c r="G35" s="27">
        <v>1</v>
      </c>
      <c r="H35" s="28">
        <f t="shared" si="3"/>
        <v>231</v>
      </c>
      <c r="I35" s="29">
        <f t="shared" si="0"/>
        <v>77</v>
      </c>
      <c r="J35" s="27">
        <f t="shared" si="1"/>
        <v>26</v>
      </c>
      <c r="K35" s="27" t="str">
        <f t="shared" si="2"/>
        <v>TUNTAS</v>
      </c>
      <c r="L35" s="13" t="str">
        <f t="shared" si="4"/>
        <v xml:space="preserve"> </v>
      </c>
      <c r="M35" s="1"/>
      <c r="N35" s="2">
        <f t="shared" si="5"/>
        <v>7.7</v>
      </c>
    </row>
    <row r="36" spans="1:14" ht="15.95" customHeight="1" x14ac:dyDescent="0.25">
      <c r="A36" s="13">
        <v>29</v>
      </c>
      <c r="B36" s="9" t="s">
        <v>1440</v>
      </c>
      <c r="C36" s="10" t="s">
        <v>1263</v>
      </c>
      <c r="D36" s="11" t="s">
        <v>55</v>
      </c>
      <c r="E36" s="27">
        <v>5</v>
      </c>
      <c r="F36" s="27">
        <v>14</v>
      </c>
      <c r="G36" s="27">
        <v>4</v>
      </c>
      <c r="H36" s="28">
        <f t="shared" si="3"/>
        <v>183</v>
      </c>
      <c r="I36" s="29">
        <f t="shared" si="0"/>
        <v>61</v>
      </c>
      <c r="J36" s="27">
        <f t="shared" si="1"/>
        <v>35</v>
      </c>
      <c r="K36" s="27" t="str">
        <f t="shared" si="2"/>
        <v>TUNTAS</v>
      </c>
      <c r="L36" s="13" t="str">
        <f t="shared" si="4"/>
        <v xml:space="preserve"> </v>
      </c>
      <c r="M36" s="1"/>
      <c r="N36" s="2">
        <f t="shared" si="5"/>
        <v>6.1</v>
      </c>
    </row>
    <row r="37" spans="1:14" ht="15.95" customHeight="1" x14ac:dyDescent="0.25">
      <c r="A37" s="13">
        <v>30</v>
      </c>
      <c r="B37" s="9" t="s">
        <v>1441</v>
      </c>
      <c r="C37" s="10" t="s">
        <v>1177</v>
      </c>
      <c r="D37" s="11" t="s">
        <v>129</v>
      </c>
      <c r="E37" s="27">
        <v>16</v>
      </c>
      <c r="F37" s="27">
        <v>7</v>
      </c>
      <c r="G37" s="27">
        <v>3</v>
      </c>
      <c r="H37" s="28">
        <f t="shared" si="3"/>
        <v>186</v>
      </c>
      <c r="I37" s="29">
        <f t="shared" si="0"/>
        <v>62</v>
      </c>
      <c r="J37" s="27">
        <f t="shared" si="1"/>
        <v>34</v>
      </c>
      <c r="K37" s="27" t="str">
        <f t="shared" si="2"/>
        <v>TUNTAS</v>
      </c>
      <c r="L37" s="13" t="str">
        <f t="shared" si="4"/>
        <v xml:space="preserve"> </v>
      </c>
      <c r="M37" s="1"/>
      <c r="N37" s="2">
        <f t="shared" si="5"/>
        <v>6.2</v>
      </c>
    </row>
    <row r="38" spans="1:14" ht="15.95" customHeight="1" x14ac:dyDescent="0.25">
      <c r="A38" s="13">
        <v>31</v>
      </c>
      <c r="B38" s="9" t="s">
        <v>1443</v>
      </c>
      <c r="C38" s="10" t="s">
        <v>1006</v>
      </c>
      <c r="D38" s="11" t="s">
        <v>61</v>
      </c>
      <c r="E38" s="27">
        <v>7</v>
      </c>
      <c r="F38" s="27">
        <v>2</v>
      </c>
      <c r="G38" s="27">
        <v>4</v>
      </c>
      <c r="H38" s="28">
        <f t="shared" si="3"/>
        <v>213</v>
      </c>
      <c r="I38" s="29">
        <f t="shared" si="0"/>
        <v>71</v>
      </c>
      <c r="J38" s="27">
        <f t="shared" si="1"/>
        <v>29</v>
      </c>
      <c r="K38" s="27" t="str">
        <f t="shared" si="2"/>
        <v>TUNTAS</v>
      </c>
      <c r="L38" s="13" t="str">
        <f t="shared" si="4"/>
        <v xml:space="preserve"> </v>
      </c>
      <c r="M38" s="1"/>
      <c r="N38" s="2">
        <f t="shared" si="5"/>
        <v>7.1</v>
      </c>
    </row>
    <row r="39" spans="1:14" ht="15.95" customHeight="1" x14ac:dyDescent="0.25">
      <c r="A39" s="13">
        <v>32</v>
      </c>
      <c r="B39" s="9" t="s">
        <v>1444</v>
      </c>
      <c r="C39" s="10" t="s">
        <v>1186</v>
      </c>
      <c r="D39" s="11" t="s">
        <v>119</v>
      </c>
      <c r="E39" s="27">
        <v>7</v>
      </c>
      <c r="F39" s="27">
        <v>0</v>
      </c>
      <c r="G39" s="27">
        <v>1</v>
      </c>
      <c r="H39" s="28">
        <f t="shared" si="3"/>
        <v>264</v>
      </c>
      <c r="I39" s="29">
        <f t="shared" si="0"/>
        <v>88</v>
      </c>
      <c r="J39" s="27">
        <f t="shared" si="1"/>
        <v>13</v>
      </c>
      <c r="K39" s="27" t="str">
        <f t="shared" si="2"/>
        <v>TUNTAS</v>
      </c>
      <c r="L39" s="13" t="str">
        <f t="shared" si="4"/>
        <v xml:space="preserve"> </v>
      </c>
      <c r="M39" s="1"/>
      <c r="N39" s="2">
        <f t="shared" si="5"/>
        <v>8.8000000000000007</v>
      </c>
    </row>
    <row r="40" spans="1:14" ht="15.95" customHeight="1" x14ac:dyDescent="0.25">
      <c r="A40" s="13">
        <v>33</v>
      </c>
      <c r="B40" s="9" t="s">
        <v>1445</v>
      </c>
      <c r="C40" s="10" t="s">
        <v>1189</v>
      </c>
      <c r="D40" s="11" t="s">
        <v>88</v>
      </c>
      <c r="E40" s="27">
        <v>4</v>
      </c>
      <c r="F40" s="27">
        <v>0</v>
      </c>
      <c r="G40" s="27">
        <v>0</v>
      </c>
      <c r="H40" s="28">
        <f t="shared" si="3"/>
        <v>288</v>
      </c>
      <c r="I40" s="29">
        <f t="shared" si="0"/>
        <v>96</v>
      </c>
      <c r="J40" s="27">
        <f t="shared" si="1"/>
        <v>7</v>
      </c>
      <c r="K40" s="27" t="str">
        <f t="shared" si="2"/>
        <v>TUNTAS</v>
      </c>
      <c r="L40" s="13" t="str">
        <f t="shared" si="4"/>
        <v xml:space="preserve"> </v>
      </c>
      <c r="M40" s="1"/>
      <c r="N40" s="2">
        <f t="shared" si="5"/>
        <v>9.6</v>
      </c>
    </row>
    <row r="41" spans="1:14" ht="15.95" customHeight="1" x14ac:dyDescent="0.25">
      <c r="A41" s="13">
        <v>34</v>
      </c>
      <c r="B41" s="9" t="s">
        <v>1446</v>
      </c>
      <c r="C41" s="10" t="s">
        <v>1097</v>
      </c>
      <c r="D41" s="11" t="s">
        <v>113</v>
      </c>
      <c r="E41" s="27">
        <v>0</v>
      </c>
      <c r="F41" s="27">
        <v>1</v>
      </c>
      <c r="G41" s="27">
        <v>0</v>
      </c>
      <c r="H41" s="28">
        <f t="shared" si="3"/>
        <v>297</v>
      </c>
      <c r="I41" s="29">
        <f t="shared" si="0"/>
        <v>99</v>
      </c>
      <c r="J41" s="27">
        <f t="shared" si="1"/>
        <v>2</v>
      </c>
      <c r="K41" s="27" t="str">
        <f t="shared" si="2"/>
        <v>TUNTAS</v>
      </c>
      <c r="L41" s="13" t="str">
        <f t="shared" si="4"/>
        <v xml:space="preserve"> </v>
      </c>
      <c r="M41" s="1"/>
      <c r="N41" s="2">
        <f t="shared" si="5"/>
        <v>9.9</v>
      </c>
    </row>
    <row r="42" spans="1:14" ht="15.95" customHeight="1" x14ac:dyDescent="0.25">
      <c r="A42" s="13">
        <v>35</v>
      </c>
      <c r="B42" s="9" t="s">
        <v>1448</v>
      </c>
      <c r="C42" s="10" t="s">
        <v>1586</v>
      </c>
      <c r="D42" s="11" t="s">
        <v>67</v>
      </c>
      <c r="E42" s="27">
        <v>2</v>
      </c>
      <c r="F42" s="27">
        <v>2</v>
      </c>
      <c r="G42" s="27">
        <v>5</v>
      </c>
      <c r="H42" s="28">
        <f t="shared" si="3"/>
        <v>213</v>
      </c>
      <c r="I42" s="29">
        <f t="shared" si="0"/>
        <v>71</v>
      </c>
      <c r="J42" s="27">
        <f t="shared" si="1"/>
        <v>29</v>
      </c>
      <c r="K42" s="27" t="str">
        <f t="shared" si="2"/>
        <v>TUNTAS</v>
      </c>
      <c r="L42" s="13" t="str">
        <f t="shared" si="4"/>
        <v xml:space="preserve"> </v>
      </c>
      <c r="M42" s="1"/>
      <c r="N42" s="2">
        <f t="shared" si="5"/>
        <v>7.1</v>
      </c>
    </row>
    <row r="43" spans="1:14" ht="15.95" customHeight="1" x14ac:dyDescent="0.25">
      <c r="A43" s="13">
        <v>36</v>
      </c>
      <c r="B43" s="9" t="s">
        <v>1449</v>
      </c>
      <c r="C43" s="10" t="s">
        <v>1363</v>
      </c>
      <c r="D43" s="11" t="s">
        <v>68</v>
      </c>
      <c r="E43" s="27">
        <v>3</v>
      </c>
      <c r="F43" s="27">
        <v>0</v>
      </c>
      <c r="G43" s="27">
        <v>3</v>
      </c>
      <c r="H43" s="28">
        <f t="shared" si="3"/>
        <v>246</v>
      </c>
      <c r="I43" s="29">
        <f t="shared" si="0"/>
        <v>82</v>
      </c>
      <c r="J43" s="27">
        <f t="shared" si="1"/>
        <v>20</v>
      </c>
      <c r="K43" s="27" t="str">
        <f t="shared" si="2"/>
        <v>TUNTAS</v>
      </c>
      <c r="L43" s="13" t="str">
        <f t="shared" si="4"/>
        <v xml:space="preserve"> </v>
      </c>
      <c r="M43" s="1"/>
      <c r="N43" s="2">
        <f t="shared" si="5"/>
        <v>8.1999999999999993</v>
      </c>
    </row>
    <row r="44" spans="1:14" ht="15.95" customHeight="1" x14ac:dyDescent="0.25">
      <c r="A44" s="13">
        <v>37</v>
      </c>
      <c r="B44" s="9" t="s">
        <v>1450</v>
      </c>
      <c r="C44" s="10" t="s">
        <v>1197</v>
      </c>
      <c r="D44" s="11" t="s">
        <v>69</v>
      </c>
      <c r="E44" s="27">
        <v>2</v>
      </c>
      <c r="F44" s="27">
        <v>0</v>
      </c>
      <c r="G44" s="27">
        <v>3</v>
      </c>
      <c r="H44" s="28">
        <f t="shared" si="3"/>
        <v>249</v>
      </c>
      <c r="I44" s="29">
        <f t="shared" si="0"/>
        <v>83</v>
      </c>
      <c r="J44" s="27">
        <f t="shared" si="1"/>
        <v>18</v>
      </c>
      <c r="K44" s="27" t="str">
        <f t="shared" si="2"/>
        <v>TUNTAS</v>
      </c>
      <c r="L44" s="13" t="str">
        <f t="shared" si="4"/>
        <v xml:space="preserve"> </v>
      </c>
      <c r="M44" s="1"/>
      <c r="N44" s="2">
        <f t="shared" si="5"/>
        <v>8.3000000000000007</v>
      </c>
    </row>
    <row r="45" spans="1:14" ht="15.95" customHeight="1" x14ac:dyDescent="0.25">
      <c r="A45" s="13">
        <v>38</v>
      </c>
      <c r="B45" s="9" t="s">
        <v>1451</v>
      </c>
      <c r="C45" s="10" t="s">
        <v>1283</v>
      </c>
      <c r="D45" s="11" t="s">
        <v>99</v>
      </c>
      <c r="E45" s="27">
        <v>7</v>
      </c>
      <c r="F45" s="27">
        <v>7</v>
      </c>
      <c r="G45" s="27">
        <v>6</v>
      </c>
      <c r="H45" s="28">
        <f t="shared" si="3"/>
        <v>168</v>
      </c>
      <c r="I45" s="29">
        <f t="shared" si="0"/>
        <v>56</v>
      </c>
      <c r="J45" s="27">
        <f t="shared" si="1"/>
        <v>36</v>
      </c>
      <c r="K45" s="27" t="str">
        <f>IF(I45&lt;11.1,"TIDAK HADIR",IF(I45&lt;13.1,"TIDAK BACA",IF(I45&lt;$K$7,"TIDAK TUNTAS","TUNTAS")))</f>
        <v>TIDAK TUNTAS</v>
      </c>
      <c r="L45" s="13" t="str">
        <f t="shared" si="4"/>
        <v>TM</v>
      </c>
      <c r="M45" s="1"/>
      <c r="N45" s="2">
        <f t="shared" si="5"/>
        <v>5.6</v>
      </c>
    </row>
    <row r="46" spans="1:14" ht="15.95" customHeight="1" x14ac:dyDescent="0.25">
      <c r="A46" s="13">
        <v>39</v>
      </c>
      <c r="B46" s="9" t="s">
        <v>1452</v>
      </c>
      <c r="C46" s="10" t="s">
        <v>1019</v>
      </c>
      <c r="D46" s="11" t="s">
        <v>131</v>
      </c>
      <c r="E46" s="27">
        <v>6</v>
      </c>
      <c r="F46" s="27">
        <v>3</v>
      </c>
      <c r="G46" s="27">
        <v>2</v>
      </c>
      <c r="H46" s="28">
        <f t="shared" si="3"/>
        <v>243</v>
      </c>
      <c r="I46" s="29">
        <f t="shared" si="0"/>
        <v>81</v>
      </c>
      <c r="J46" s="27">
        <f t="shared" si="1"/>
        <v>22</v>
      </c>
      <c r="K46" s="27" t="str">
        <f t="shared" ref="K46:K49" si="6">IF(I46&lt;11.1,"TIDAK HADIR",IF(I46&lt;13.1,"TIDAK BACA",IF(I46&lt;$K$7,"TIDAK TUNTAS","TUNTAS")))</f>
        <v>TUNTAS</v>
      </c>
      <c r="L46" s="13" t="str">
        <f t="shared" si="4"/>
        <v xml:space="preserve"> </v>
      </c>
      <c r="M46" s="1"/>
      <c r="N46" s="2">
        <f t="shared" si="5"/>
        <v>8.1</v>
      </c>
    </row>
    <row r="47" spans="1:14" ht="15.95" customHeight="1" x14ac:dyDescent="0.25">
      <c r="A47" s="13">
        <v>40</v>
      </c>
      <c r="B47" s="9" t="s">
        <v>1453</v>
      </c>
      <c r="C47" s="10" t="s">
        <v>923</v>
      </c>
      <c r="D47" s="11" t="s">
        <v>131</v>
      </c>
      <c r="E47" s="27">
        <v>8</v>
      </c>
      <c r="F47" s="27">
        <v>4</v>
      </c>
      <c r="G47" s="27">
        <v>3</v>
      </c>
      <c r="H47" s="28">
        <f t="shared" si="3"/>
        <v>219</v>
      </c>
      <c r="I47" s="29">
        <f t="shared" si="0"/>
        <v>73</v>
      </c>
      <c r="J47" s="27">
        <f t="shared" si="1"/>
        <v>28</v>
      </c>
      <c r="K47" s="27" t="str">
        <f t="shared" si="6"/>
        <v>TUNTAS</v>
      </c>
      <c r="L47" s="13" t="str">
        <f t="shared" si="4"/>
        <v xml:space="preserve"> </v>
      </c>
      <c r="M47" s="1"/>
      <c r="N47" s="2">
        <f t="shared" si="5"/>
        <v>7.3</v>
      </c>
    </row>
    <row r="48" spans="1:14" ht="15.95" customHeight="1" x14ac:dyDescent="0.25">
      <c r="A48" s="13">
        <v>41</v>
      </c>
      <c r="B48" s="9" t="s">
        <v>1454</v>
      </c>
      <c r="C48" s="10" t="s">
        <v>1647</v>
      </c>
      <c r="D48" s="11" t="s">
        <v>72</v>
      </c>
      <c r="E48" s="27">
        <v>13</v>
      </c>
      <c r="F48" s="27">
        <v>12</v>
      </c>
      <c r="G48" s="27">
        <v>5</v>
      </c>
      <c r="H48" s="28">
        <f t="shared" si="3"/>
        <v>150</v>
      </c>
      <c r="I48" s="29">
        <f t="shared" si="0"/>
        <v>50</v>
      </c>
      <c r="J48" s="27">
        <f t="shared" si="1"/>
        <v>37</v>
      </c>
      <c r="K48" s="27" t="str">
        <f t="shared" si="6"/>
        <v>TIDAK TUNTAS</v>
      </c>
      <c r="L48" s="13" t="str">
        <f t="shared" si="4"/>
        <v xml:space="preserve"> </v>
      </c>
      <c r="M48" s="1"/>
      <c r="N48" s="2">
        <f t="shared" si="5"/>
        <v>5</v>
      </c>
    </row>
    <row r="49" spans="1:14" ht="15.95" customHeight="1" x14ac:dyDescent="0.25">
      <c r="A49" s="13">
        <v>42</v>
      </c>
      <c r="B49" s="9" t="s">
        <v>1455</v>
      </c>
      <c r="C49" s="10" t="s">
        <v>1110</v>
      </c>
      <c r="D49" s="11" t="s">
        <v>349</v>
      </c>
      <c r="E49" s="27">
        <v>2</v>
      </c>
      <c r="F49" s="27">
        <v>2</v>
      </c>
      <c r="G49" s="27">
        <v>2</v>
      </c>
      <c r="H49" s="28">
        <f t="shared" si="3"/>
        <v>258</v>
      </c>
      <c r="I49" s="29">
        <f t="shared" si="0"/>
        <v>86</v>
      </c>
      <c r="J49" s="27">
        <f t="shared" si="1"/>
        <v>15</v>
      </c>
      <c r="K49" s="27" t="str">
        <f t="shared" si="6"/>
        <v>TUNTAS</v>
      </c>
      <c r="L49" s="13" t="str">
        <f>IF(G49&gt;5,"TM"," ")</f>
        <v xml:space="preserve"> </v>
      </c>
      <c r="M49" s="1"/>
      <c r="N49" s="2">
        <f t="shared" si="5"/>
        <v>8.6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8:D10">
    <cfRule type="cellIs" dxfId="44" priority="9" operator="equal">
      <formula>0</formula>
    </cfRule>
  </conditionalFormatting>
  <conditionalFormatting sqref="I8:I49">
    <cfRule type="cellIs" dxfId="43" priority="3" operator="lessThan">
      <formula>60</formula>
    </cfRule>
    <cfRule type="cellIs" dxfId="42" priority="4" operator="lessThan">
      <formula>60</formula>
    </cfRule>
    <cfRule type="cellIs" dxfId="41" priority="5" operator="lessThan">
      <formula>50</formula>
    </cfRule>
  </conditionalFormatting>
  <conditionalFormatting sqref="K8:K49">
    <cfRule type="cellIs" dxfId="40" priority="1" operator="equal">
      <formula>"TIDAK BACA"</formula>
    </cfRule>
    <cfRule type="cellIs" dxfId="39" priority="2" operator="equal">
      <formula>"TIDAK TUNTAS"</formula>
    </cfRule>
    <cfRule type="cellIs" dxfId="38" priority="6" operator="equal">
      <formula>"TUNTAS"</formula>
    </cfRule>
    <cfRule type="cellIs" dxfId="37" priority="7" operator="equal">
      <formula>"TIDAK HADIR"</formula>
    </cfRule>
    <cfRule type="cellIs" dxfId="36" priority="8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DD6C3539-9111-47D2-8AC3-438B446B1628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318C-39D1-43C7-B284-A991DAE43327}">
  <sheetPr>
    <tabColor theme="9" tint="0.59999389629810485"/>
  </sheetPr>
  <dimension ref="A1:N49"/>
  <sheetViews>
    <sheetView zoomScaleNormal="100" workbookViewId="0">
      <pane xSplit="1" ySplit="7" topLeftCell="B35" activePane="bottomRight" state="frozen"/>
      <selection activeCell="R51" sqref="R51"/>
      <selection pane="topRight" activeCell="R51" sqref="R51"/>
      <selection pane="bottomLeft" activeCell="R51" sqref="R51"/>
      <selection pane="bottomRight" activeCell="N8" sqref="N8:N45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1456</v>
      </c>
      <c r="C8" s="10" t="s">
        <v>840</v>
      </c>
      <c r="D8" s="11" t="s">
        <v>14</v>
      </c>
      <c r="E8" s="27">
        <v>23</v>
      </c>
      <c r="F8" s="27">
        <v>23</v>
      </c>
      <c r="G8" s="27">
        <v>5</v>
      </c>
      <c r="H8" s="28">
        <f>100-E8*3+100-F8*3+100-G8*15</f>
        <v>87</v>
      </c>
      <c r="I8" s="29">
        <f t="shared" ref="I8:I45" si="0">H8/3</f>
        <v>29</v>
      </c>
      <c r="J8" s="27">
        <f t="shared" ref="J8:J45" si="1">RANK(H8,$H$8:$H$84)</f>
        <v>36</v>
      </c>
      <c r="K8" s="27" t="str">
        <f t="shared" ref="K8" si="2">IF(I8&lt;11.1,"TIDAK HADIR",IF(I8&lt;13.1,"TIDAK BACA",IF(I8&lt;$K$7,"TIDAK TUNTAS","TUNTAS")))</f>
        <v>TIDAK TUNTAS</v>
      </c>
      <c r="L8" s="13" t="str">
        <f t="shared" ref="L8" si="3">IF(G8&gt;5,"TM"," ")</f>
        <v xml:space="preserve"> </v>
      </c>
      <c r="M8" s="1"/>
      <c r="N8" s="2">
        <f>I8/10</f>
        <v>2.9</v>
      </c>
    </row>
    <row r="9" spans="1:14" ht="15.95" customHeight="1" x14ac:dyDescent="0.25">
      <c r="A9" s="13">
        <v>2</v>
      </c>
      <c r="B9" s="9" t="s">
        <v>1457</v>
      </c>
      <c r="C9" s="10" t="s">
        <v>3260</v>
      </c>
      <c r="D9" s="11" t="s">
        <v>15</v>
      </c>
      <c r="E9" s="27">
        <v>3</v>
      </c>
      <c r="F9" s="27">
        <v>3</v>
      </c>
      <c r="G9" s="27">
        <v>2</v>
      </c>
      <c r="H9" s="28">
        <f t="shared" ref="H9:H45" si="4">100-E9*3+100-F9*3+100-G9*15</f>
        <v>252</v>
      </c>
      <c r="I9" s="29">
        <f t="shared" si="0"/>
        <v>84</v>
      </c>
      <c r="J9" s="27">
        <f t="shared" si="1"/>
        <v>13</v>
      </c>
      <c r="K9" s="27" t="str">
        <f t="shared" ref="K9:K11" si="5">IF(I9&lt;11.1,"TIDAK HADIR",IF(I9&lt;13.1,"TIDAK BACA",IF(I9&lt;$K$7,"TIDAK TUNTAS","TUNTAS")))</f>
        <v>TUNTAS</v>
      </c>
      <c r="L9" s="13" t="str">
        <f t="shared" ref="L9:L11" si="6">IF(G9&gt;5,"TM"," ")</f>
        <v xml:space="preserve"> </v>
      </c>
      <c r="M9" s="1"/>
      <c r="N9" s="2">
        <f t="shared" ref="N9:N49" si="7">I9/10</f>
        <v>8.4</v>
      </c>
    </row>
    <row r="10" spans="1:14" ht="15.95" customHeight="1" x14ac:dyDescent="0.25">
      <c r="A10" s="13">
        <v>3</v>
      </c>
      <c r="B10" s="9" t="s">
        <v>1458</v>
      </c>
      <c r="C10" s="10" t="s">
        <v>844</v>
      </c>
      <c r="D10" s="11" t="s">
        <v>18</v>
      </c>
      <c r="E10" s="27">
        <v>9</v>
      </c>
      <c r="F10" s="27">
        <v>1</v>
      </c>
      <c r="G10" s="27">
        <v>2</v>
      </c>
      <c r="H10" s="28">
        <f t="shared" si="4"/>
        <v>240</v>
      </c>
      <c r="I10" s="29">
        <f>H10/3</f>
        <v>80</v>
      </c>
      <c r="J10" s="27">
        <f t="shared" si="1"/>
        <v>19</v>
      </c>
      <c r="K10" s="27" t="str">
        <f t="shared" si="5"/>
        <v>TUNTAS</v>
      </c>
      <c r="L10" s="13" t="str">
        <f t="shared" si="6"/>
        <v xml:space="preserve"> </v>
      </c>
      <c r="M10" s="1"/>
      <c r="N10" s="2">
        <f t="shared" si="7"/>
        <v>8</v>
      </c>
    </row>
    <row r="11" spans="1:14" ht="15.95" customHeight="1" x14ac:dyDescent="0.25">
      <c r="A11" s="13">
        <v>4</v>
      </c>
      <c r="B11" s="9" t="s">
        <v>1459</v>
      </c>
      <c r="C11" s="10" t="s">
        <v>1027</v>
      </c>
      <c r="D11" s="11" t="s">
        <v>122</v>
      </c>
      <c r="E11" s="27">
        <v>8</v>
      </c>
      <c r="F11" s="27">
        <v>5</v>
      </c>
      <c r="G11" s="27">
        <v>3</v>
      </c>
      <c r="H11" s="28">
        <f t="shared" si="4"/>
        <v>216</v>
      </c>
      <c r="I11" s="29">
        <f t="shared" si="0"/>
        <v>72</v>
      </c>
      <c r="J11" s="27">
        <f t="shared" si="1"/>
        <v>24</v>
      </c>
      <c r="K11" s="27" t="str">
        <f t="shared" si="5"/>
        <v>TUNTAS</v>
      </c>
      <c r="L11" s="13" t="str">
        <f t="shared" si="6"/>
        <v xml:space="preserve"> </v>
      </c>
      <c r="M11" s="1"/>
      <c r="N11" s="2">
        <f t="shared" si="7"/>
        <v>7.2</v>
      </c>
    </row>
    <row r="12" spans="1:14" ht="15.95" customHeight="1" x14ac:dyDescent="0.25">
      <c r="A12" s="13">
        <v>5</v>
      </c>
      <c r="B12" s="9" t="s">
        <v>1460</v>
      </c>
      <c r="C12" s="10" t="s">
        <v>1295</v>
      </c>
      <c r="D12" s="11" t="s">
        <v>20</v>
      </c>
      <c r="E12" s="27">
        <v>12</v>
      </c>
      <c r="F12" s="27">
        <v>9</v>
      </c>
      <c r="G12" s="27">
        <v>4</v>
      </c>
      <c r="H12" s="28">
        <f t="shared" si="4"/>
        <v>177</v>
      </c>
      <c r="I12" s="29">
        <f t="shared" si="0"/>
        <v>59</v>
      </c>
      <c r="J12" s="27">
        <f t="shared" si="1"/>
        <v>31</v>
      </c>
      <c r="K12" s="27" t="str">
        <f t="shared" ref="K12:K45" si="8">IF(I12&lt;11.1,"TIDAK HADIR",IF(I12&lt;13.1,"TIDAK BACA",IF(I12&lt;$K$7,"TIDAK TUNTAS","TUNTAS")))</f>
        <v>TIDAK TUNTAS</v>
      </c>
      <c r="L12" s="13" t="str">
        <f t="shared" ref="L12:L44" si="9">IF(G12&gt;5,"TM"," ")</f>
        <v xml:space="preserve"> </v>
      </c>
      <c r="M12" s="1"/>
      <c r="N12" s="2">
        <f t="shared" si="7"/>
        <v>5.9</v>
      </c>
    </row>
    <row r="13" spans="1:14" ht="15.95" customHeight="1" x14ac:dyDescent="0.25">
      <c r="A13" s="13">
        <v>6</v>
      </c>
      <c r="B13" s="9" t="s">
        <v>1461</v>
      </c>
      <c r="C13" s="10" t="s">
        <v>938</v>
      </c>
      <c r="D13" s="11" t="s">
        <v>24</v>
      </c>
      <c r="E13" s="27">
        <v>2</v>
      </c>
      <c r="F13" s="27">
        <v>0</v>
      </c>
      <c r="G13" s="27">
        <v>1</v>
      </c>
      <c r="H13" s="28">
        <f t="shared" si="4"/>
        <v>279</v>
      </c>
      <c r="I13" s="29">
        <f t="shared" si="0"/>
        <v>93</v>
      </c>
      <c r="J13" s="27">
        <f t="shared" si="1"/>
        <v>7</v>
      </c>
      <c r="K13" s="27" t="str">
        <f t="shared" si="8"/>
        <v>TUNTAS</v>
      </c>
      <c r="L13" s="13" t="str">
        <f t="shared" si="9"/>
        <v xml:space="preserve"> </v>
      </c>
      <c r="M13" s="1"/>
      <c r="N13" s="2">
        <f t="shared" si="7"/>
        <v>9.3000000000000007</v>
      </c>
    </row>
    <row r="14" spans="1:14" ht="15.95" customHeight="1" x14ac:dyDescent="0.25">
      <c r="A14" s="13">
        <v>7</v>
      </c>
      <c r="B14" s="9" t="s">
        <v>1462</v>
      </c>
      <c r="C14" s="10" t="s">
        <v>942</v>
      </c>
      <c r="D14" s="11" t="s">
        <v>26</v>
      </c>
      <c r="E14" s="27">
        <v>18</v>
      </c>
      <c r="F14" s="27">
        <v>19</v>
      </c>
      <c r="G14" s="27">
        <v>5</v>
      </c>
      <c r="H14" s="28">
        <f t="shared" si="4"/>
        <v>114</v>
      </c>
      <c r="I14" s="29">
        <f t="shared" si="0"/>
        <v>38</v>
      </c>
      <c r="J14" s="27">
        <f t="shared" si="1"/>
        <v>35</v>
      </c>
      <c r="K14" s="27" t="str">
        <f t="shared" si="8"/>
        <v>TIDAK TUNTAS</v>
      </c>
      <c r="L14" s="13" t="str">
        <f t="shared" si="9"/>
        <v xml:space="preserve"> </v>
      </c>
      <c r="M14" s="1"/>
      <c r="N14" s="2">
        <f t="shared" si="7"/>
        <v>3.8</v>
      </c>
    </row>
    <row r="15" spans="1:14" ht="15.95" customHeight="1" x14ac:dyDescent="0.25">
      <c r="A15" s="13">
        <v>8</v>
      </c>
      <c r="B15" s="9" t="s">
        <v>1463</v>
      </c>
      <c r="C15" s="17" t="s">
        <v>1123</v>
      </c>
      <c r="D15" s="18" t="s">
        <v>146</v>
      </c>
      <c r="E15" s="27">
        <v>3</v>
      </c>
      <c r="F15" s="27">
        <v>4</v>
      </c>
      <c r="G15" s="27">
        <v>2</v>
      </c>
      <c r="H15" s="28">
        <f t="shared" si="4"/>
        <v>249</v>
      </c>
      <c r="I15" s="29">
        <f t="shared" si="0"/>
        <v>83</v>
      </c>
      <c r="J15" s="27">
        <f t="shared" si="1"/>
        <v>16</v>
      </c>
      <c r="K15" s="27" t="str">
        <f t="shared" si="8"/>
        <v>TUNTAS</v>
      </c>
      <c r="L15" s="13" t="str">
        <f t="shared" si="9"/>
        <v xml:space="preserve"> </v>
      </c>
      <c r="M15" s="1"/>
      <c r="N15" s="2">
        <f t="shared" si="7"/>
        <v>8.3000000000000007</v>
      </c>
    </row>
    <row r="16" spans="1:14" ht="15.95" customHeight="1" x14ac:dyDescent="0.25">
      <c r="A16" s="13">
        <v>9</v>
      </c>
      <c r="B16" s="9" t="s">
        <v>1464</v>
      </c>
      <c r="C16" s="10" t="s">
        <v>948</v>
      </c>
      <c r="D16" s="11" t="s">
        <v>77</v>
      </c>
      <c r="E16" s="27">
        <v>6</v>
      </c>
      <c r="F16" s="27">
        <v>4</v>
      </c>
      <c r="G16" s="27">
        <v>3</v>
      </c>
      <c r="H16" s="28">
        <f t="shared" si="4"/>
        <v>225</v>
      </c>
      <c r="I16" s="29">
        <f t="shared" si="0"/>
        <v>75</v>
      </c>
      <c r="J16" s="27">
        <f t="shared" si="1"/>
        <v>22</v>
      </c>
      <c r="K16" s="27" t="str">
        <f t="shared" si="8"/>
        <v>TUNTAS</v>
      </c>
      <c r="L16" s="13" t="str">
        <f t="shared" si="9"/>
        <v xml:space="preserve"> </v>
      </c>
      <c r="M16" s="1"/>
      <c r="N16" s="2">
        <f t="shared" si="7"/>
        <v>7.5</v>
      </c>
    </row>
    <row r="17" spans="1:14" ht="15.95" customHeight="1" x14ac:dyDescent="0.25">
      <c r="A17" s="13">
        <v>10</v>
      </c>
      <c r="B17" s="9" t="s">
        <v>1465</v>
      </c>
      <c r="C17" s="10" t="s">
        <v>1222</v>
      </c>
      <c r="D17" s="11" t="s">
        <v>91</v>
      </c>
      <c r="E17" s="27">
        <v>9</v>
      </c>
      <c r="F17" s="27">
        <v>12</v>
      </c>
      <c r="G17" s="27">
        <v>6</v>
      </c>
      <c r="H17" s="28">
        <f t="shared" si="4"/>
        <v>147</v>
      </c>
      <c r="I17" s="29">
        <f t="shared" si="0"/>
        <v>49</v>
      </c>
      <c r="J17" s="27">
        <f t="shared" si="1"/>
        <v>33</v>
      </c>
      <c r="K17" s="27" t="str">
        <f t="shared" si="8"/>
        <v>TIDAK TUNTAS</v>
      </c>
      <c r="L17" s="13" t="str">
        <f t="shared" si="9"/>
        <v>TM</v>
      </c>
      <c r="M17" s="1"/>
      <c r="N17" s="2">
        <f t="shared" si="7"/>
        <v>4.9000000000000004</v>
      </c>
    </row>
    <row r="18" spans="1:14" ht="15.95" customHeight="1" x14ac:dyDescent="0.25">
      <c r="A18" s="13">
        <v>11</v>
      </c>
      <c r="B18" s="9" t="s">
        <v>1467</v>
      </c>
      <c r="C18" s="17" t="s">
        <v>1132</v>
      </c>
      <c r="D18" s="18" t="s">
        <v>33</v>
      </c>
      <c r="E18" s="27">
        <v>3</v>
      </c>
      <c r="F18" s="27">
        <v>2</v>
      </c>
      <c r="G18" s="27">
        <v>2</v>
      </c>
      <c r="H18" s="28">
        <f t="shared" si="4"/>
        <v>255</v>
      </c>
      <c r="I18" s="29">
        <f t="shared" si="0"/>
        <v>85</v>
      </c>
      <c r="J18" s="27">
        <f t="shared" si="1"/>
        <v>12</v>
      </c>
      <c r="K18" s="27" t="str">
        <f t="shared" si="8"/>
        <v>TUNTAS</v>
      </c>
      <c r="L18" s="13" t="str">
        <f t="shared" si="9"/>
        <v xml:space="preserve"> </v>
      </c>
      <c r="M18" s="1"/>
      <c r="N18" s="2">
        <f t="shared" si="7"/>
        <v>8.5</v>
      </c>
    </row>
    <row r="19" spans="1:14" ht="15.95" customHeight="1" x14ac:dyDescent="0.25">
      <c r="A19" s="13">
        <v>12</v>
      </c>
      <c r="B19" s="9" t="s">
        <v>1468</v>
      </c>
      <c r="C19" s="17" t="s">
        <v>870</v>
      </c>
      <c r="D19" s="18" t="s">
        <v>79</v>
      </c>
      <c r="E19" s="27">
        <v>3</v>
      </c>
      <c r="F19" s="27">
        <v>10</v>
      </c>
      <c r="G19" s="27">
        <v>5</v>
      </c>
      <c r="H19" s="28">
        <f t="shared" si="4"/>
        <v>186</v>
      </c>
      <c r="I19" s="29">
        <f t="shared" si="0"/>
        <v>62</v>
      </c>
      <c r="J19" s="27">
        <f t="shared" si="1"/>
        <v>29</v>
      </c>
      <c r="K19" s="27" t="str">
        <f t="shared" si="8"/>
        <v>TUNTAS</v>
      </c>
      <c r="L19" s="13" t="str">
        <f t="shared" si="9"/>
        <v xml:space="preserve"> </v>
      </c>
      <c r="M19" s="1"/>
      <c r="N19" s="2">
        <f t="shared" si="7"/>
        <v>6.2</v>
      </c>
    </row>
    <row r="20" spans="1:14" ht="15.95" customHeight="1" x14ac:dyDescent="0.25">
      <c r="A20" s="13">
        <v>13</v>
      </c>
      <c r="B20" s="9" t="s">
        <v>1469</v>
      </c>
      <c r="C20" s="10" t="s">
        <v>1310</v>
      </c>
      <c r="D20" s="11" t="s">
        <v>34</v>
      </c>
      <c r="E20" s="27">
        <v>2</v>
      </c>
      <c r="F20" s="27">
        <v>1</v>
      </c>
      <c r="G20" s="27">
        <v>1</v>
      </c>
      <c r="H20" s="28">
        <f t="shared" si="4"/>
        <v>276</v>
      </c>
      <c r="I20" s="29">
        <f t="shared" si="0"/>
        <v>92</v>
      </c>
      <c r="J20" s="27">
        <f t="shared" si="1"/>
        <v>10</v>
      </c>
      <c r="K20" s="27" t="str">
        <f t="shared" si="8"/>
        <v>TUNTAS</v>
      </c>
      <c r="L20" s="13" t="str">
        <f t="shared" si="9"/>
        <v xml:space="preserve"> </v>
      </c>
      <c r="M20" s="1"/>
      <c r="N20" s="2">
        <f t="shared" si="7"/>
        <v>9.1999999999999993</v>
      </c>
    </row>
    <row r="21" spans="1:14" ht="15.95" customHeight="1" x14ac:dyDescent="0.25">
      <c r="A21" s="13">
        <v>14</v>
      </c>
      <c r="B21" s="9" t="s">
        <v>1470</v>
      </c>
      <c r="C21" s="10" t="s">
        <v>962</v>
      </c>
      <c r="D21" s="11" t="s">
        <v>103</v>
      </c>
      <c r="E21" s="27">
        <v>2</v>
      </c>
      <c r="F21" s="27">
        <v>0</v>
      </c>
      <c r="G21" s="27">
        <v>1</v>
      </c>
      <c r="H21" s="28">
        <f t="shared" si="4"/>
        <v>279</v>
      </c>
      <c r="I21" s="29">
        <f t="shared" si="0"/>
        <v>93</v>
      </c>
      <c r="J21" s="27">
        <f t="shared" si="1"/>
        <v>7</v>
      </c>
      <c r="K21" s="27" t="str">
        <f t="shared" si="8"/>
        <v>TUNTAS</v>
      </c>
      <c r="L21" s="13" t="str">
        <f t="shared" si="9"/>
        <v xml:space="preserve"> </v>
      </c>
      <c r="M21" s="1"/>
      <c r="N21" s="2">
        <f t="shared" si="7"/>
        <v>9.3000000000000007</v>
      </c>
    </row>
    <row r="22" spans="1:14" ht="15.95" customHeight="1" x14ac:dyDescent="0.25">
      <c r="A22" s="13">
        <v>15</v>
      </c>
      <c r="B22" s="9" t="s">
        <v>1471</v>
      </c>
      <c r="C22" s="10" t="s">
        <v>1051</v>
      </c>
      <c r="D22" s="11" t="s">
        <v>36</v>
      </c>
      <c r="E22" s="27">
        <v>6</v>
      </c>
      <c r="F22" s="27">
        <v>1</v>
      </c>
      <c r="G22" s="27">
        <v>0</v>
      </c>
      <c r="H22" s="28">
        <f t="shared" si="4"/>
        <v>279</v>
      </c>
      <c r="I22" s="29">
        <f t="shared" si="0"/>
        <v>93</v>
      </c>
      <c r="J22" s="27">
        <f t="shared" si="1"/>
        <v>7</v>
      </c>
      <c r="K22" s="27" t="str">
        <f t="shared" si="8"/>
        <v>TUNTAS</v>
      </c>
      <c r="L22" s="13" t="str">
        <f t="shared" si="9"/>
        <v xml:space="preserve"> </v>
      </c>
      <c r="M22" s="1"/>
      <c r="N22" s="2">
        <f t="shared" si="7"/>
        <v>9.3000000000000007</v>
      </c>
    </row>
    <row r="23" spans="1:14" ht="15.95" customHeight="1" x14ac:dyDescent="0.25">
      <c r="A23" s="13">
        <v>16</v>
      </c>
      <c r="B23" s="9" t="s">
        <v>1473</v>
      </c>
      <c r="C23" s="10" t="s">
        <v>882</v>
      </c>
      <c r="D23" s="11" t="s">
        <v>105</v>
      </c>
      <c r="E23" s="27">
        <v>4</v>
      </c>
      <c r="F23" s="27">
        <v>0</v>
      </c>
      <c r="G23" s="27">
        <v>0</v>
      </c>
      <c r="H23" s="28">
        <f t="shared" si="4"/>
        <v>288</v>
      </c>
      <c r="I23" s="29">
        <f t="shared" si="0"/>
        <v>96</v>
      </c>
      <c r="J23" s="27">
        <f t="shared" si="1"/>
        <v>3</v>
      </c>
      <c r="K23" s="27" t="str">
        <f t="shared" si="8"/>
        <v>TUNTAS</v>
      </c>
      <c r="L23" s="13" t="str">
        <f t="shared" si="9"/>
        <v xml:space="preserve"> </v>
      </c>
      <c r="M23" s="1"/>
      <c r="N23" s="2">
        <f t="shared" si="7"/>
        <v>9.6</v>
      </c>
    </row>
    <row r="24" spans="1:14" ht="15.95" customHeight="1" x14ac:dyDescent="0.25">
      <c r="A24" s="13">
        <v>17</v>
      </c>
      <c r="B24" s="9" t="s">
        <v>1474</v>
      </c>
      <c r="C24" s="10" t="s">
        <v>973</v>
      </c>
      <c r="D24" s="11" t="s">
        <v>127</v>
      </c>
      <c r="E24" s="27">
        <v>9</v>
      </c>
      <c r="F24" s="27">
        <v>10</v>
      </c>
      <c r="G24" s="27">
        <v>3</v>
      </c>
      <c r="H24" s="28">
        <f t="shared" si="4"/>
        <v>198</v>
      </c>
      <c r="I24" s="29">
        <f t="shared" si="0"/>
        <v>66</v>
      </c>
      <c r="J24" s="27">
        <f t="shared" si="1"/>
        <v>26</v>
      </c>
      <c r="K24" s="27" t="str">
        <f t="shared" si="8"/>
        <v>TUNTAS</v>
      </c>
      <c r="L24" s="13" t="str">
        <f t="shared" si="9"/>
        <v xml:space="preserve"> </v>
      </c>
      <c r="M24" s="1"/>
      <c r="N24" s="2">
        <f t="shared" si="7"/>
        <v>6.6</v>
      </c>
    </row>
    <row r="25" spans="1:14" ht="15.95" customHeight="1" x14ac:dyDescent="0.25">
      <c r="A25" s="30">
        <v>18</v>
      </c>
      <c r="B25" s="9" t="s">
        <v>1475</v>
      </c>
      <c r="C25" s="10" t="s">
        <v>3261</v>
      </c>
      <c r="D25" s="11" t="s">
        <v>290</v>
      </c>
      <c r="E25" s="27">
        <v>6</v>
      </c>
      <c r="F25" s="27">
        <v>2</v>
      </c>
      <c r="G25" s="27">
        <v>2</v>
      </c>
      <c r="H25" s="28">
        <f t="shared" si="4"/>
        <v>246</v>
      </c>
      <c r="I25" s="29">
        <f t="shared" si="0"/>
        <v>82</v>
      </c>
      <c r="J25" s="27">
        <f t="shared" si="1"/>
        <v>17</v>
      </c>
      <c r="K25" s="27" t="str">
        <f t="shared" si="8"/>
        <v>TUNTAS</v>
      </c>
      <c r="L25" s="13" t="str">
        <f t="shared" si="9"/>
        <v xml:space="preserve"> </v>
      </c>
      <c r="M25" s="1"/>
      <c r="N25" s="2">
        <f t="shared" si="7"/>
        <v>8.1999999999999993</v>
      </c>
    </row>
    <row r="26" spans="1:14" ht="15.95" customHeight="1" x14ac:dyDescent="0.25">
      <c r="A26" s="13">
        <v>19</v>
      </c>
      <c r="B26" s="9" t="s">
        <v>1476</v>
      </c>
      <c r="C26" s="10" t="s">
        <v>1066</v>
      </c>
      <c r="D26" s="11" t="s">
        <v>82</v>
      </c>
      <c r="E26" s="27">
        <v>0</v>
      </c>
      <c r="F26" s="27">
        <v>0</v>
      </c>
      <c r="G26" s="27">
        <v>0</v>
      </c>
      <c r="H26" s="28">
        <f t="shared" si="4"/>
        <v>300</v>
      </c>
      <c r="I26" s="29">
        <f t="shared" si="0"/>
        <v>100</v>
      </c>
      <c r="J26" s="27">
        <f t="shared" si="1"/>
        <v>1</v>
      </c>
      <c r="K26" s="27" t="str">
        <f t="shared" si="8"/>
        <v>TUNTAS</v>
      </c>
      <c r="L26" s="13" t="str">
        <f t="shared" si="9"/>
        <v xml:space="preserve"> </v>
      </c>
      <c r="M26" s="1"/>
      <c r="N26" s="2">
        <f t="shared" si="7"/>
        <v>10</v>
      </c>
    </row>
    <row r="27" spans="1:14" ht="15.95" customHeight="1" x14ac:dyDescent="0.25">
      <c r="A27" s="13">
        <v>20</v>
      </c>
      <c r="B27" s="9" t="s">
        <v>1477</v>
      </c>
      <c r="C27" s="10" t="s">
        <v>1247</v>
      </c>
      <c r="D27" s="11" t="s">
        <v>44</v>
      </c>
      <c r="E27" s="27">
        <v>2</v>
      </c>
      <c r="F27" s="27">
        <v>0</v>
      </c>
      <c r="G27" s="27">
        <v>4</v>
      </c>
      <c r="H27" s="28">
        <f t="shared" si="4"/>
        <v>234</v>
      </c>
      <c r="I27" s="29">
        <f t="shared" si="0"/>
        <v>78</v>
      </c>
      <c r="J27" s="27">
        <f t="shared" si="1"/>
        <v>21</v>
      </c>
      <c r="K27" s="27" t="str">
        <f t="shared" si="8"/>
        <v>TUNTAS</v>
      </c>
      <c r="L27" s="13" t="str">
        <f t="shared" si="9"/>
        <v xml:space="preserve"> </v>
      </c>
      <c r="M27" s="1"/>
      <c r="N27" s="2">
        <f t="shared" si="7"/>
        <v>7.8</v>
      </c>
    </row>
    <row r="28" spans="1:14" ht="15.95" customHeight="1" x14ac:dyDescent="0.25">
      <c r="A28" s="13">
        <v>21</v>
      </c>
      <c r="B28" s="9" t="s">
        <v>1478</v>
      </c>
      <c r="C28" s="10" t="s">
        <v>1160</v>
      </c>
      <c r="D28" s="11" t="s">
        <v>116</v>
      </c>
      <c r="E28" s="27">
        <v>5</v>
      </c>
      <c r="F28" s="27">
        <v>5</v>
      </c>
      <c r="G28" s="27">
        <v>4</v>
      </c>
      <c r="H28" s="28">
        <f t="shared" si="4"/>
        <v>210</v>
      </c>
      <c r="I28" s="29">
        <f t="shared" si="0"/>
        <v>70</v>
      </c>
      <c r="J28" s="27">
        <f t="shared" si="1"/>
        <v>25</v>
      </c>
      <c r="K28" s="27" t="str">
        <f t="shared" si="8"/>
        <v>TUNTAS</v>
      </c>
      <c r="L28" s="13" t="str">
        <f t="shared" si="9"/>
        <v xml:space="preserve"> </v>
      </c>
      <c r="M28" s="1"/>
      <c r="N28" s="2">
        <f t="shared" si="7"/>
        <v>7</v>
      </c>
    </row>
    <row r="29" spans="1:14" ht="15.95" customHeight="1" x14ac:dyDescent="0.25">
      <c r="A29" s="13">
        <v>22</v>
      </c>
      <c r="B29" s="9" t="s">
        <v>1479</v>
      </c>
      <c r="C29" s="10" t="s">
        <v>1072</v>
      </c>
      <c r="D29" s="11" t="s">
        <v>46</v>
      </c>
      <c r="E29" s="27">
        <v>2</v>
      </c>
      <c r="F29" s="27">
        <v>1</v>
      </c>
      <c r="G29" s="27">
        <v>3</v>
      </c>
      <c r="H29" s="28">
        <f t="shared" si="4"/>
        <v>246</v>
      </c>
      <c r="I29" s="29">
        <f t="shared" si="0"/>
        <v>82</v>
      </c>
      <c r="J29" s="27">
        <f t="shared" si="1"/>
        <v>17</v>
      </c>
      <c r="K29" s="27" t="str">
        <f t="shared" si="8"/>
        <v>TUNTAS</v>
      </c>
      <c r="L29" s="13" t="str">
        <f t="shared" si="9"/>
        <v xml:space="preserve"> </v>
      </c>
      <c r="M29" s="1"/>
      <c r="N29" s="2">
        <f t="shared" si="7"/>
        <v>8.1999999999999993</v>
      </c>
    </row>
    <row r="30" spans="1:14" ht="15.95" customHeight="1" x14ac:dyDescent="0.25">
      <c r="A30" s="13">
        <v>23</v>
      </c>
      <c r="B30" s="9" t="s">
        <v>1480</v>
      </c>
      <c r="C30" s="10" t="s">
        <v>1256</v>
      </c>
      <c r="D30" s="11" t="s">
        <v>85</v>
      </c>
      <c r="E30" s="27">
        <v>4</v>
      </c>
      <c r="F30" s="27">
        <v>0</v>
      </c>
      <c r="G30" s="27">
        <v>1</v>
      </c>
      <c r="H30" s="28">
        <f t="shared" si="4"/>
        <v>273</v>
      </c>
      <c r="I30" s="29">
        <f t="shared" si="0"/>
        <v>91</v>
      </c>
      <c r="J30" s="27">
        <f t="shared" si="1"/>
        <v>11</v>
      </c>
      <c r="K30" s="27" t="str">
        <f t="shared" si="8"/>
        <v>TUNTAS</v>
      </c>
      <c r="L30" s="13" t="str">
        <f t="shared" si="9"/>
        <v xml:space="preserve"> </v>
      </c>
      <c r="M30" s="1"/>
      <c r="N30" s="2">
        <f t="shared" si="7"/>
        <v>9.1</v>
      </c>
    </row>
    <row r="31" spans="1:14" ht="15.95" customHeight="1" x14ac:dyDescent="0.25">
      <c r="A31" s="13">
        <v>24</v>
      </c>
      <c r="B31" s="9" t="s">
        <v>1481</v>
      </c>
      <c r="C31" s="10" t="s">
        <v>1254</v>
      </c>
      <c r="D31" s="11" t="s">
        <v>49</v>
      </c>
      <c r="E31" s="27">
        <v>11</v>
      </c>
      <c r="F31" s="27">
        <v>8</v>
      </c>
      <c r="G31" s="27">
        <v>4</v>
      </c>
      <c r="H31" s="28">
        <f t="shared" si="4"/>
        <v>183</v>
      </c>
      <c r="I31" s="29">
        <f t="shared" si="0"/>
        <v>61</v>
      </c>
      <c r="J31" s="27">
        <f t="shared" si="1"/>
        <v>30</v>
      </c>
      <c r="K31" s="27" t="str">
        <f t="shared" si="8"/>
        <v>TUNTAS</v>
      </c>
      <c r="L31" s="13" t="str">
        <f t="shared" si="9"/>
        <v xml:space="preserve"> </v>
      </c>
      <c r="M31" s="1"/>
      <c r="N31" s="2">
        <f t="shared" si="7"/>
        <v>6.1</v>
      </c>
    </row>
    <row r="32" spans="1:14" ht="15.95" customHeight="1" x14ac:dyDescent="0.25">
      <c r="A32" s="13">
        <v>25</v>
      </c>
      <c r="B32" s="9" t="s">
        <v>1483</v>
      </c>
      <c r="C32" s="10" t="s">
        <v>1170</v>
      </c>
      <c r="D32" s="11" t="s">
        <v>53</v>
      </c>
      <c r="E32" s="27">
        <v>8</v>
      </c>
      <c r="F32" s="27">
        <v>7</v>
      </c>
      <c r="G32" s="27">
        <v>1</v>
      </c>
      <c r="H32" s="28">
        <f t="shared" si="4"/>
        <v>240</v>
      </c>
      <c r="I32" s="29">
        <f t="shared" si="0"/>
        <v>80</v>
      </c>
      <c r="J32" s="27">
        <f t="shared" si="1"/>
        <v>19</v>
      </c>
      <c r="K32" s="27" t="str">
        <f t="shared" si="8"/>
        <v>TUNTAS</v>
      </c>
      <c r="L32" s="13" t="str">
        <f t="shared" si="9"/>
        <v xml:space="preserve"> </v>
      </c>
      <c r="M32" s="1"/>
      <c r="N32" s="2">
        <f t="shared" si="7"/>
        <v>8</v>
      </c>
    </row>
    <row r="33" spans="1:14" ht="15.95" customHeight="1" x14ac:dyDescent="0.25">
      <c r="A33" s="13">
        <v>26</v>
      </c>
      <c r="B33" s="9" t="s">
        <v>1484</v>
      </c>
      <c r="C33" s="10" t="s">
        <v>1081</v>
      </c>
      <c r="D33" s="11" t="s">
        <v>55</v>
      </c>
      <c r="E33" s="27">
        <v>3</v>
      </c>
      <c r="F33" s="27">
        <v>2</v>
      </c>
      <c r="G33" s="27">
        <v>0</v>
      </c>
      <c r="H33" s="28">
        <f t="shared" si="4"/>
        <v>285</v>
      </c>
      <c r="I33" s="29">
        <f t="shared" si="0"/>
        <v>95</v>
      </c>
      <c r="J33" s="27">
        <f t="shared" si="1"/>
        <v>4</v>
      </c>
      <c r="K33" s="27" t="str">
        <f t="shared" si="8"/>
        <v>TUNTAS</v>
      </c>
      <c r="L33" s="13" t="str">
        <f t="shared" si="9"/>
        <v xml:space="preserve"> </v>
      </c>
      <c r="M33" s="1"/>
      <c r="N33" s="2">
        <f t="shared" si="7"/>
        <v>9.5</v>
      </c>
    </row>
    <row r="34" spans="1:14" ht="15.95" customHeight="1" x14ac:dyDescent="0.25">
      <c r="A34" s="13">
        <v>27</v>
      </c>
      <c r="B34" s="9" t="s">
        <v>1485</v>
      </c>
      <c r="C34" s="10" t="s">
        <v>1179</v>
      </c>
      <c r="D34" s="11" t="s">
        <v>57</v>
      </c>
      <c r="E34" s="27">
        <v>19</v>
      </c>
      <c r="F34" s="27">
        <v>14</v>
      </c>
      <c r="G34" s="27">
        <v>2</v>
      </c>
      <c r="H34" s="28">
        <f t="shared" si="4"/>
        <v>171</v>
      </c>
      <c r="I34" s="29">
        <f t="shared" si="0"/>
        <v>57</v>
      </c>
      <c r="J34" s="27">
        <f t="shared" si="1"/>
        <v>32</v>
      </c>
      <c r="K34" s="27" t="str">
        <f t="shared" si="8"/>
        <v>TIDAK TUNTAS</v>
      </c>
      <c r="L34" s="13" t="str">
        <f t="shared" si="9"/>
        <v xml:space="preserve"> </v>
      </c>
      <c r="M34" s="1"/>
      <c r="N34" s="2">
        <f t="shared" si="7"/>
        <v>5.7</v>
      </c>
    </row>
    <row r="35" spans="1:14" ht="15.95" customHeight="1" x14ac:dyDescent="0.25">
      <c r="A35" s="13">
        <v>28</v>
      </c>
      <c r="B35" s="9" t="s">
        <v>1487</v>
      </c>
      <c r="C35" s="10" t="s">
        <v>1085</v>
      </c>
      <c r="D35" s="11" t="s">
        <v>95</v>
      </c>
      <c r="E35" s="27">
        <v>18</v>
      </c>
      <c r="F35" s="27">
        <v>18</v>
      </c>
      <c r="G35" s="27">
        <v>4</v>
      </c>
      <c r="H35" s="28">
        <f t="shared" si="4"/>
        <v>132</v>
      </c>
      <c r="I35" s="29">
        <f t="shared" si="0"/>
        <v>44</v>
      </c>
      <c r="J35" s="27">
        <f t="shared" si="1"/>
        <v>34</v>
      </c>
      <c r="K35" s="27" t="str">
        <f t="shared" si="8"/>
        <v>TIDAK TUNTAS</v>
      </c>
      <c r="L35" s="13" t="str">
        <f t="shared" si="9"/>
        <v xml:space="preserve"> </v>
      </c>
      <c r="M35" s="1"/>
      <c r="N35" s="2">
        <f t="shared" si="7"/>
        <v>4.4000000000000004</v>
      </c>
    </row>
    <row r="36" spans="1:14" ht="15.95" customHeight="1" x14ac:dyDescent="0.25">
      <c r="A36" s="13">
        <v>29</v>
      </c>
      <c r="B36" s="9" t="s">
        <v>1488</v>
      </c>
      <c r="C36" s="10" t="s">
        <v>1087</v>
      </c>
      <c r="D36" s="11" t="s">
        <v>139</v>
      </c>
      <c r="E36" s="27">
        <v>1</v>
      </c>
      <c r="F36" s="27">
        <v>0</v>
      </c>
      <c r="G36" s="27">
        <v>1</v>
      </c>
      <c r="H36" s="28">
        <f t="shared" si="4"/>
        <v>282</v>
      </c>
      <c r="I36" s="29">
        <f t="shared" si="0"/>
        <v>94</v>
      </c>
      <c r="J36" s="27">
        <f t="shared" si="1"/>
        <v>6</v>
      </c>
      <c r="K36" s="27" t="str">
        <f t="shared" si="8"/>
        <v>TUNTAS</v>
      </c>
      <c r="L36" s="13" t="str">
        <f t="shared" si="9"/>
        <v xml:space="preserve"> </v>
      </c>
      <c r="M36" s="1"/>
      <c r="N36" s="2">
        <f t="shared" si="7"/>
        <v>9.4</v>
      </c>
    </row>
    <row r="37" spans="1:14" ht="15.95" customHeight="1" x14ac:dyDescent="0.25">
      <c r="A37" s="13">
        <v>30</v>
      </c>
      <c r="B37" s="9" t="s">
        <v>1490</v>
      </c>
      <c r="C37" s="10" t="s">
        <v>1645</v>
      </c>
      <c r="D37" s="11" t="s">
        <v>58</v>
      </c>
      <c r="E37" s="27">
        <v>32</v>
      </c>
      <c r="F37" s="27">
        <v>32</v>
      </c>
      <c r="G37" s="27">
        <v>5</v>
      </c>
      <c r="H37" s="28">
        <f t="shared" si="4"/>
        <v>33</v>
      </c>
      <c r="I37" s="29">
        <f t="shared" si="0"/>
        <v>11</v>
      </c>
      <c r="J37" s="27">
        <f t="shared" si="1"/>
        <v>37</v>
      </c>
      <c r="K37" s="27" t="str">
        <f t="shared" si="8"/>
        <v>TIDAK HADIR</v>
      </c>
      <c r="L37" s="13" t="s">
        <v>3264</v>
      </c>
      <c r="M37" s="1"/>
      <c r="N37" s="2">
        <f t="shared" si="7"/>
        <v>1.1000000000000001</v>
      </c>
    </row>
    <row r="38" spans="1:14" ht="15.95" customHeight="1" x14ac:dyDescent="0.25">
      <c r="A38" s="13">
        <v>31</v>
      </c>
      <c r="B38" s="9" t="s">
        <v>1491</v>
      </c>
      <c r="C38" s="10" t="s">
        <v>1089</v>
      </c>
      <c r="D38" s="11" t="s">
        <v>97</v>
      </c>
      <c r="E38" s="27">
        <v>1</v>
      </c>
      <c r="F38" s="27">
        <v>0</v>
      </c>
      <c r="G38" s="27">
        <v>0</v>
      </c>
      <c r="H38" s="28">
        <f t="shared" si="4"/>
        <v>297</v>
      </c>
      <c r="I38" s="29">
        <f t="shared" si="0"/>
        <v>99</v>
      </c>
      <c r="J38" s="27">
        <f t="shared" si="1"/>
        <v>2</v>
      </c>
      <c r="K38" s="27" t="str">
        <f t="shared" si="8"/>
        <v>TUNTAS</v>
      </c>
      <c r="L38" s="13" t="str">
        <f t="shared" si="9"/>
        <v xml:space="preserve"> </v>
      </c>
      <c r="M38" s="1"/>
      <c r="N38" s="2">
        <f t="shared" si="7"/>
        <v>9.9</v>
      </c>
    </row>
    <row r="39" spans="1:14" ht="15.95" customHeight="1" x14ac:dyDescent="0.25">
      <c r="A39" s="13">
        <v>32</v>
      </c>
      <c r="B39" s="9" t="s">
        <v>1492</v>
      </c>
      <c r="C39" s="10" t="s">
        <v>1273</v>
      </c>
      <c r="D39" s="11" t="s">
        <v>119</v>
      </c>
      <c r="E39" s="27">
        <v>2</v>
      </c>
      <c r="F39" s="27">
        <v>4</v>
      </c>
      <c r="G39" s="27">
        <v>6</v>
      </c>
      <c r="H39" s="28">
        <f t="shared" si="4"/>
        <v>192</v>
      </c>
      <c r="I39" s="29">
        <f t="shared" si="0"/>
        <v>64</v>
      </c>
      <c r="J39" s="27">
        <f t="shared" si="1"/>
        <v>27</v>
      </c>
      <c r="K39" s="27" t="str">
        <f t="shared" si="8"/>
        <v>TUNTAS</v>
      </c>
      <c r="L39" s="13" t="str">
        <f t="shared" si="9"/>
        <v>TM</v>
      </c>
      <c r="M39" s="1"/>
      <c r="N39" s="2">
        <f t="shared" si="7"/>
        <v>6.4</v>
      </c>
    </row>
    <row r="40" spans="1:14" ht="15.95" customHeight="1" x14ac:dyDescent="0.25">
      <c r="A40" s="13">
        <v>33</v>
      </c>
      <c r="B40" s="9" t="s">
        <v>1493</v>
      </c>
      <c r="C40" s="10" t="s">
        <v>1358</v>
      </c>
      <c r="D40" s="11" t="s">
        <v>88</v>
      </c>
      <c r="E40" s="27">
        <v>8</v>
      </c>
      <c r="F40" s="27">
        <v>8</v>
      </c>
      <c r="G40" s="27">
        <v>4</v>
      </c>
      <c r="H40" s="28">
        <f t="shared" si="4"/>
        <v>192</v>
      </c>
      <c r="I40" s="29">
        <f t="shared" si="0"/>
        <v>64</v>
      </c>
      <c r="J40" s="27">
        <f t="shared" si="1"/>
        <v>27</v>
      </c>
      <c r="K40" s="27" t="str">
        <f t="shared" si="8"/>
        <v>TUNTAS</v>
      </c>
      <c r="L40" s="13" t="str">
        <f t="shared" si="9"/>
        <v xml:space="preserve"> </v>
      </c>
      <c r="M40" s="1"/>
      <c r="N40" s="2">
        <f t="shared" si="7"/>
        <v>6.4</v>
      </c>
    </row>
    <row r="41" spans="1:14" ht="15.95" customHeight="1" x14ac:dyDescent="0.25">
      <c r="A41" s="13">
        <v>34</v>
      </c>
      <c r="B41" s="9" t="s">
        <v>1495</v>
      </c>
      <c r="C41" s="10" t="s">
        <v>1278</v>
      </c>
      <c r="D41" s="11" t="s">
        <v>66</v>
      </c>
      <c r="E41" s="27">
        <v>0</v>
      </c>
      <c r="F41" s="27">
        <v>0</v>
      </c>
      <c r="G41" s="27">
        <v>1</v>
      </c>
      <c r="H41" s="28">
        <f t="shared" si="4"/>
        <v>285</v>
      </c>
      <c r="I41" s="29">
        <f t="shared" si="0"/>
        <v>95</v>
      </c>
      <c r="J41" s="27">
        <f t="shared" si="1"/>
        <v>4</v>
      </c>
      <c r="K41" s="27" t="str">
        <f t="shared" si="8"/>
        <v>TUNTAS</v>
      </c>
      <c r="L41" s="13" t="str">
        <f t="shared" si="9"/>
        <v xml:space="preserve"> </v>
      </c>
      <c r="M41" s="1"/>
      <c r="N41" s="2">
        <f t="shared" si="7"/>
        <v>9.5</v>
      </c>
    </row>
    <row r="42" spans="1:14" ht="15.95" customHeight="1" x14ac:dyDescent="0.25">
      <c r="A42" s="13">
        <v>35</v>
      </c>
      <c r="B42" s="9" t="s">
        <v>1496</v>
      </c>
      <c r="C42" s="10" t="s">
        <v>1432</v>
      </c>
      <c r="D42" s="11" t="s">
        <v>120</v>
      </c>
      <c r="E42" s="27">
        <v>0</v>
      </c>
      <c r="F42" s="27">
        <v>1</v>
      </c>
      <c r="G42" s="27">
        <v>3</v>
      </c>
      <c r="H42" s="28">
        <f t="shared" si="4"/>
        <v>252</v>
      </c>
      <c r="I42" s="29">
        <f t="shared" si="0"/>
        <v>84</v>
      </c>
      <c r="J42" s="27">
        <f t="shared" si="1"/>
        <v>13</v>
      </c>
      <c r="K42" s="27" t="str">
        <f t="shared" si="8"/>
        <v>TUNTAS</v>
      </c>
      <c r="L42" s="13" t="str">
        <f t="shared" si="9"/>
        <v xml:space="preserve"> </v>
      </c>
      <c r="M42" s="1"/>
      <c r="N42" s="2">
        <f t="shared" si="7"/>
        <v>8.4</v>
      </c>
    </row>
    <row r="43" spans="1:14" ht="15.95" customHeight="1" x14ac:dyDescent="0.25">
      <c r="A43" s="13">
        <v>36</v>
      </c>
      <c r="B43" s="9" t="s">
        <v>1498</v>
      </c>
      <c r="C43" s="10" t="s">
        <v>1106</v>
      </c>
      <c r="D43" s="11" t="s">
        <v>71</v>
      </c>
      <c r="E43" s="27">
        <v>0</v>
      </c>
      <c r="F43" s="27">
        <v>1</v>
      </c>
      <c r="G43" s="27">
        <v>3</v>
      </c>
      <c r="H43" s="28">
        <f t="shared" si="4"/>
        <v>252</v>
      </c>
      <c r="I43" s="29">
        <f t="shared" si="0"/>
        <v>84</v>
      </c>
      <c r="J43" s="27">
        <f t="shared" si="1"/>
        <v>13</v>
      </c>
      <c r="K43" s="27" t="str">
        <f t="shared" si="8"/>
        <v>TUNTAS</v>
      </c>
      <c r="L43" s="13" t="str">
        <f t="shared" si="9"/>
        <v xml:space="preserve"> </v>
      </c>
      <c r="M43" s="1"/>
      <c r="N43" s="2">
        <f t="shared" si="7"/>
        <v>8.4</v>
      </c>
    </row>
    <row r="44" spans="1:14" ht="15.95" customHeight="1" x14ac:dyDescent="0.25">
      <c r="A44" s="13">
        <v>37</v>
      </c>
      <c r="B44" s="9" t="s">
        <v>1500</v>
      </c>
      <c r="C44" s="10" t="s">
        <v>1202</v>
      </c>
      <c r="D44" s="11" t="s">
        <v>72</v>
      </c>
      <c r="E44" s="27">
        <v>9</v>
      </c>
      <c r="F44" s="27">
        <v>6</v>
      </c>
      <c r="G44" s="27">
        <v>2</v>
      </c>
      <c r="H44" s="28">
        <f t="shared" si="4"/>
        <v>225</v>
      </c>
      <c r="I44" s="29">
        <f t="shared" si="0"/>
        <v>75</v>
      </c>
      <c r="J44" s="27">
        <f t="shared" si="1"/>
        <v>22</v>
      </c>
      <c r="K44" s="27" t="str">
        <f t="shared" si="8"/>
        <v>TUNTAS</v>
      </c>
      <c r="L44" s="13" t="str">
        <f t="shared" si="9"/>
        <v xml:space="preserve"> </v>
      </c>
      <c r="M44" s="1"/>
      <c r="N44" s="2">
        <f t="shared" si="7"/>
        <v>7.5</v>
      </c>
    </row>
    <row r="45" spans="1:14" ht="15.95" customHeight="1" x14ac:dyDescent="0.25">
      <c r="A45" s="13">
        <v>38</v>
      </c>
      <c r="B45" s="9" t="s">
        <v>1501</v>
      </c>
      <c r="C45" s="10" t="s">
        <v>1442</v>
      </c>
      <c r="D45" s="11" t="s">
        <v>89</v>
      </c>
      <c r="E45" s="27">
        <v>32</v>
      </c>
      <c r="F45" s="27">
        <v>32</v>
      </c>
      <c r="G45" s="27">
        <v>5</v>
      </c>
      <c r="H45" s="28">
        <f t="shared" si="4"/>
        <v>33</v>
      </c>
      <c r="I45" s="29">
        <f t="shared" si="0"/>
        <v>11</v>
      </c>
      <c r="J45" s="27">
        <f t="shared" si="1"/>
        <v>37</v>
      </c>
      <c r="K45" s="27" t="str">
        <f t="shared" si="8"/>
        <v>TIDAK HADIR</v>
      </c>
      <c r="L45" s="13" t="s">
        <v>3265</v>
      </c>
      <c r="M45" s="1"/>
      <c r="N45" s="2">
        <f t="shared" si="7"/>
        <v>1.1000000000000001</v>
      </c>
    </row>
    <row r="46" spans="1:14" x14ac:dyDescent="0.25">
      <c r="N46" s="2">
        <f t="shared" si="7"/>
        <v>0</v>
      </c>
    </row>
    <row r="47" spans="1:14" x14ac:dyDescent="0.25">
      <c r="N47" s="2">
        <f t="shared" si="7"/>
        <v>0</v>
      </c>
    </row>
    <row r="48" spans="1:14" x14ac:dyDescent="0.25">
      <c r="N48" s="2">
        <f t="shared" si="7"/>
        <v>0</v>
      </c>
    </row>
    <row r="49" spans="14:14" x14ac:dyDescent="0.25">
      <c r="N49" s="2">
        <f t="shared" si="7"/>
        <v>0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8:D10">
    <cfRule type="cellIs" dxfId="35" priority="14" operator="equal">
      <formula>0</formula>
    </cfRule>
  </conditionalFormatting>
  <conditionalFormatting sqref="I8:I45">
    <cfRule type="cellIs" dxfId="34" priority="8" operator="lessThan">
      <formula>60</formula>
    </cfRule>
    <cfRule type="cellIs" dxfId="33" priority="9" operator="lessThan">
      <formula>60</formula>
    </cfRule>
    <cfRule type="cellIs" dxfId="32" priority="10" operator="lessThan">
      <formula>50</formula>
    </cfRule>
  </conditionalFormatting>
  <conditionalFormatting sqref="K8:K45">
    <cfRule type="cellIs" dxfId="31" priority="1" operator="equal">
      <formula>"TIDAK BACA"</formula>
    </cfRule>
    <cfRule type="cellIs" dxfId="30" priority="2" operator="equal">
      <formula>"TIDAK TUNTAS"</formula>
    </cfRule>
    <cfRule type="cellIs" dxfId="29" priority="3" operator="equal">
      <formula>"TUNTAS"</formula>
    </cfRule>
    <cfRule type="cellIs" dxfId="28" priority="4" operator="equal">
      <formula>"TIDAK HADIR"</formula>
    </cfRule>
    <cfRule type="cellIs" dxfId="27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7736D0E5-9E7F-4F92-AEB2-D2AC934B7EFF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0236-E797-46DA-98DD-8AEC7DA52B83}">
  <sheetPr>
    <tabColor theme="9" tint="0.59999389629810485"/>
  </sheetPr>
  <dimension ref="A1:N49"/>
  <sheetViews>
    <sheetView zoomScaleNormal="100" workbookViewId="0">
      <pane xSplit="1" ySplit="7" topLeftCell="B32" activePane="bottomRight" state="frozen"/>
      <selection activeCell="R51" sqref="R51"/>
      <selection pane="topRight" activeCell="R51" sqref="R51"/>
      <selection pane="bottomLeft" activeCell="R51" sqref="R51"/>
      <selection pane="bottomRight" activeCell="N8" sqref="N8:N47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2" width="9.140625" style="33"/>
    <col min="13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1502</v>
      </c>
      <c r="C8" s="10" t="s">
        <v>842</v>
      </c>
      <c r="D8" s="11" t="s">
        <v>14</v>
      </c>
      <c r="E8" s="27">
        <v>4</v>
      </c>
      <c r="F8" s="27">
        <v>0</v>
      </c>
      <c r="G8" s="27">
        <v>1</v>
      </c>
      <c r="H8" s="28">
        <f>100-E8*3+100-F8*3+100-G8*15</f>
        <v>273</v>
      </c>
      <c r="I8" s="29">
        <f t="shared" ref="I8:I47" si="0">H8/3</f>
        <v>91</v>
      </c>
      <c r="J8" s="27">
        <f t="shared" ref="J8:J47" si="1">RANK(H8,$H$8:$H$86)</f>
        <v>6</v>
      </c>
      <c r="K8" s="27" t="str">
        <f t="shared" ref="K8" si="2">IF(I8&lt;11.1,"TIDAK HADIR",IF(I8&lt;13.1,"TIDAK BACA",IF(I8&lt;$K$7,"TIDAK TUNTAS","TUNTAS")))</f>
        <v>TUNTAS</v>
      </c>
      <c r="L8" s="13" t="str">
        <f t="shared" ref="L8" si="3">IF(G8&gt;5,"TM"," ")</f>
        <v xml:space="preserve"> </v>
      </c>
      <c r="M8" s="1"/>
      <c r="N8" s="2">
        <f>I8/10</f>
        <v>9.1</v>
      </c>
    </row>
    <row r="9" spans="1:14" ht="15.95" customHeight="1" x14ac:dyDescent="0.25">
      <c r="A9" s="13">
        <v>2</v>
      </c>
      <c r="B9" s="9" t="s">
        <v>1503</v>
      </c>
      <c r="C9" s="10" t="s">
        <v>1293</v>
      </c>
      <c r="D9" s="11" t="s">
        <v>19</v>
      </c>
      <c r="E9" s="27">
        <v>3</v>
      </c>
      <c r="F9" s="27">
        <v>1</v>
      </c>
      <c r="G9" s="27">
        <v>0</v>
      </c>
      <c r="H9" s="28">
        <f t="shared" ref="H9:H47" si="4">100-E9*3+100-F9*3+100-G9*15</f>
        <v>288</v>
      </c>
      <c r="I9" s="29">
        <f t="shared" si="0"/>
        <v>96</v>
      </c>
      <c r="J9" s="27">
        <f t="shared" si="1"/>
        <v>3</v>
      </c>
      <c r="K9" s="27" t="str">
        <f t="shared" ref="K9:K47" si="5">IF(I9&lt;11.1,"TIDAK HADIR",IF(I9&lt;13.1,"TIDAK BACA",IF(I9&lt;$K$7,"TIDAK TUNTAS","TUNTAS")))</f>
        <v>TUNTAS</v>
      </c>
      <c r="L9" s="13" t="str">
        <f t="shared" ref="L9:L47" si="6">IF(G9&gt;5,"TM"," ")</f>
        <v xml:space="preserve"> </v>
      </c>
      <c r="M9" s="1"/>
      <c r="N9" s="2">
        <f t="shared" ref="N9:N49" si="7">I9/10</f>
        <v>9.6</v>
      </c>
    </row>
    <row r="10" spans="1:14" ht="15.95" customHeight="1" x14ac:dyDescent="0.25">
      <c r="A10" s="13">
        <v>3</v>
      </c>
      <c r="B10" s="9" t="s">
        <v>1504</v>
      </c>
      <c r="C10" s="10" t="s">
        <v>3262</v>
      </c>
      <c r="D10" s="11" t="s">
        <v>122</v>
      </c>
      <c r="E10" s="27">
        <v>1</v>
      </c>
      <c r="F10" s="27">
        <v>1</v>
      </c>
      <c r="G10" s="27">
        <v>0</v>
      </c>
      <c r="H10" s="28">
        <f t="shared" si="4"/>
        <v>294</v>
      </c>
      <c r="I10" s="29">
        <f>H10/3</f>
        <v>98</v>
      </c>
      <c r="J10" s="27">
        <f t="shared" si="1"/>
        <v>1</v>
      </c>
      <c r="K10" s="27" t="str">
        <f t="shared" si="5"/>
        <v>TUNTAS</v>
      </c>
      <c r="L10" s="13" t="str">
        <f t="shared" si="6"/>
        <v xml:space="preserve"> </v>
      </c>
      <c r="M10" s="1"/>
      <c r="N10" s="2">
        <f t="shared" si="7"/>
        <v>9.8000000000000007</v>
      </c>
    </row>
    <row r="11" spans="1:14" ht="15.95" customHeight="1" x14ac:dyDescent="0.25">
      <c r="A11" s="13">
        <v>4</v>
      </c>
      <c r="B11" s="9" t="s">
        <v>1505</v>
      </c>
      <c r="C11" s="10" t="s">
        <v>1029</v>
      </c>
      <c r="D11" s="11" t="s">
        <v>22</v>
      </c>
      <c r="E11" s="27">
        <v>6</v>
      </c>
      <c r="F11" s="27">
        <v>2</v>
      </c>
      <c r="G11" s="27">
        <v>4</v>
      </c>
      <c r="H11" s="28">
        <f t="shared" si="4"/>
        <v>216</v>
      </c>
      <c r="I11" s="29">
        <f t="shared" si="0"/>
        <v>72</v>
      </c>
      <c r="J11" s="27">
        <f t="shared" si="1"/>
        <v>20</v>
      </c>
      <c r="K11" s="27" t="str">
        <f t="shared" si="5"/>
        <v>TUNTAS</v>
      </c>
      <c r="L11" s="13" t="str">
        <f t="shared" si="6"/>
        <v xml:space="preserve"> </v>
      </c>
      <c r="M11" s="1"/>
      <c r="N11" s="2">
        <f t="shared" si="7"/>
        <v>7.2</v>
      </c>
    </row>
    <row r="12" spans="1:14" ht="15.95" customHeight="1" x14ac:dyDescent="0.25">
      <c r="A12" s="13">
        <v>5</v>
      </c>
      <c r="B12" s="9" t="s">
        <v>1506</v>
      </c>
      <c r="C12" s="10" t="s">
        <v>940</v>
      </c>
      <c r="D12" s="11" t="s">
        <v>145</v>
      </c>
      <c r="E12" s="27">
        <v>32</v>
      </c>
      <c r="F12" s="27">
        <v>32</v>
      </c>
      <c r="G12" s="27">
        <v>5</v>
      </c>
      <c r="H12" s="28">
        <f t="shared" si="4"/>
        <v>33</v>
      </c>
      <c r="I12" s="29">
        <f t="shared" si="0"/>
        <v>11</v>
      </c>
      <c r="J12" s="27">
        <f t="shared" si="1"/>
        <v>39</v>
      </c>
      <c r="K12" s="27" t="str">
        <f t="shared" si="5"/>
        <v>TIDAK HADIR</v>
      </c>
      <c r="L12" s="13" t="s">
        <v>3264</v>
      </c>
      <c r="M12" s="1"/>
      <c r="N12" s="2">
        <f t="shared" si="7"/>
        <v>1.1000000000000001</v>
      </c>
    </row>
    <row r="13" spans="1:14" ht="15.95" customHeight="1" x14ac:dyDescent="0.25">
      <c r="A13" s="13">
        <v>6</v>
      </c>
      <c r="B13" s="9" t="s">
        <v>1507</v>
      </c>
      <c r="C13" s="10" t="s">
        <v>1121</v>
      </c>
      <c r="D13" s="11" t="s">
        <v>27</v>
      </c>
      <c r="E13" s="27">
        <v>4</v>
      </c>
      <c r="F13" s="27">
        <v>3</v>
      </c>
      <c r="G13" s="27">
        <v>3</v>
      </c>
      <c r="H13" s="28">
        <f t="shared" si="4"/>
        <v>234</v>
      </c>
      <c r="I13" s="29">
        <f t="shared" si="0"/>
        <v>78</v>
      </c>
      <c r="J13" s="27">
        <f t="shared" si="1"/>
        <v>15</v>
      </c>
      <c r="K13" s="27" t="str">
        <f t="shared" si="5"/>
        <v>TUNTAS</v>
      </c>
      <c r="L13" s="13" t="str">
        <f t="shared" si="6"/>
        <v xml:space="preserve"> </v>
      </c>
      <c r="M13" s="1" t="s">
        <v>3266</v>
      </c>
      <c r="N13" s="2">
        <f t="shared" si="7"/>
        <v>7.8</v>
      </c>
    </row>
    <row r="14" spans="1:14" ht="15.95" customHeight="1" x14ac:dyDescent="0.25">
      <c r="A14" s="13">
        <v>7</v>
      </c>
      <c r="B14" s="9" t="s">
        <v>1508</v>
      </c>
      <c r="C14" s="10" t="s">
        <v>1215</v>
      </c>
      <c r="D14" s="11" t="s">
        <v>28</v>
      </c>
      <c r="E14" s="27">
        <v>32</v>
      </c>
      <c r="F14" s="27">
        <v>32</v>
      </c>
      <c r="G14" s="27">
        <v>5</v>
      </c>
      <c r="H14" s="28">
        <f t="shared" si="4"/>
        <v>33</v>
      </c>
      <c r="I14" s="29">
        <f t="shared" si="0"/>
        <v>11</v>
      </c>
      <c r="J14" s="27">
        <f t="shared" si="1"/>
        <v>39</v>
      </c>
      <c r="K14" s="27" t="str">
        <f t="shared" si="5"/>
        <v>TIDAK HADIR</v>
      </c>
      <c r="L14" s="13" t="s">
        <v>3265</v>
      </c>
      <c r="M14" s="1"/>
      <c r="N14" s="2">
        <f t="shared" si="7"/>
        <v>1.1000000000000001</v>
      </c>
    </row>
    <row r="15" spans="1:14" ht="15.95" customHeight="1" x14ac:dyDescent="0.25">
      <c r="A15" s="13">
        <v>8</v>
      </c>
      <c r="B15" s="9" t="s">
        <v>1509</v>
      </c>
      <c r="C15" s="17" t="s">
        <v>1037</v>
      </c>
      <c r="D15" s="18" t="s">
        <v>77</v>
      </c>
      <c r="E15" s="27">
        <v>4</v>
      </c>
      <c r="F15" s="27">
        <v>7</v>
      </c>
      <c r="G15" s="27">
        <v>5</v>
      </c>
      <c r="H15" s="28">
        <f t="shared" si="4"/>
        <v>192</v>
      </c>
      <c r="I15" s="29">
        <f t="shared" si="0"/>
        <v>64</v>
      </c>
      <c r="J15" s="27">
        <f t="shared" si="1"/>
        <v>27</v>
      </c>
      <c r="K15" s="27" t="str">
        <f t="shared" si="5"/>
        <v>TUNTAS</v>
      </c>
      <c r="L15" s="13" t="str">
        <f t="shared" si="6"/>
        <v xml:space="preserve"> </v>
      </c>
      <c r="M15" s="1"/>
      <c r="N15" s="2">
        <f t="shared" si="7"/>
        <v>6.4</v>
      </c>
    </row>
    <row r="16" spans="1:14" ht="15.95" customHeight="1" x14ac:dyDescent="0.25">
      <c r="A16" s="13">
        <v>9</v>
      </c>
      <c r="B16" s="9" t="s">
        <v>1510</v>
      </c>
      <c r="C16" s="10" t="s">
        <v>1130</v>
      </c>
      <c r="D16" s="11" t="s">
        <v>32</v>
      </c>
      <c r="E16" s="27">
        <v>4</v>
      </c>
      <c r="F16" s="27">
        <v>2</v>
      </c>
      <c r="G16" s="27">
        <v>4</v>
      </c>
      <c r="H16" s="28">
        <f t="shared" si="4"/>
        <v>222</v>
      </c>
      <c r="I16" s="29">
        <f t="shared" si="0"/>
        <v>74</v>
      </c>
      <c r="J16" s="27">
        <f t="shared" si="1"/>
        <v>17</v>
      </c>
      <c r="K16" s="27" t="str">
        <f t="shared" si="5"/>
        <v>TUNTAS</v>
      </c>
      <c r="L16" s="13" t="str">
        <f t="shared" si="6"/>
        <v xml:space="preserve"> </v>
      </c>
      <c r="M16" s="1"/>
      <c r="N16" s="2">
        <f t="shared" si="7"/>
        <v>7.4</v>
      </c>
    </row>
    <row r="17" spans="1:14" ht="15.95" customHeight="1" x14ac:dyDescent="0.25">
      <c r="A17" s="13">
        <v>10</v>
      </c>
      <c r="B17" s="9" t="s">
        <v>1511</v>
      </c>
      <c r="C17" s="10" t="s">
        <v>1542</v>
      </c>
      <c r="D17" s="11" t="s">
        <v>33</v>
      </c>
      <c r="E17" s="27">
        <v>8</v>
      </c>
      <c r="F17" s="27">
        <v>6</v>
      </c>
      <c r="G17" s="27">
        <v>4</v>
      </c>
      <c r="H17" s="28">
        <f t="shared" si="4"/>
        <v>198</v>
      </c>
      <c r="I17" s="29">
        <f t="shared" si="0"/>
        <v>66</v>
      </c>
      <c r="J17" s="27">
        <f t="shared" si="1"/>
        <v>26</v>
      </c>
      <c r="K17" s="27" t="str">
        <f t="shared" si="5"/>
        <v>TUNTAS</v>
      </c>
      <c r="L17" s="13" t="str">
        <f t="shared" si="6"/>
        <v xml:space="preserve"> </v>
      </c>
      <c r="M17" s="1"/>
      <c r="N17" s="2">
        <f t="shared" si="7"/>
        <v>6.6</v>
      </c>
    </row>
    <row r="18" spans="1:14" ht="15.95" customHeight="1" x14ac:dyDescent="0.25">
      <c r="A18" s="13">
        <v>11</v>
      </c>
      <c r="B18" s="9" t="s">
        <v>1512</v>
      </c>
      <c r="C18" s="17" t="s">
        <v>1042</v>
      </c>
      <c r="D18" s="18" t="s">
        <v>33</v>
      </c>
      <c r="E18" s="27">
        <v>2</v>
      </c>
      <c r="F18" s="27">
        <v>2</v>
      </c>
      <c r="G18" s="27">
        <v>1</v>
      </c>
      <c r="H18" s="28">
        <f t="shared" si="4"/>
        <v>273</v>
      </c>
      <c r="I18" s="29">
        <f t="shared" si="0"/>
        <v>91</v>
      </c>
      <c r="J18" s="27">
        <f t="shared" si="1"/>
        <v>6</v>
      </c>
      <c r="K18" s="27" t="str">
        <f t="shared" si="5"/>
        <v>TUNTAS</v>
      </c>
      <c r="L18" s="13" t="str">
        <f t="shared" si="6"/>
        <v xml:space="preserve"> </v>
      </c>
      <c r="M18" s="1"/>
      <c r="N18" s="2">
        <f t="shared" si="7"/>
        <v>9.1</v>
      </c>
    </row>
    <row r="19" spans="1:14" ht="15.95" customHeight="1" x14ac:dyDescent="0.25">
      <c r="A19" s="13">
        <v>12</v>
      </c>
      <c r="B19" s="9" t="s">
        <v>1513</v>
      </c>
      <c r="C19" s="17" t="s">
        <v>1226</v>
      </c>
      <c r="D19" s="18" t="s">
        <v>569</v>
      </c>
      <c r="E19" s="27">
        <v>3</v>
      </c>
      <c r="F19" s="27">
        <v>1</v>
      </c>
      <c r="G19" s="27">
        <v>1</v>
      </c>
      <c r="H19" s="28">
        <f t="shared" si="4"/>
        <v>273</v>
      </c>
      <c r="I19" s="29">
        <f t="shared" si="0"/>
        <v>91</v>
      </c>
      <c r="J19" s="27">
        <f t="shared" si="1"/>
        <v>6</v>
      </c>
      <c r="K19" s="27" t="str">
        <f t="shared" si="5"/>
        <v>TUNTAS</v>
      </c>
      <c r="L19" s="13" t="str">
        <f t="shared" si="6"/>
        <v xml:space="preserve"> </v>
      </c>
      <c r="M19" s="1"/>
      <c r="N19" s="2">
        <f t="shared" si="7"/>
        <v>9.1</v>
      </c>
    </row>
    <row r="20" spans="1:14" ht="15.95" customHeight="1" x14ac:dyDescent="0.25">
      <c r="A20" s="13">
        <v>13</v>
      </c>
      <c r="B20" s="9" t="s">
        <v>1514</v>
      </c>
      <c r="C20" s="10" t="s">
        <v>960</v>
      </c>
      <c r="D20" s="11" t="s">
        <v>34</v>
      </c>
      <c r="E20" s="27">
        <v>3</v>
      </c>
      <c r="F20" s="27">
        <v>1</v>
      </c>
      <c r="G20" s="27">
        <v>1</v>
      </c>
      <c r="H20" s="28">
        <f t="shared" si="4"/>
        <v>273</v>
      </c>
      <c r="I20" s="29">
        <f t="shared" si="0"/>
        <v>91</v>
      </c>
      <c r="J20" s="27">
        <f t="shared" si="1"/>
        <v>6</v>
      </c>
      <c r="K20" s="27" t="str">
        <f t="shared" si="5"/>
        <v>TUNTAS</v>
      </c>
      <c r="L20" s="13" t="str">
        <f t="shared" si="6"/>
        <v xml:space="preserve"> </v>
      </c>
      <c r="M20" s="1"/>
      <c r="N20" s="2">
        <f t="shared" si="7"/>
        <v>9.1</v>
      </c>
    </row>
    <row r="21" spans="1:14" ht="15.95" customHeight="1" x14ac:dyDescent="0.25">
      <c r="A21" s="13">
        <v>14</v>
      </c>
      <c r="B21" s="9" t="s">
        <v>1515</v>
      </c>
      <c r="C21" s="10" t="s">
        <v>3263</v>
      </c>
      <c r="D21" s="11" t="s">
        <v>103</v>
      </c>
      <c r="E21" s="27">
        <v>5</v>
      </c>
      <c r="F21" s="27">
        <v>1</v>
      </c>
      <c r="G21" s="27">
        <v>2</v>
      </c>
      <c r="H21" s="28">
        <f t="shared" si="4"/>
        <v>252</v>
      </c>
      <c r="I21" s="29">
        <f t="shared" si="0"/>
        <v>84</v>
      </c>
      <c r="J21" s="27">
        <f t="shared" si="1"/>
        <v>11</v>
      </c>
      <c r="K21" s="27" t="str">
        <f t="shared" si="5"/>
        <v>TUNTAS</v>
      </c>
      <c r="L21" s="13" t="str">
        <f t="shared" si="6"/>
        <v xml:space="preserve"> </v>
      </c>
      <c r="M21" s="1"/>
      <c r="N21" s="2">
        <f t="shared" si="7"/>
        <v>8.4</v>
      </c>
    </row>
    <row r="22" spans="1:14" ht="15.95" customHeight="1" x14ac:dyDescent="0.25">
      <c r="A22" s="13">
        <v>15</v>
      </c>
      <c r="B22" s="9" t="s">
        <v>1517</v>
      </c>
      <c r="C22" s="10" t="s">
        <v>1142</v>
      </c>
      <c r="D22" s="11" t="s">
        <v>36</v>
      </c>
      <c r="E22" s="27">
        <v>15</v>
      </c>
      <c r="F22" s="27">
        <v>12</v>
      </c>
      <c r="G22" s="27">
        <v>6</v>
      </c>
      <c r="H22" s="28">
        <f t="shared" si="4"/>
        <v>129</v>
      </c>
      <c r="I22" s="29">
        <f t="shared" si="0"/>
        <v>43</v>
      </c>
      <c r="J22" s="27">
        <f t="shared" si="1"/>
        <v>36</v>
      </c>
      <c r="K22" s="27" t="str">
        <f t="shared" si="5"/>
        <v>TIDAK TUNTAS</v>
      </c>
      <c r="L22" s="13" t="str">
        <f t="shared" si="6"/>
        <v>TM</v>
      </c>
      <c r="M22" s="1"/>
      <c r="N22" s="2">
        <f t="shared" si="7"/>
        <v>4.3</v>
      </c>
    </row>
    <row r="23" spans="1:14" ht="15.95" customHeight="1" x14ac:dyDescent="0.25">
      <c r="A23" s="13">
        <v>16</v>
      </c>
      <c r="B23" s="9" t="s">
        <v>1518</v>
      </c>
      <c r="C23" s="10" t="s">
        <v>1319</v>
      </c>
      <c r="D23" s="11" t="s">
        <v>39</v>
      </c>
      <c r="E23" s="27">
        <v>16</v>
      </c>
      <c r="F23" s="27">
        <v>10</v>
      </c>
      <c r="G23" s="27">
        <v>6</v>
      </c>
      <c r="H23" s="28">
        <f t="shared" si="4"/>
        <v>132</v>
      </c>
      <c r="I23" s="29">
        <f t="shared" si="0"/>
        <v>44</v>
      </c>
      <c r="J23" s="27">
        <f t="shared" si="1"/>
        <v>35</v>
      </c>
      <c r="K23" s="27" t="str">
        <f t="shared" si="5"/>
        <v>TIDAK TUNTAS</v>
      </c>
      <c r="L23" s="13" t="str">
        <f t="shared" si="6"/>
        <v>TM</v>
      </c>
      <c r="M23" s="1"/>
      <c r="N23" s="2">
        <f t="shared" si="7"/>
        <v>4.4000000000000004</v>
      </c>
    </row>
    <row r="24" spans="1:14" ht="15.95" customHeight="1" x14ac:dyDescent="0.25">
      <c r="A24" s="13">
        <v>17</v>
      </c>
      <c r="B24" s="9" t="s">
        <v>1519</v>
      </c>
      <c r="C24" s="10" t="s">
        <v>1148</v>
      </c>
      <c r="D24" s="11" t="s">
        <v>40</v>
      </c>
      <c r="E24" s="27">
        <v>2</v>
      </c>
      <c r="F24" s="27">
        <v>0</v>
      </c>
      <c r="G24" s="27">
        <v>0</v>
      </c>
      <c r="H24" s="28">
        <f t="shared" si="4"/>
        <v>294</v>
      </c>
      <c r="I24" s="29">
        <f t="shared" si="0"/>
        <v>98</v>
      </c>
      <c r="J24" s="27">
        <f t="shared" si="1"/>
        <v>1</v>
      </c>
      <c r="K24" s="27" t="str">
        <f t="shared" si="5"/>
        <v>TUNTAS</v>
      </c>
      <c r="L24" s="13" t="str">
        <f t="shared" si="6"/>
        <v xml:space="preserve"> </v>
      </c>
      <c r="M24" s="1"/>
      <c r="N24" s="2">
        <f t="shared" si="7"/>
        <v>9.8000000000000007</v>
      </c>
    </row>
    <row r="25" spans="1:14" ht="15.95" customHeight="1" x14ac:dyDescent="0.25">
      <c r="A25" s="30">
        <v>18</v>
      </c>
      <c r="B25" s="9" t="s">
        <v>1520</v>
      </c>
      <c r="C25" s="10" t="s">
        <v>1472</v>
      </c>
      <c r="D25" s="11" t="s">
        <v>40</v>
      </c>
      <c r="E25" s="27">
        <v>5</v>
      </c>
      <c r="F25" s="27">
        <v>7</v>
      </c>
      <c r="G25" s="27">
        <v>3</v>
      </c>
      <c r="H25" s="28">
        <f t="shared" si="4"/>
        <v>219</v>
      </c>
      <c r="I25" s="29">
        <f t="shared" si="0"/>
        <v>73</v>
      </c>
      <c r="J25" s="27">
        <f t="shared" si="1"/>
        <v>19</v>
      </c>
      <c r="K25" s="27" t="str">
        <f t="shared" si="5"/>
        <v>TUNTAS</v>
      </c>
      <c r="L25" s="13" t="str">
        <f t="shared" si="6"/>
        <v xml:space="preserve"> </v>
      </c>
      <c r="M25" s="1"/>
      <c r="N25" s="2">
        <f t="shared" si="7"/>
        <v>7.3</v>
      </c>
    </row>
    <row r="26" spans="1:14" ht="15.95" customHeight="1" x14ac:dyDescent="0.25">
      <c r="A26" s="13">
        <v>19</v>
      </c>
      <c r="B26" s="9" t="s">
        <v>1521</v>
      </c>
      <c r="C26" s="10" t="s">
        <v>1323</v>
      </c>
      <c r="D26" s="11" t="s">
        <v>141</v>
      </c>
      <c r="E26" s="27">
        <v>28</v>
      </c>
      <c r="F26" s="27">
        <v>25</v>
      </c>
      <c r="G26" s="27">
        <v>5</v>
      </c>
      <c r="H26" s="28">
        <f t="shared" si="4"/>
        <v>66</v>
      </c>
      <c r="I26" s="29">
        <f t="shared" si="0"/>
        <v>22</v>
      </c>
      <c r="J26" s="27">
        <f t="shared" si="1"/>
        <v>37</v>
      </c>
      <c r="K26" s="27" t="str">
        <f t="shared" si="5"/>
        <v>TIDAK TUNTAS</v>
      </c>
      <c r="L26" s="13" t="str">
        <f t="shared" si="6"/>
        <v xml:space="preserve"> </v>
      </c>
      <c r="M26" s="1"/>
      <c r="N26" s="2">
        <f t="shared" si="7"/>
        <v>2.2000000000000002</v>
      </c>
    </row>
    <row r="27" spans="1:14" ht="15.95" customHeight="1" x14ac:dyDescent="0.25">
      <c r="A27" s="13">
        <v>20</v>
      </c>
      <c r="B27" s="9" t="s">
        <v>1522</v>
      </c>
      <c r="C27" s="10" t="s">
        <v>1325</v>
      </c>
      <c r="D27" s="11" t="s">
        <v>290</v>
      </c>
      <c r="E27" s="27">
        <v>29</v>
      </c>
      <c r="F27" s="27">
        <v>29</v>
      </c>
      <c r="G27" s="27">
        <v>5</v>
      </c>
      <c r="H27" s="28">
        <f t="shared" si="4"/>
        <v>51</v>
      </c>
      <c r="I27" s="29">
        <f t="shared" si="0"/>
        <v>17</v>
      </c>
      <c r="J27" s="27">
        <f t="shared" si="1"/>
        <v>38</v>
      </c>
      <c r="K27" s="27" t="str">
        <f t="shared" si="5"/>
        <v>TIDAK TUNTAS</v>
      </c>
      <c r="L27" s="13" t="str">
        <f t="shared" si="6"/>
        <v xml:space="preserve"> </v>
      </c>
      <c r="M27" s="1"/>
      <c r="N27" s="2">
        <f t="shared" si="7"/>
        <v>1.7</v>
      </c>
    </row>
    <row r="28" spans="1:14" ht="15.95" customHeight="1" x14ac:dyDescent="0.25">
      <c r="A28" s="13">
        <v>21</v>
      </c>
      <c r="B28" s="9" t="s">
        <v>1523</v>
      </c>
      <c r="C28" s="10" t="s">
        <v>1242</v>
      </c>
      <c r="D28" s="11" t="s">
        <v>106</v>
      </c>
      <c r="E28" s="27">
        <v>3</v>
      </c>
      <c r="F28" s="27">
        <v>3</v>
      </c>
      <c r="G28" s="27">
        <v>2</v>
      </c>
      <c r="H28" s="28">
        <f t="shared" si="4"/>
        <v>252</v>
      </c>
      <c r="I28" s="29">
        <f t="shared" si="0"/>
        <v>84</v>
      </c>
      <c r="J28" s="27">
        <f t="shared" si="1"/>
        <v>11</v>
      </c>
      <c r="K28" s="27" t="str">
        <f t="shared" si="5"/>
        <v>TUNTAS</v>
      </c>
      <c r="L28" s="13" t="str">
        <f t="shared" si="6"/>
        <v xml:space="preserve"> </v>
      </c>
      <c r="M28" s="1"/>
      <c r="N28" s="2">
        <f t="shared" si="7"/>
        <v>8.4</v>
      </c>
    </row>
    <row r="29" spans="1:14" ht="15.95" customHeight="1" x14ac:dyDescent="0.25">
      <c r="A29" s="13">
        <v>22</v>
      </c>
      <c r="B29" s="9" t="s">
        <v>1524</v>
      </c>
      <c r="C29" s="10" t="s">
        <v>888</v>
      </c>
      <c r="D29" s="11" t="s">
        <v>43</v>
      </c>
      <c r="E29" s="27">
        <v>1</v>
      </c>
      <c r="F29" s="27">
        <v>2</v>
      </c>
      <c r="G29" s="27">
        <v>1</v>
      </c>
      <c r="H29" s="28">
        <f t="shared" si="4"/>
        <v>276</v>
      </c>
      <c r="I29" s="29">
        <f t="shared" si="0"/>
        <v>92</v>
      </c>
      <c r="J29" s="27">
        <f t="shared" si="1"/>
        <v>5</v>
      </c>
      <c r="K29" s="27" t="str">
        <f t="shared" si="5"/>
        <v>TUNTAS</v>
      </c>
      <c r="L29" s="13" t="str">
        <f t="shared" si="6"/>
        <v xml:space="preserve"> </v>
      </c>
      <c r="M29" s="1"/>
      <c r="N29" s="2">
        <f t="shared" si="7"/>
        <v>9.1999999999999993</v>
      </c>
    </row>
    <row r="30" spans="1:14" ht="15.95" customHeight="1" x14ac:dyDescent="0.25">
      <c r="A30" s="13">
        <v>23</v>
      </c>
      <c r="B30" s="9" t="s">
        <v>1525</v>
      </c>
      <c r="C30" s="10" t="s">
        <v>890</v>
      </c>
      <c r="D30" s="11" t="s">
        <v>136</v>
      </c>
      <c r="E30" s="27">
        <v>7</v>
      </c>
      <c r="F30" s="27">
        <v>5</v>
      </c>
      <c r="G30" s="27">
        <v>5</v>
      </c>
      <c r="H30" s="28">
        <f t="shared" si="4"/>
        <v>189</v>
      </c>
      <c r="I30" s="29">
        <f t="shared" si="0"/>
        <v>63</v>
      </c>
      <c r="J30" s="27">
        <f t="shared" si="1"/>
        <v>28</v>
      </c>
      <c r="K30" s="27" t="str">
        <f t="shared" si="5"/>
        <v>TUNTAS</v>
      </c>
      <c r="L30" s="13" t="str">
        <f t="shared" si="6"/>
        <v xml:space="preserve"> </v>
      </c>
      <c r="M30" s="1"/>
      <c r="N30" s="2">
        <f t="shared" si="7"/>
        <v>6.3</v>
      </c>
    </row>
    <row r="31" spans="1:14" ht="15.95" customHeight="1" x14ac:dyDescent="0.25">
      <c r="A31" s="13">
        <v>24</v>
      </c>
      <c r="B31" s="9" t="s">
        <v>1526</v>
      </c>
      <c r="C31" s="10" t="s">
        <v>1252</v>
      </c>
      <c r="D31" s="11" t="s">
        <v>116</v>
      </c>
      <c r="E31" s="27">
        <v>5</v>
      </c>
      <c r="F31" s="27">
        <v>3</v>
      </c>
      <c r="G31" s="27">
        <v>2</v>
      </c>
      <c r="H31" s="28">
        <f t="shared" si="4"/>
        <v>246</v>
      </c>
      <c r="I31" s="29">
        <f t="shared" si="0"/>
        <v>82</v>
      </c>
      <c r="J31" s="27">
        <f t="shared" si="1"/>
        <v>13</v>
      </c>
      <c r="K31" s="27" t="str">
        <f t="shared" si="5"/>
        <v>TUNTAS</v>
      </c>
      <c r="L31" s="13" t="str">
        <f t="shared" si="6"/>
        <v xml:space="preserve"> </v>
      </c>
      <c r="M31" s="1"/>
      <c r="N31" s="2">
        <f t="shared" si="7"/>
        <v>8.1999999999999993</v>
      </c>
    </row>
    <row r="32" spans="1:14" ht="15.95" customHeight="1" x14ac:dyDescent="0.25">
      <c r="A32" s="13">
        <v>25</v>
      </c>
      <c r="B32" s="9" t="s">
        <v>1527</v>
      </c>
      <c r="C32" s="10" t="s">
        <v>1164</v>
      </c>
      <c r="D32" s="11" t="s">
        <v>107</v>
      </c>
      <c r="E32" s="27">
        <v>10</v>
      </c>
      <c r="F32" s="27">
        <v>8</v>
      </c>
      <c r="G32" s="27">
        <v>3</v>
      </c>
      <c r="H32" s="28">
        <f t="shared" si="4"/>
        <v>201</v>
      </c>
      <c r="I32" s="29">
        <f t="shared" si="0"/>
        <v>67</v>
      </c>
      <c r="J32" s="27">
        <f t="shared" si="1"/>
        <v>24</v>
      </c>
      <c r="K32" s="27" t="str">
        <f t="shared" si="5"/>
        <v>TUNTAS</v>
      </c>
      <c r="L32" s="13" t="str">
        <f t="shared" si="6"/>
        <v xml:space="preserve"> </v>
      </c>
      <c r="M32" s="1"/>
      <c r="N32" s="2">
        <f t="shared" si="7"/>
        <v>6.7</v>
      </c>
    </row>
    <row r="33" spans="1:14" ht="15.95" customHeight="1" x14ac:dyDescent="0.25">
      <c r="A33" s="13">
        <v>26</v>
      </c>
      <c r="B33" s="9" t="s">
        <v>1528</v>
      </c>
      <c r="C33" s="10" t="s">
        <v>1486</v>
      </c>
      <c r="D33" s="11" t="s">
        <v>107</v>
      </c>
      <c r="E33" s="27">
        <v>6</v>
      </c>
      <c r="F33" s="27">
        <v>4</v>
      </c>
      <c r="G33" s="27">
        <v>2</v>
      </c>
      <c r="H33" s="28">
        <f t="shared" si="4"/>
        <v>240</v>
      </c>
      <c r="I33" s="29">
        <f t="shared" si="0"/>
        <v>80</v>
      </c>
      <c r="J33" s="27">
        <f t="shared" si="1"/>
        <v>14</v>
      </c>
      <c r="K33" s="27" t="str">
        <f t="shared" si="5"/>
        <v>TUNTAS</v>
      </c>
      <c r="L33" s="13" t="str">
        <f t="shared" si="6"/>
        <v xml:space="preserve"> </v>
      </c>
      <c r="M33" s="1"/>
      <c r="N33" s="2">
        <f t="shared" si="7"/>
        <v>8</v>
      </c>
    </row>
    <row r="34" spans="1:14" ht="15.95" customHeight="1" x14ac:dyDescent="0.25">
      <c r="A34" s="13">
        <v>27</v>
      </c>
      <c r="B34" s="9" t="s">
        <v>1529</v>
      </c>
      <c r="C34" s="10" t="s">
        <v>1166</v>
      </c>
      <c r="D34" s="11" t="s">
        <v>85</v>
      </c>
      <c r="E34" s="27">
        <v>12</v>
      </c>
      <c r="F34" s="27">
        <v>10</v>
      </c>
      <c r="G34" s="27">
        <v>4</v>
      </c>
      <c r="H34" s="28">
        <f t="shared" si="4"/>
        <v>174</v>
      </c>
      <c r="I34" s="29">
        <f t="shared" si="0"/>
        <v>58</v>
      </c>
      <c r="J34" s="27">
        <f t="shared" si="1"/>
        <v>32</v>
      </c>
      <c r="K34" s="27" t="str">
        <f t="shared" si="5"/>
        <v>TIDAK TUNTAS</v>
      </c>
      <c r="L34" s="13" t="str">
        <f t="shared" si="6"/>
        <v xml:space="preserve"> </v>
      </c>
      <c r="M34" s="1"/>
      <c r="N34" s="2">
        <f t="shared" si="7"/>
        <v>5.8</v>
      </c>
    </row>
    <row r="35" spans="1:14" ht="15.95" customHeight="1" x14ac:dyDescent="0.25">
      <c r="A35" s="13">
        <v>28</v>
      </c>
      <c r="B35" s="9" t="s">
        <v>1531</v>
      </c>
      <c r="C35" s="10" t="s">
        <v>1078</v>
      </c>
      <c r="D35" s="11" t="s">
        <v>50</v>
      </c>
      <c r="E35" s="27">
        <v>20</v>
      </c>
      <c r="F35" s="27">
        <v>13</v>
      </c>
      <c r="G35" s="27">
        <v>4</v>
      </c>
      <c r="H35" s="28">
        <f t="shared" si="4"/>
        <v>141</v>
      </c>
      <c r="I35" s="29">
        <f t="shared" si="0"/>
        <v>47</v>
      </c>
      <c r="J35" s="27">
        <f t="shared" si="1"/>
        <v>34</v>
      </c>
      <c r="K35" s="27" t="str">
        <f t="shared" si="5"/>
        <v>TIDAK TUNTAS</v>
      </c>
      <c r="L35" s="13" t="str">
        <f t="shared" si="6"/>
        <v xml:space="preserve"> </v>
      </c>
      <c r="M35" s="1"/>
      <c r="N35" s="2">
        <f t="shared" si="7"/>
        <v>4.7</v>
      </c>
    </row>
    <row r="36" spans="1:14" ht="15.95" customHeight="1" x14ac:dyDescent="0.25">
      <c r="A36" s="13">
        <v>29</v>
      </c>
      <c r="B36" s="9" t="s">
        <v>1532</v>
      </c>
      <c r="C36" s="10" t="s">
        <v>996</v>
      </c>
      <c r="D36" s="11" t="s">
        <v>55</v>
      </c>
      <c r="E36" s="27">
        <v>10</v>
      </c>
      <c r="F36" s="27">
        <v>6</v>
      </c>
      <c r="G36" s="27">
        <v>3</v>
      </c>
      <c r="H36" s="28">
        <f t="shared" si="4"/>
        <v>207</v>
      </c>
      <c r="I36" s="29">
        <f t="shared" si="0"/>
        <v>69</v>
      </c>
      <c r="J36" s="27">
        <f t="shared" si="1"/>
        <v>22</v>
      </c>
      <c r="K36" s="27" t="str">
        <f t="shared" si="5"/>
        <v>TUNTAS</v>
      </c>
      <c r="L36" s="13" t="str">
        <f t="shared" si="6"/>
        <v xml:space="preserve"> </v>
      </c>
      <c r="M36" s="1"/>
      <c r="N36" s="2">
        <f t="shared" si="7"/>
        <v>6.9</v>
      </c>
    </row>
    <row r="37" spans="1:14" ht="15.95" customHeight="1" x14ac:dyDescent="0.25">
      <c r="A37" s="13">
        <v>30</v>
      </c>
      <c r="B37" s="9" t="s">
        <v>1533</v>
      </c>
      <c r="C37" s="10" t="s">
        <v>907</v>
      </c>
      <c r="D37" s="11" t="s">
        <v>139</v>
      </c>
      <c r="E37" s="27">
        <v>9</v>
      </c>
      <c r="F37" s="27">
        <v>8</v>
      </c>
      <c r="G37" s="27">
        <v>4</v>
      </c>
      <c r="H37" s="28">
        <f t="shared" si="4"/>
        <v>189</v>
      </c>
      <c r="I37" s="29">
        <f t="shared" si="0"/>
        <v>63</v>
      </c>
      <c r="J37" s="27">
        <f t="shared" si="1"/>
        <v>28</v>
      </c>
      <c r="K37" s="27" t="str">
        <f t="shared" si="5"/>
        <v>TUNTAS</v>
      </c>
      <c r="L37" s="13" t="str">
        <f t="shared" si="6"/>
        <v xml:space="preserve"> </v>
      </c>
      <c r="M37" s="1"/>
      <c r="N37" s="2">
        <f t="shared" si="7"/>
        <v>6.3</v>
      </c>
    </row>
    <row r="38" spans="1:14" ht="15.95" customHeight="1" x14ac:dyDescent="0.25">
      <c r="A38" s="13">
        <v>31</v>
      </c>
      <c r="B38" s="9" t="s">
        <v>1534</v>
      </c>
      <c r="C38" s="10" t="s">
        <v>1269</v>
      </c>
      <c r="D38" s="11" t="s">
        <v>96</v>
      </c>
      <c r="E38" s="27">
        <v>8</v>
      </c>
      <c r="F38" s="27">
        <v>2</v>
      </c>
      <c r="G38" s="27">
        <v>1</v>
      </c>
      <c r="H38" s="28">
        <f t="shared" si="4"/>
        <v>255</v>
      </c>
      <c r="I38" s="29">
        <f t="shared" si="0"/>
        <v>85</v>
      </c>
      <c r="J38" s="27">
        <f t="shared" si="1"/>
        <v>10</v>
      </c>
      <c r="K38" s="27" t="str">
        <f t="shared" si="5"/>
        <v>TUNTAS</v>
      </c>
      <c r="L38" s="13" t="str">
        <f t="shared" si="6"/>
        <v xml:space="preserve"> </v>
      </c>
      <c r="M38" s="1"/>
      <c r="N38" s="2">
        <f t="shared" si="7"/>
        <v>8.5</v>
      </c>
    </row>
    <row r="39" spans="1:14" ht="15.95" customHeight="1" x14ac:dyDescent="0.25">
      <c r="A39" s="13">
        <v>32</v>
      </c>
      <c r="B39" s="9" t="s">
        <v>1535</v>
      </c>
      <c r="C39" s="10" t="s">
        <v>1499</v>
      </c>
      <c r="D39" s="11" t="s">
        <v>119</v>
      </c>
      <c r="E39" s="27">
        <v>2</v>
      </c>
      <c r="F39" s="27">
        <v>6</v>
      </c>
      <c r="G39" s="27">
        <v>5</v>
      </c>
      <c r="H39" s="28">
        <f t="shared" si="4"/>
        <v>201</v>
      </c>
      <c r="I39" s="29">
        <f t="shared" si="0"/>
        <v>67</v>
      </c>
      <c r="J39" s="27">
        <f t="shared" si="1"/>
        <v>24</v>
      </c>
      <c r="K39" s="27" t="str">
        <f t="shared" si="5"/>
        <v>TUNTAS</v>
      </c>
      <c r="L39" s="13" t="str">
        <f t="shared" si="6"/>
        <v xml:space="preserve"> </v>
      </c>
      <c r="M39" s="1"/>
      <c r="N39" s="2">
        <f t="shared" si="7"/>
        <v>6.7</v>
      </c>
    </row>
    <row r="40" spans="1:14" ht="15.95" customHeight="1" x14ac:dyDescent="0.25">
      <c r="A40" s="13">
        <v>33</v>
      </c>
      <c r="B40" s="9" t="s">
        <v>1536</v>
      </c>
      <c r="C40" s="10" t="s">
        <v>1093</v>
      </c>
      <c r="D40" s="11" t="s">
        <v>65</v>
      </c>
      <c r="E40" s="27">
        <v>6</v>
      </c>
      <c r="F40" s="27">
        <v>5</v>
      </c>
      <c r="G40" s="27">
        <v>6</v>
      </c>
      <c r="H40" s="28">
        <f t="shared" si="4"/>
        <v>177</v>
      </c>
      <c r="I40" s="29">
        <f t="shared" si="0"/>
        <v>59</v>
      </c>
      <c r="J40" s="27">
        <f t="shared" si="1"/>
        <v>31</v>
      </c>
      <c r="K40" s="27" t="str">
        <f t="shared" si="5"/>
        <v>TIDAK TUNTAS</v>
      </c>
      <c r="L40" s="13" t="str">
        <f t="shared" si="6"/>
        <v>TM</v>
      </c>
      <c r="M40" s="1"/>
      <c r="N40" s="2">
        <f t="shared" si="7"/>
        <v>5.9</v>
      </c>
    </row>
    <row r="41" spans="1:14" ht="15.95" customHeight="1" x14ac:dyDescent="0.25">
      <c r="A41" s="13">
        <v>34</v>
      </c>
      <c r="B41" s="9" t="s">
        <v>1537</v>
      </c>
      <c r="C41" s="10" t="s">
        <v>132</v>
      </c>
      <c r="D41" s="11" t="s">
        <v>88</v>
      </c>
      <c r="E41" s="27">
        <v>1</v>
      </c>
      <c r="F41" s="27">
        <v>4</v>
      </c>
      <c r="G41" s="27">
        <v>4</v>
      </c>
      <c r="H41" s="28">
        <f t="shared" si="4"/>
        <v>225</v>
      </c>
      <c r="I41" s="29">
        <f t="shared" si="0"/>
        <v>75</v>
      </c>
      <c r="J41" s="27">
        <f t="shared" si="1"/>
        <v>16</v>
      </c>
      <c r="K41" s="27" t="str">
        <f t="shared" si="5"/>
        <v>TUNTAS</v>
      </c>
      <c r="L41" s="13" t="str">
        <f t="shared" si="6"/>
        <v xml:space="preserve"> </v>
      </c>
      <c r="M41" s="1"/>
      <c r="N41" s="2">
        <f t="shared" si="7"/>
        <v>7.5</v>
      </c>
    </row>
    <row r="42" spans="1:14" ht="15.95" customHeight="1" x14ac:dyDescent="0.25">
      <c r="A42" s="13">
        <v>35</v>
      </c>
      <c r="B42" s="9" t="s">
        <v>1538</v>
      </c>
      <c r="C42" s="10" t="s">
        <v>1193</v>
      </c>
      <c r="D42" s="11" t="s">
        <v>113</v>
      </c>
      <c r="E42" s="27">
        <v>3</v>
      </c>
      <c r="F42" s="27">
        <v>3</v>
      </c>
      <c r="G42" s="27">
        <v>5</v>
      </c>
      <c r="H42" s="28">
        <f t="shared" si="4"/>
        <v>207</v>
      </c>
      <c r="I42" s="29">
        <f t="shared" si="0"/>
        <v>69</v>
      </c>
      <c r="J42" s="27">
        <f t="shared" si="1"/>
        <v>22</v>
      </c>
      <c r="K42" s="27" t="str">
        <f t="shared" si="5"/>
        <v>TUNTAS</v>
      </c>
      <c r="L42" s="13" t="str">
        <f t="shared" si="6"/>
        <v xml:space="preserve"> </v>
      </c>
      <c r="M42" s="1"/>
      <c r="N42" s="2">
        <f t="shared" si="7"/>
        <v>6.9</v>
      </c>
    </row>
    <row r="43" spans="1:14" ht="15.95" customHeight="1" x14ac:dyDescent="0.25">
      <c r="A43" s="13">
        <v>36</v>
      </c>
      <c r="B43" s="9" t="s">
        <v>1539</v>
      </c>
      <c r="C43" s="10" t="s">
        <v>1011</v>
      </c>
      <c r="D43" s="11" t="s">
        <v>67</v>
      </c>
      <c r="E43" s="27">
        <v>10</v>
      </c>
      <c r="F43" s="27">
        <v>9</v>
      </c>
      <c r="G43" s="27">
        <v>5</v>
      </c>
      <c r="H43" s="28">
        <f t="shared" si="4"/>
        <v>168</v>
      </c>
      <c r="I43" s="29">
        <f t="shared" si="0"/>
        <v>56</v>
      </c>
      <c r="J43" s="27">
        <f t="shared" si="1"/>
        <v>33</v>
      </c>
      <c r="K43" s="27" t="str">
        <f t="shared" si="5"/>
        <v>TIDAK TUNTAS</v>
      </c>
      <c r="L43" s="13" t="str">
        <f t="shared" si="6"/>
        <v xml:space="preserve"> </v>
      </c>
      <c r="M43" s="1"/>
      <c r="N43" s="2">
        <f t="shared" si="7"/>
        <v>5.6</v>
      </c>
    </row>
    <row r="44" spans="1:14" ht="15.95" customHeight="1" x14ac:dyDescent="0.25">
      <c r="A44" s="13">
        <v>37</v>
      </c>
      <c r="B44" s="9" t="s">
        <v>1540</v>
      </c>
      <c r="C44" s="10" t="s">
        <v>1361</v>
      </c>
      <c r="D44" s="11" t="s">
        <v>67</v>
      </c>
      <c r="E44" s="27">
        <v>5</v>
      </c>
      <c r="F44" s="27">
        <v>6</v>
      </c>
      <c r="G44" s="27">
        <v>3</v>
      </c>
      <c r="H44" s="28">
        <f t="shared" si="4"/>
        <v>222</v>
      </c>
      <c r="I44" s="29">
        <f t="shared" si="0"/>
        <v>74</v>
      </c>
      <c r="J44" s="27">
        <f t="shared" si="1"/>
        <v>17</v>
      </c>
      <c r="K44" s="27" t="str">
        <f t="shared" si="5"/>
        <v>TUNTAS</v>
      </c>
      <c r="L44" s="13" t="str">
        <f t="shared" si="6"/>
        <v xml:space="preserve"> </v>
      </c>
      <c r="N44" s="2">
        <f t="shared" si="7"/>
        <v>7.4</v>
      </c>
    </row>
    <row r="45" spans="1:14" ht="15.95" customHeight="1" x14ac:dyDescent="0.25">
      <c r="A45" s="13">
        <v>38</v>
      </c>
      <c r="B45" s="9" t="s">
        <v>1541</v>
      </c>
      <c r="C45" s="10" t="s">
        <v>1516</v>
      </c>
      <c r="D45" s="11" t="s">
        <v>130</v>
      </c>
      <c r="E45" s="27">
        <v>10</v>
      </c>
      <c r="F45" s="27">
        <v>10</v>
      </c>
      <c r="G45" s="27">
        <v>4</v>
      </c>
      <c r="H45" s="28">
        <f t="shared" si="4"/>
        <v>180</v>
      </c>
      <c r="I45" s="29">
        <f t="shared" si="0"/>
        <v>60</v>
      </c>
      <c r="J45" s="27">
        <f t="shared" si="1"/>
        <v>30</v>
      </c>
      <c r="K45" s="27" t="str">
        <f t="shared" si="5"/>
        <v>TUNTAS</v>
      </c>
      <c r="L45" s="13" t="str">
        <f t="shared" si="6"/>
        <v xml:space="preserve"> </v>
      </c>
      <c r="N45" s="2">
        <f t="shared" si="7"/>
        <v>6</v>
      </c>
    </row>
    <row r="46" spans="1:14" ht="15.95" customHeight="1" x14ac:dyDescent="0.25">
      <c r="A46" s="13">
        <v>39</v>
      </c>
      <c r="B46" s="9" t="s">
        <v>1543</v>
      </c>
      <c r="C46" s="10" t="s">
        <v>833</v>
      </c>
      <c r="D46" s="11" t="s">
        <v>69</v>
      </c>
      <c r="E46" s="27">
        <v>7</v>
      </c>
      <c r="F46" s="27">
        <v>6</v>
      </c>
      <c r="G46" s="27">
        <v>3</v>
      </c>
      <c r="H46" s="28">
        <f t="shared" si="4"/>
        <v>216</v>
      </c>
      <c r="I46" s="29">
        <f t="shared" si="0"/>
        <v>72</v>
      </c>
      <c r="J46" s="27">
        <f t="shared" si="1"/>
        <v>20</v>
      </c>
      <c r="K46" s="27" t="str">
        <f t="shared" si="5"/>
        <v>TUNTAS</v>
      </c>
      <c r="L46" s="13" t="str">
        <f t="shared" si="6"/>
        <v xml:space="preserve"> </v>
      </c>
      <c r="N46" s="2">
        <f t="shared" si="7"/>
        <v>7.2</v>
      </c>
    </row>
    <row r="47" spans="1:14" ht="15.95" customHeight="1" x14ac:dyDescent="0.25">
      <c r="A47" s="13">
        <v>40</v>
      </c>
      <c r="B47" s="9" t="s">
        <v>1544</v>
      </c>
      <c r="C47" s="10" t="s">
        <v>1017</v>
      </c>
      <c r="D47" s="11" t="s">
        <v>99</v>
      </c>
      <c r="E47" s="27">
        <v>0</v>
      </c>
      <c r="F47" s="27">
        <v>0</v>
      </c>
      <c r="G47" s="27">
        <v>1</v>
      </c>
      <c r="H47" s="28">
        <f t="shared" si="4"/>
        <v>285</v>
      </c>
      <c r="I47" s="29">
        <f t="shared" si="0"/>
        <v>95</v>
      </c>
      <c r="J47" s="27">
        <f t="shared" si="1"/>
        <v>4</v>
      </c>
      <c r="K47" s="27" t="str">
        <f t="shared" si="5"/>
        <v>TUNTAS</v>
      </c>
      <c r="L47" s="13" t="str">
        <f t="shared" si="6"/>
        <v xml:space="preserve"> </v>
      </c>
      <c r="N47" s="2">
        <f t="shared" si="7"/>
        <v>9.5</v>
      </c>
    </row>
    <row r="48" spans="1:14" x14ac:dyDescent="0.25">
      <c r="N48" s="2">
        <f t="shared" si="7"/>
        <v>0</v>
      </c>
    </row>
    <row r="49" spans="14:14" x14ac:dyDescent="0.25">
      <c r="N49" s="2">
        <f t="shared" si="7"/>
        <v>0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8:D10">
    <cfRule type="cellIs" dxfId="26" priority="14" operator="equal">
      <formula>0</formula>
    </cfRule>
  </conditionalFormatting>
  <conditionalFormatting sqref="I8:I47">
    <cfRule type="cellIs" dxfId="25" priority="8" operator="lessThan">
      <formula>60</formula>
    </cfRule>
    <cfRule type="cellIs" dxfId="24" priority="9" operator="lessThan">
      <formula>60</formula>
    </cfRule>
    <cfRule type="cellIs" dxfId="23" priority="10" operator="lessThan">
      <formula>50</formula>
    </cfRule>
  </conditionalFormatting>
  <conditionalFormatting sqref="K8:K47">
    <cfRule type="cellIs" dxfId="22" priority="1" operator="equal">
      <formula>"TIDAK BACA"</formula>
    </cfRule>
    <cfRule type="cellIs" dxfId="21" priority="2" operator="equal">
      <formula>"TIDAK TUNTAS"</formula>
    </cfRule>
    <cfRule type="cellIs" dxfId="20" priority="3" operator="equal">
      <formula>"TUNTAS"</formula>
    </cfRule>
    <cfRule type="cellIs" dxfId="19" priority="4" operator="equal">
      <formula>"TIDAK HADIR"</formula>
    </cfRule>
    <cfRule type="cellIs" dxfId="18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5CCD07B4-84D5-4DAE-AD31-6259831CE2C1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F03A-048F-41CC-A458-2B549287D843}">
  <sheetPr>
    <tabColor theme="9" tint="0.59999389629810485"/>
  </sheetPr>
  <dimension ref="A1:N55"/>
  <sheetViews>
    <sheetView zoomScaleNormal="100" workbookViewId="0">
      <pane xSplit="1" ySplit="7" topLeftCell="B32" activePane="bottomRight" state="frozen"/>
      <selection activeCell="R51" sqref="R51"/>
      <selection pane="topRight" activeCell="R51" sqref="R51"/>
      <selection pane="bottomLeft" activeCell="R51" sqref="R51"/>
      <selection pane="bottomRight" activeCell="N8" sqref="N8:N54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1546</v>
      </c>
      <c r="C8" s="10" t="s">
        <v>694</v>
      </c>
      <c r="D8" s="11" t="s">
        <v>14</v>
      </c>
      <c r="E8" s="27">
        <v>7</v>
      </c>
      <c r="F8" s="27">
        <v>2</v>
      </c>
      <c r="G8" s="27">
        <v>2</v>
      </c>
      <c r="H8" s="28">
        <f>100-E8*3+100-F8*3+100-G8*15</f>
        <v>243</v>
      </c>
      <c r="I8" s="29">
        <f t="shared" ref="I8:I54" si="0">H8/3</f>
        <v>81</v>
      </c>
      <c r="J8" s="27">
        <f t="shared" ref="J8:J54" si="1">RANK(H8,$H$8:$H$93)</f>
        <v>18</v>
      </c>
      <c r="K8" s="27" t="str">
        <f t="shared" ref="K8" si="2">IF(I8&lt;11.1,"TIDAK HADIR",IF(I8&lt;13.1,"TIDAK BACA",IF(I8&lt;$K$7,"TIDAK TUNTAS","TUNTAS")))</f>
        <v>TUNTAS</v>
      </c>
      <c r="L8" s="13" t="str">
        <f t="shared" ref="L8" si="3">IF(G8&gt;5,"TM"," ")</f>
        <v xml:space="preserve"> </v>
      </c>
      <c r="M8" s="1"/>
      <c r="N8" s="2">
        <f>I8/10</f>
        <v>8.1</v>
      </c>
    </row>
    <row r="9" spans="1:14" ht="15.95" customHeight="1" x14ac:dyDescent="0.25">
      <c r="A9" s="13">
        <v>2</v>
      </c>
      <c r="B9" s="9" t="s">
        <v>1547</v>
      </c>
      <c r="C9" s="10" t="s">
        <v>1114</v>
      </c>
      <c r="D9" s="11" t="s">
        <v>17</v>
      </c>
      <c r="E9" s="27">
        <v>2</v>
      </c>
      <c r="F9" s="27">
        <v>0</v>
      </c>
      <c r="G9" s="27">
        <v>1</v>
      </c>
      <c r="H9" s="28">
        <f t="shared" ref="H9:H54" si="4">100-E9*3+100-F9*3+100-G9*15</f>
        <v>279</v>
      </c>
      <c r="I9" s="29">
        <f t="shared" si="0"/>
        <v>93</v>
      </c>
      <c r="J9" s="27">
        <f t="shared" si="1"/>
        <v>7</v>
      </c>
      <c r="K9" s="27" t="str">
        <f t="shared" ref="K9:K54" si="5">IF(I9&lt;11.1,"TIDAK HADIR",IF(I9&lt;13.1,"TIDAK BACA",IF(I9&lt;$K$7,"TIDAK TUNTAS","TUNTAS")))</f>
        <v>TUNTAS</v>
      </c>
      <c r="L9" s="13" t="str">
        <f t="shared" ref="L9:L54" si="6">IF(G9&gt;5,"TM"," ")</f>
        <v xml:space="preserve"> </v>
      </c>
      <c r="M9" s="1"/>
      <c r="N9" s="2">
        <f t="shared" ref="N9:N54" si="7">I9/10</f>
        <v>9.3000000000000007</v>
      </c>
    </row>
    <row r="10" spans="1:14" ht="15.95" customHeight="1" x14ac:dyDescent="0.25">
      <c r="A10" s="13">
        <v>3</v>
      </c>
      <c r="B10" s="9" t="s">
        <v>1548</v>
      </c>
      <c r="C10" s="10" t="s">
        <v>1447</v>
      </c>
      <c r="D10" s="11" t="s">
        <v>18</v>
      </c>
      <c r="E10" s="27">
        <v>23</v>
      </c>
      <c r="F10" s="27">
        <v>16</v>
      </c>
      <c r="G10" s="27">
        <v>5</v>
      </c>
      <c r="H10" s="28">
        <f t="shared" si="4"/>
        <v>108</v>
      </c>
      <c r="I10" s="29">
        <f>H10/3</f>
        <v>36</v>
      </c>
      <c r="J10" s="27">
        <f t="shared" si="1"/>
        <v>45</v>
      </c>
      <c r="K10" s="27" t="str">
        <f t="shared" si="5"/>
        <v>TIDAK TUNTAS</v>
      </c>
      <c r="L10" s="13" t="str">
        <f t="shared" si="6"/>
        <v xml:space="preserve"> </v>
      </c>
      <c r="M10" s="1"/>
      <c r="N10" s="2">
        <f t="shared" si="7"/>
        <v>3.6</v>
      </c>
    </row>
    <row r="11" spans="1:14" ht="15.95" customHeight="1" x14ac:dyDescent="0.25">
      <c r="A11" s="13">
        <v>4</v>
      </c>
      <c r="B11" s="9" t="s">
        <v>1549</v>
      </c>
      <c r="C11" s="10" t="s">
        <v>1206</v>
      </c>
      <c r="D11" s="11" t="s">
        <v>19</v>
      </c>
      <c r="E11" s="27">
        <v>22</v>
      </c>
      <c r="F11" s="27">
        <v>19</v>
      </c>
      <c r="G11" s="27">
        <v>6</v>
      </c>
      <c r="H11" s="28">
        <f t="shared" si="4"/>
        <v>87</v>
      </c>
      <c r="I11" s="29">
        <f t="shared" si="0"/>
        <v>29</v>
      </c>
      <c r="J11" s="27">
        <f t="shared" si="1"/>
        <v>46</v>
      </c>
      <c r="K11" s="27" t="str">
        <f t="shared" si="5"/>
        <v>TIDAK TUNTAS</v>
      </c>
      <c r="L11" s="13" t="str">
        <f t="shared" si="6"/>
        <v>TM</v>
      </c>
      <c r="M11" s="1"/>
      <c r="N11" s="2">
        <f t="shared" si="7"/>
        <v>2.9</v>
      </c>
    </row>
    <row r="12" spans="1:14" ht="15.95" customHeight="1" x14ac:dyDescent="0.25">
      <c r="A12" s="13">
        <v>5</v>
      </c>
      <c r="B12" s="9" t="s">
        <v>1550</v>
      </c>
      <c r="C12" s="10" t="s">
        <v>1116</v>
      </c>
      <c r="D12" s="11" t="s">
        <v>122</v>
      </c>
      <c r="E12" s="27">
        <v>6</v>
      </c>
      <c r="F12" s="27">
        <v>9</v>
      </c>
      <c r="G12" s="27">
        <v>5</v>
      </c>
      <c r="H12" s="28">
        <f t="shared" si="4"/>
        <v>180</v>
      </c>
      <c r="I12" s="29">
        <f t="shared" si="0"/>
        <v>60</v>
      </c>
      <c r="J12" s="27">
        <f t="shared" si="1"/>
        <v>38</v>
      </c>
      <c r="K12" s="27" t="str">
        <f t="shared" si="5"/>
        <v>TUNTAS</v>
      </c>
      <c r="L12" s="13" t="str">
        <f t="shared" si="6"/>
        <v xml:space="preserve"> </v>
      </c>
      <c r="M12" s="1"/>
      <c r="N12" s="2">
        <f t="shared" si="7"/>
        <v>6</v>
      </c>
    </row>
    <row r="13" spans="1:14" ht="15.95" customHeight="1" x14ac:dyDescent="0.25">
      <c r="A13" s="13">
        <v>6</v>
      </c>
      <c r="B13" s="9" t="s">
        <v>1551</v>
      </c>
      <c r="C13" s="10" t="s">
        <v>1118</v>
      </c>
      <c r="D13" s="11" t="s">
        <v>123</v>
      </c>
      <c r="E13" s="27">
        <v>5</v>
      </c>
      <c r="F13" s="27">
        <v>2</v>
      </c>
      <c r="G13" s="27">
        <v>2</v>
      </c>
      <c r="H13" s="28">
        <f t="shared" si="4"/>
        <v>249</v>
      </c>
      <c r="I13" s="29">
        <f t="shared" si="0"/>
        <v>83</v>
      </c>
      <c r="J13" s="27">
        <f t="shared" si="1"/>
        <v>16</v>
      </c>
      <c r="K13" s="27" t="str">
        <f t="shared" si="5"/>
        <v>TUNTAS</v>
      </c>
      <c r="L13" s="13" t="str">
        <f t="shared" si="6"/>
        <v xml:space="preserve"> </v>
      </c>
      <c r="M13" s="1"/>
      <c r="N13" s="2">
        <f t="shared" si="7"/>
        <v>8.3000000000000007</v>
      </c>
    </row>
    <row r="14" spans="1:14" ht="15.95" customHeight="1" x14ac:dyDescent="0.25">
      <c r="A14" s="13">
        <v>7</v>
      </c>
      <c r="B14" s="9" t="s">
        <v>1552</v>
      </c>
      <c r="C14" s="10" t="s">
        <v>1213</v>
      </c>
      <c r="D14" s="11" t="s">
        <v>27</v>
      </c>
      <c r="E14" s="27">
        <v>11</v>
      </c>
      <c r="F14" s="27">
        <v>0</v>
      </c>
      <c r="G14" s="27">
        <v>2</v>
      </c>
      <c r="H14" s="28">
        <f t="shared" si="4"/>
        <v>237</v>
      </c>
      <c r="I14" s="29">
        <f t="shared" si="0"/>
        <v>79</v>
      </c>
      <c r="J14" s="27">
        <f t="shared" si="1"/>
        <v>24</v>
      </c>
      <c r="K14" s="27" t="str">
        <f t="shared" si="5"/>
        <v>TUNTAS</v>
      </c>
      <c r="L14" s="13" t="str">
        <f t="shared" si="6"/>
        <v xml:space="preserve"> </v>
      </c>
      <c r="M14" s="1"/>
      <c r="N14" s="2">
        <f t="shared" si="7"/>
        <v>7.9</v>
      </c>
    </row>
    <row r="15" spans="1:14" ht="15.95" customHeight="1" x14ac:dyDescent="0.25">
      <c r="A15" s="13">
        <v>8</v>
      </c>
      <c r="B15" s="9" t="s">
        <v>1554</v>
      </c>
      <c r="C15" s="17" t="s">
        <v>944</v>
      </c>
      <c r="D15" s="18" t="s">
        <v>76</v>
      </c>
      <c r="E15" s="27">
        <v>9</v>
      </c>
      <c r="F15" s="27">
        <v>3</v>
      </c>
      <c r="G15" s="27">
        <v>3</v>
      </c>
      <c r="H15" s="28">
        <f t="shared" si="4"/>
        <v>219</v>
      </c>
      <c r="I15" s="29">
        <f t="shared" si="0"/>
        <v>73</v>
      </c>
      <c r="J15" s="27">
        <f t="shared" si="1"/>
        <v>27</v>
      </c>
      <c r="K15" s="27" t="str">
        <f t="shared" si="5"/>
        <v>TUNTAS</v>
      </c>
      <c r="L15" s="13" t="str">
        <f t="shared" si="6"/>
        <v xml:space="preserve"> </v>
      </c>
      <c r="M15" s="1"/>
      <c r="N15" s="2">
        <f t="shared" si="7"/>
        <v>7.3</v>
      </c>
    </row>
    <row r="16" spans="1:14" ht="15.95" customHeight="1" x14ac:dyDescent="0.25">
      <c r="A16" s="13">
        <v>9</v>
      </c>
      <c r="B16" s="9" t="s">
        <v>1555</v>
      </c>
      <c r="C16" s="10" t="s">
        <v>1219</v>
      </c>
      <c r="D16" s="11" t="s">
        <v>102</v>
      </c>
      <c r="E16" s="27">
        <v>4</v>
      </c>
      <c r="F16" s="27">
        <v>4</v>
      </c>
      <c r="G16" s="27">
        <v>3</v>
      </c>
      <c r="H16" s="28">
        <f t="shared" si="4"/>
        <v>231</v>
      </c>
      <c r="I16" s="29">
        <f t="shared" si="0"/>
        <v>77</v>
      </c>
      <c r="J16" s="27">
        <f t="shared" si="1"/>
        <v>26</v>
      </c>
      <c r="K16" s="27" t="str">
        <f t="shared" si="5"/>
        <v>TUNTAS</v>
      </c>
      <c r="L16" s="13" t="str">
        <f t="shared" si="6"/>
        <v xml:space="preserve"> </v>
      </c>
      <c r="M16" s="1"/>
      <c r="N16" s="2">
        <f t="shared" si="7"/>
        <v>7.7</v>
      </c>
    </row>
    <row r="17" spans="1:14" ht="15.95" customHeight="1" x14ac:dyDescent="0.25">
      <c r="A17" s="13">
        <v>10</v>
      </c>
      <c r="B17" s="9" t="s">
        <v>1557</v>
      </c>
      <c r="C17" s="10" t="s">
        <v>1039</v>
      </c>
      <c r="D17" s="11" t="s">
        <v>114</v>
      </c>
      <c r="E17" s="27">
        <v>8</v>
      </c>
      <c r="F17" s="27">
        <v>2</v>
      </c>
      <c r="G17" s="27">
        <v>2</v>
      </c>
      <c r="H17" s="28">
        <f t="shared" si="4"/>
        <v>240</v>
      </c>
      <c r="I17" s="29">
        <f t="shared" si="0"/>
        <v>80</v>
      </c>
      <c r="J17" s="27">
        <f t="shared" si="1"/>
        <v>23</v>
      </c>
      <c r="K17" s="27" t="str">
        <f t="shared" si="5"/>
        <v>TUNTAS</v>
      </c>
      <c r="L17" s="13" t="str">
        <f t="shared" si="6"/>
        <v xml:space="preserve"> </v>
      </c>
      <c r="M17" s="1"/>
      <c r="N17" s="2">
        <f t="shared" si="7"/>
        <v>8</v>
      </c>
    </row>
    <row r="18" spans="1:14" ht="15.95" customHeight="1" x14ac:dyDescent="0.25">
      <c r="A18" s="13">
        <v>11</v>
      </c>
      <c r="B18" s="9" t="s">
        <v>1558</v>
      </c>
      <c r="C18" s="17" t="s">
        <v>1224</v>
      </c>
      <c r="D18" s="18" t="s">
        <v>33</v>
      </c>
      <c r="E18" s="27">
        <v>5</v>
      </c>
      <c r="F18" s="27">
        <v>3</v>
      </c>
      <c r="G18" s="27">
        <v>0</v>
      </c>
      <c r="H18" s="28">
        <f t="shared" si="4"/>
        <v>276</v>
      </c>
      <c r="I18" s="29">
        <f t="shared" si="0"/>
        <v>92</v>
      </c>
      <c r="J18" s="27">
        <f t="shared" si="1"/>
        <v>9</v>
      </c>
      <c r="K18" s="27" t="str">
        <f t="shared" si="5"/>
        <v>TUNTAS</v>
      </c>
      <c r="L18" s="13" t="str">
        <f t="shared" si="6"/>
        <v xml:space="preserve"> </v>
      </c>
      <c r="M18" s="1"/>
      <c r="N18" s="2">
        <f t="shared" si="7"/>
        <v>9.1999999999999993</v>
      </c>
    </row>
    <row r="19" spans="1:14" ht="15.95" customHeight="1" x14ac:dyDescent="0.25">
      <c r="A19" s="13">
        <v>12</v>
      </c>
      <c r="B19" s="9" t="s">
        <v>1559</v>
      </c>
      <c r="C19" s="17" t="s">
        <v>872</v>
      </c>
      <c r="D19" s="18" t="s">
        <v>34</v>
      </c>
      <c r="E19" s="27">
        <v>7</v>
      </c>
      <c r="F19" s="27">
        <v>5</v>
      </c>
      <c r="G19" s="27">
        <v>1</v>
      </c>
      <c r="H19" s="28">
        <f t="shared" si="4"/>
        <v>249</v>
      </c>
      <c r="I19" s="29">
        <f t="shared" si="0"/>
        <v>83</v>
      </c>
      <c r="J19" s="27">
        <f t="shared" si="1"/>
        <v>16</v>
      </c>
      <c r="K19" s="27" t="str">
        <f t="shared" si="5"/>
        <v>TUNTAS</v>
      </c>
      <c r="L19" s="13" t="str">
        <f t="shared" si="6"/>
        <v xml:space="preserve"> </v>
      </c>
      <c r="M19" s="1"/>
      <c r="N19" s="2">
        <f t="shared" si="7"/>
        <v>8.3000000000000007</v>
      </c>
    </row>
    <row r="20" spans="1:14" ht="15.95" customHeight="1" x14ac:dyDescent="0.25">
      <c r="A20" s="13">
        <v>13</v>
      </c>
      <c r="B20" s="9" t="s">
        <v>1560</v>
      </c>
      <c r="C20" s="10" t="s">
        <v>1138</v>
      </c>
      <c r="D20" s="11" t="s">
        <v>103</v>
      </c>
      <c r="E20" s="27">
        <v>5</v>
      </c>
      <c r="F20" s="27">
        <v>6</v>
      </c>
      <c r="G20" s="27">
        <v>0</v>
      </c>
      <c r="H20" s="28">
        <f t="shared" si="4"/>
        <v>267</v>
      </c>
      <c r="I20" s="29">
        <f t="shared" si="0"/>
        <v>89</v>
      </c>
      <c r="J20" s="27">
        <f t="shared" si="1"/>
        <v>12</v>
      </c>
      <c r="K20" s="27" t="str">
        <f t="shared" si="5"/>
        <v>TUNTAS</v>
      </c>
      <c r="L20" s="13" t="str">
        <f t="shared" si="6"/>
        <v xml:space="preserve"> </v>
      </c>
      <c r="M20" s="1"/>
      <c r="N20" s="2">
        <f t="shared" si="7"/>
        <v>8.9</v>
      </c>
    </row>
    <row r="21" spans="1:14" ht="15.95" customHeight="1" x14ac:dyDescent="0.25">
      <c r="A21" s="13">
        <v>14</v>
      </c>
      <c r="B21" s="9" t="s">
        <v>1561</v>
      </c>
      <c r="C21" s="10" t="s">
        <v>1235</v>
      </c>
      <c r="D21" s="11" t="s">
        <v>126</v>
      </c>
      <c r="E21" s="27">
        <v>1</v>
      </c>
      <c r="F21" s="27">
        <v>0</v>
      </c>
      <c r="G21" s="27">
        <v>3</v>
      </c>
      <c r="H21" s="28">
        <f t="shared" si="4"/>
        <v>252</v>
      </c>
      <c r="I21" s="29">
        <f t="shared" si="0"/>
        <v>84</v>
      </c>
      <c r="J21" s="27">
        <f t="shared" si="1"/>
        <v>15</v>
      </c>
      <c r="K21" s="27" t="str">
        <f t="shared" si="5"/>
        <v>TUNTAS</v>
      </c>
      <c r="L21" s="13" t="str">
        <f t="shared" si="6"/>
        <v xml:space="preserve"> </v>
      </c>
      <c r="M21" s="1"/>
      <c r="N21" s="2">
        <f t="shared" si="7"/>
        <v>8.4</v>
      </c>
    </row>
    <row r="22" spans="1:14" ht="15.95" customHeight="1" x14ac:dyDescent="0.25">
      <c r="A22" s="13">
        <v>15</v>
      </c>
      <c r="B22" s="9" t="s">
        <v>1562</v>
      </c>
      <c r="C22" s="10" t="s">
        <v>1056</v>
      </c>
      <c r="D22" s="11" t="s">
        <v>39</v>
      </c>
      <c r="E22" s="27">
        <v>7</v>
      </c>
      <c r="F22" s="27">
        <v>7</v>
      </c>
      <c r="G22" s="27">
        <v>4</v>
      </c>
      <c r="H22" s="28">
        <f t="shared" si="4"/>
        <v>198</v>
      </c>
      <c r="I22" s="29">
        <f t="shared" si="0"/>
        <v>66</v>
      </c>
      <c r="J22" s="27">
        <f t="shared" si="1"/>
        <v>35</v>
      </c>
      <c r="K22" s="27" t="str">
        <f t="shared" si="5"/>
        <v>TUNTAS</v>
      </c>
      <c r="L22" s="13" t="str">
        <f t="shared" si="6"/>
        <v xml:space="preserve"> </v>
      </c>
      <c r="M22" s="1"/>
      <c r="N22" s="2">
        <f t="shared" si="7"/>
        <v>6.6</v>
      </c>
    </row>
    <row r="23" spans="1:14" ht="15.95" customHeight="1" x14ac:dyDescent="0.25">
      <c r="A23" s="13">
        <v>16</v>
      </c>
      <c r="B23" s="9" t="s">
        <v>1563</v>
      </c>
      <c r="C23" s="10" t="s">
        <v>1237</v>
      </c>
      <c r="D23" s="11" t="s">
        <v>40</v>
      </c>
      <c r="E23" s="27">
        <v>0</v>
      </c>
      <c r="F23" s="27">
        <v>1</v>
      </c>
      <c r="G23" s="27">
        <v>1</v>
      </c>
      <c r="H23" s="28">
        <f t="shared" si="4"/>
        <v>282</v>
      </c>
      <c r="I23" s="29">
        <f t="shared" si="0"/>
        <v>94</v>
      </c>
      <c r="J23" s="27">
        <f t="shared" si="1"/>
        <v>6</v>
      </c>
      <c r="K23" s="27" t="str">
        <f t="shared" si="5"/>
        <v>TUNTAS</v>
      </c>
      <c r="L23" s="13" t="str">
        <f t="shared" si="6"/>
        <v xml:space="preserve"> </v>
      </c>
      <c r="M23" s="1"/>
      <c r="N23" s="2">
        <f t="shared" si="7"/>
        <v>9.4</v>
      </c>
    </row>
    <row r="24" spans="1:14" ht="15.95" customHeight="1" x14ac:dyDescent="0.25">
      <c r="A24" s="13">
        <v>17</v>
      </c>
      <c r="B24" s="9" t="s">
        <v>1564</v>
      </c>
      <c r="C24" s="10" t="s">
        <v>1239</v>
      </c>
      <c r="D24" s="11" t="s">
        <v>141</v>
      </c>
      <c r="E24" s="27">
        <v>1</v>
      </c>
      <c r="F24" s="27">
        <v>1</v>
      </c>
      <c r="G24" s="27">
        <v>1</v>
      </c>
      <c r="H24" s="28">
        <f t="shared" si="4"/>
        <v>279</v>
      </c>
      <c r="I24" s="29">
        <f t="shared" si="0"/>
        <v>93</v>
      </c>
      <c r="J24" s="27">
        <f t="shared" si="1"/>
        <v>7</v>
      </c>
      <c r="K24" s="27" t="str">
        <f t="shared" si="5"/>
        <v>TUNTAS</v>
      </c>
      <c r="L24" s="13" t="str">
        <f t="shared" si="6"/>
        <v xml:space="preserve"> </v>
      </c>
      <c r="M24" s="1"/>
      <c r="N24" s="2">
        <f t="shared" si="7"/>
        <v>9.3000000000000007</v>
      </c>
    </row>
    <row r="25" spans="1:14" ht="15.95" customHeight="1" x14ac:dyDescent="0.25">
      <c r="A25" s="30">
        <v>18</v>
      </c>
      <c r="B25" s="9" t="s">
        <v>1565</v>
      </c>
      <c r="C25" s="10" t="s">
        <v>1154</v>
      </c>
      <c r="D25" s="11" t="s">
        <v>106</v>
      </c>
      <c r="E25" s="27">
        <v>4</v>
      </c>
      <c r="F25" s="27">
        <v>1</v>
      </c>
      <c r="G25" s="27">
        <v>0</v>
      </c>
      <c r="H25" s="28">
        <f t="shared" si="4"/>
        <v>285</v>
      </c>
      <c r="I25" s="29">
        <f t="shared" si="0"/>
        <v>95</v>
      </c>
      <c r="J25" s="27">
        <f t="shared" si="1"/>
        <v>4</v>
      </c>
      <c r="K25" s="27" t="str">
        <f t="shared" si="5"/>
        <v>TUNTAS</v>
      </c>
      <c r="L25" s="13" t="str">
        <f t="shared" si="6"/>
        <v xml:space="preserve"> </v>
      </c>
      <c r="M25" s="1"/>
      <c r="N25" s="2">
        <f t="shared" si="7"/>
        <v>9.5</v>
      </c>
    </row>
    <row r="26" spans="1:14" ht="15.95" customHeight="1" x14ac:dyDescent="0.25">
      <c r="A26" s="13">
        <v>19</v>
      </c>
      <c r="B26" s="9" t="s">
        <v>1566</v>
      </c>
      <c r="C26" s="10" t="s">
        <v>1327</v>
      </c>
      <c r="D26" s="11" t="s">
        <v>144</v>
      </c>
      <c r="E26" s="27">
        <v>4</v>
      </c>
      <c r="F26" s="27">
        <v>5</v>
      </c>
      <c r="G26" s="27">
        <v>2</v>
      </c>
      <c r="H26" s="28">
        <f t="shared" si="4"/>
        <v>243</v>
      </c>
      <c r="I26" s="29">
        <f t="shared" si="0"/>
        <v>81</v>
      </c>
      <c r="J26" s="27">
        <f t="shared" si="1"/>
        <v>18</v>
      </c>
      <c r="K26" s="27" t="str">
        <f t="shared" si="5"/>
        <v>TUNTAS</v>
      </c>
      <c r="L26" s="13" t="str">
        <f t="shared" si="6"/>
        <v xml:space="preserve"> </v>
      </c>
      <c r="M26" s="1"/>
      <c r="N26" s="2">
        <f t="shared" si="7"/>
        <v>8.1</v>
      </c>
    </row>
    <row r="27" spans="1:14" ht="15.95" customHeight="1" x14ac:dyDescent="0.25">
      <c r="A27" s="13">
        <v>20</v>
      </c>
      <c r="B27" s="9" t="s">
        <v>1567</v>
      </c>
      <c r="C27" s="10" t="s">
        <v>1068</v>
      </c>
      <c r="D27" s="11" t="s">
        <v>83</v>
      </c>
      <c r="E27" s="27">
        <v>1</v>
      </c>
      <c r="F27" s="27">
        <v>0</v>
      </c>
      <c r="G27" s="27">
        <v>2</v>
      </c>
      <c r="H27" s="28">
        <f t="shared" si="4"/>
        <v>267</v>
      </c>
      <c r="I27" s="29">
        <f t="shared" si="0"/>
        <v>89</v>
      </c>
      <c r="J27" s="27">
        <f t="shared" si="1"/>
        <v>12</v>
      </c>
      <c r="K27" s="27" t="str">
        <f t="shared" si="5"/>
        <v>TUNTAS</v>
      </c>
      <c r="L27" s="13" t="str">
        <f t="shared" si="6"/>
        <v xml:space="preserve"> </v>
      </c>
      <c r="M27" s="1"/>
      <c r="N27" s="2">
        <f t="shared" si="7"/>
        <v>8.9</v>
      </c>
    </row>
    <row r="28" spans="1:14" ht="15.95" customHeight="1" x14ac:dyDescent="0.25">
      <c r="A28" s="13">
        <v>21</v>
      </c>
      <c r="B28" s="9" t="s">
        <v>1568</v>
      </c>
      <c r="C28" s="10" t="s">
        <v>1633</v>
      </c>
      <c r="D28" s="11" t="s">
        <v>135</v>
      </c>
      <c r="E28" s="27">
        <v>12</v>
      </c>
      <c r="F28" s="27">
        <v>9</v>
      </c>
      <c r="G28" s="27">
        <v>5</v>
      </c>
      <c r="H28" s="28">
        <f t="shared" si="4"/>
        <v>162</v>
      </c>
      <c r="I28" s="29">
        <f t="shared" si="0"/>
        <v>54</v>
      </c>
      <c r="J28" s="27">
        <f t="shared" si="1"/>
        <v>39</v>
      </c>
      <c r="K28" s="27" t="str">
        <f t="shared" si="5"/>
        <v>TIDAK TUNTAS</v>
      </c>
      <c r="L28" s="13" t="str">
        <f t="shared" si="6"/>
        <v xml:space="preserve"> </v>
      </c>
      <c r="M28" s="1"/>
      <c r="N28" s="2">
        <f t="shared" si="7"/>
        <v>5.4</v>
      </c>
    </row>
    <row r="29" spans="1:14" ht="15.95" customHeight="1" x14ac:dyDescent="0.25">
      <c r="A29" s="13">
        <v>22</v>
      </c>
      <c r="B29" s="9" t="s">
        <v>1569</v>
      </c>
      <c r="C29" s="10" t="s">
        <v>1250</v>
      </c>
      <c r="D29" s="11" t="s">
        <v>45</v>
      </c>
      <c r="E29" s="27">
        <v>5</v>
      </c>
      <c r="F29" s="27">
        <v>7</v>
      </c>
      <c r="G29" s="27">
        <v>3</v>
      </c>
      <c r="H29" s="28">
        <f t="shared" si="4"/>
        <v>219</v>
      </c>
      <c r="I29" s="29">
        <f t="shared" si="0"/>
        <v>73</v>
      </c>
      <c r="J29" s="27">
        <f t="shared" si="1"/>
        <v>27</v>
      </c>
      <c r="K29" s="27" t="str">
        <f t="shared" si="5"/>
        <v>TUNTAS</v>
      </c>
      <c r="L29" s="13" t="str">
        <f t="shared" si="6"/>
        <v xml:space="preserve"> </v>
      </c>
      <c r="M29" s="1"/>
      <c r="N29" s="2">
        <f t="shared" si="7"/>
        <v>7.3</v>
      </c>
    </row>
    <row r="30" spans="1:14" ht="15.95" customHeight="1" x14ac:dyDescent="0.25">
      <c r="A30" s="13">
        <v>23</v>
      </c>
      <c r="B30" s="9" t="s">
        <v>1570</v>
      </c>
      <c r="C30" s="10" t="s">
        <v>1162</v>
      </c>
      <c r="D30" s="11" t="s">
        <v>116</v>
      </c>
      <c r="E30" s="27">
        <v>7</v>
      </c>
      <c r="F30" s="27">
        <v>4</v>
      </c>
      <c r="G30" s="27">
        <v>4</v>
      </c>
      <c r="H30" s="28">
        <f t="shared" si="4"/>
        <v>207</v>
      </c>
      <c r="I30" s="29">
        <f t="shared" si="0"/>
        <v>69</v>
      </c>
      <c r="J30" s="27">
        <f t="shared" si="1"/>
        <v>31</v>
      </c>
      <c r="K30" s="27" t="str">
        <f t="shared" si="5"/>
        <v>TUNTAS</v>
      </c>
      <c r="L30" s="13" t="str">
        <f t="shared" si="6"/>
        <v xml:space="preserve"> </v>
      </c>
      <c r="M30" s="1"/>
      <c r="N30" s="2">
        <f t="shared" si="7"/>
        <v>6.9</v>
      </c>
    </row>
    <row r="31" spans="1:14" ht="15.95" customHeight="1" x14ac:dyDescent="0.25">
      <c r="A31" s="13">
        <v>24</v>
      </c>
      <c r="B31" s="9" t="s">
        <v>1571</v>
      </c>
      <c r="C31" s="10" t="s">
        <v>894</v>
      </c>
      <c r="D31" s="11" t="s">
        <v>107</v>
      </c>
      <c r="E31" s="27">
        <v>10</v>
      </c>
      <c r="F31" s="27">
        <v>2</v>
      </c>
      <c r="G31" s="27">
        <v>2</v>
      </c>
      <c r="H31" s="28">
        <f t="shared" si="4"/>
        <v>234</v>
      </c>
      <c r="I31" s="29">
        <f t="shared" si="0"/>
        <v>78</v>
      </c>
      <c r="J31" s="27">
        <f t="shared" si="1"/>
        <v>25</v>
      </c>
      <c r="K31" s="27" t="str">
        <f t="shared" si="5"/>
        <v>TUNTAS</v>
      </c>
      <c r="L31" s="13" t="str">
        <f t="shared" si="6"/>
        <v xml:space="preserve"> </v>
      </c>
      <c r="M31" s="1"/>
      <c r="N31" s="2">
        <f t="shared" si="7"/>
        <v>7.8</v>
      </c>
    </row>
    <row r="32" spans="1:14" ht="15.95" customHeight="1" x14ac:dyDescent="0.25">
      <c r="A32" s="13">
        <v>25</v>
      </c>
      <c r="B32" s="9" t="s">
        <v>1572</v>
      </c>
      <c r="C32" s="10" t="s">
        <v>1489</v>
      </c>
      <c r="D32" s="11" t="s">
        <v>85</v>
      </c>
      <c r="E32" s="27">
        <v>12</v>
      </c>
      <c r="F32" s="27">
        <v>6</v>
      </c>
      <c r="G32" s="27">
        <v>4</v>
      </c>
      <c r="H32" s="28">
        <f t="shared" si="4"/>
        <v>186</v>
      </c>
      <c r="I32" s="29">
        <f t="shared" si="0"/>
        <v>62</v>
      </c>
      <c r="J32" s="27">
        <f t="shared" si="1"/>
        <v>37</v>
      </c>
      <c r="K32" s="27" t="str">
        <f t="shared" si="5"/>
        <v>TUNTAS</v>
      </c>
      <c r="L32" s="13" t="str">
        <f t="shared" si="6"/>
        <v xml:space="preserve"> </v>
      </c>
      <c r="M32" s="1"/>
      <c r="N32" s="2">
        <f t="shared" si="7"/>
        <v>6.2</v>
      </c>
    </row>
    <row r="33" spans="1:14" ht="15.95" customHeight="1" x14ac:dyDescent="0.25">
      <c r="A33" s="13">
        <v>26</v>
      </c>
      <c r="B33" s="9" t="s">
        <v>1573</v>
      </c>
      <c r="C33" s="10" t="s">
        <v>898</v>
      </c>
      <c r="D33" s="11" t="s">
        <v>201</v>
      </c>
      <c r="E33" s="27">
        <v>20</v>
      </c>
      <c r="F33" s="27">
        <v>17</v>
      </c>
      <c r="G33" s="27">
        <v>3</v>
      </c>
      <c r="H33" s="28">
        <f t="shared" si="4"/>
        <v>144</v>
      </c>
      <c r="I33" s="29">
        <f t="shared" si="0"/>
        <v>48</v>
      </c>
      <c r="J33" s="27">
        <f t="shared" si="1"/>
        <v>42</v>
      </c>
      <c r="K33" s="27" t="str">
        <f t="shared" si="5"/>
        <v>TIDAK TUNTAS</v>
      </c>
      <c r="L33" s="13" t="str">
        <f t="shared" si="6"/>
        <v xml:space="preserve"> </v>
      </c>
      <c r="M33" s="1"/>
      <c r="N33" s="2">
        <f t="shared" si="7"/>
        <v>4.8</v>
      </c>
    </row>
    <row r="34" spans="1:14" ht="15.95" customHeight="1" x14ac:dyDescent="0.25">
      <c r="A34" s="13">
        <v>27</v>
      </c>
      <c r="B34" s="9" t="s">
        <v>1574</v>
      </c>
      <c r="C34" s="10" t="s">
        <v>1258</v>
      </c>
      <c r="D34" s="11" t="s">
        <v>51</v>
      </c>
      <c r="E34" s="27">
        <v>9</v>
      </c>
      <c r="F34" s="27">
        <v>8</v>
      </c>
      <c r="G34" s="27">
        <v>4</v>
      </c>
      <c r="H34" s="28">
        <f t="shared" si="4"/>
        <v>189</v>
      </c>
      <c r="I34" s="29">
        <f t="shared" si="0"/>
        <v>63</v>
      </c>
      <c r="J34" s="27">
        <f t="shared" si="1"/>
        <v>36</v>
      </c>
      <c r="K34" s="27" t="str">
        <f t="shared" si="5"/>
        <v>TUNTAS</v>
      </c>
      <c r="L34" s="13" t="str">
        <f t="shared" si="6"/>
        <v xml:space="preserve"> </v>
      </c>
      <c r="M34" s="1"/>
      <c r="N34" s="2">
        <f t="shared" si="7"/>
        <v>6.3</v>
      </c>
    </row>
    <row r="35" spans="1:14" ht="15.95" customHeight="1" x14ac:dyDescent="0.25">
      <c r="A35" s="13">
        <v>28</v>
      </c>
      <c r="B35" s="9" t="s">
        <v>1575</v>
      </c>
      <c r="C35" s="10" t="s">
        <v>1261</v>
      </c>
      <c r="D35" s="11" t="s">
        <v>54</v>
      </c>
      <c r="E35" s="27">
        <v>2</v>
      </c>
      <c r="F35" s="27">
        <v>0</v>
      </c>
      <c r="G35" s="27">
        <v>0</v>
      </c>
      <c r="H35" s="28">
        <f t="shared" si="4"/>
        <v>294</v>
      </c>
      <c r="I35" s="29">
        <f t="shared" si="0"/>
        <v>98</v>
      </c>
      <c r="J35" s="27">
        <f t="shared" si="1"/>
        <v>1</v>
      </c>
      <c r="K35" s="27" t="str">
        <f t="shared" si="5"/>
        <v>TUNTAS</v>
      </c>
      <c r="L35" s="13" t="str">
        <f t="shared" si="6"/>
        <v xml:space="preserve"> </v>
      </c>
      <c r="M35" s="1"/>
      <c r="N35" s="2">
        <f t="shared" si="7"/>
        <v>9.8000000000000007</v>
      </c>
    </row>
    <row r="36" spans="1:14" ht="15.95" customHeight="1" x14ac:dyDescent="0.25">
      <c r="A36" s="13">
        <v>29</v>
      </c>
      <c r="B36" s="9" t="s">
        <v>1576</v>
      </c>
      <c r="C36" s="10" t="s">
        <v>901</v>
      </c>
      <c r="D36" s="11" t="s">
        <v>55</v>
      </c>
      <c r="E36" s="27">
        <v>5</v>
      </c>
      <c r="F36" s="27">
        <v>0</v>
      </c>
      <c r="G36" s="27">
        <v>0</v>
      </c>
      <c r="H36" s="28">
        <f t="shared" si="4"/>
        <v>285</v>
      </c>
      <c r="I36" s="29">
        <f t="shared" si="0"/>
        <v>95</v>
      </c>
      <c r="J36" s="27">
        <f t="shared" si="1"/>
        <v>4</v>
      </c>
      <c r="K36" s="27" t="str">
        <f t="shared" si="5"/>
        <v>TUNTAS</v>
      </c>
      <c r="L36" s="13" t="str">
        <f t="shared" si="6"/>
        <v xml:space="preserve"> </v>
      </c>
      <c r="M36" s="1"/>
      <c r="N36" s="2">
        <f t="shared" si="7"/>
        <v>9.5</v>
      </c>
    </row>
    <row r="37" spans="1:14" ht="15.95" customHeight="1" x14ac:dyDescent="0.25">
      <c r="A37" s="13">
        <v>30</v>
      </c>
      <c r="B37" s="9" t="s">
        <v>1577</v>
      </c>
      <c r="C37" s="10" t="s">
        <v>903</v>
      </c>
      <c r="D37" s="11" t="s">
        <v>94</v>
      </c>
      <c r="E37" s="27">
        <v>3</v>
      </c>
      <c r="F37" s="27">
        <v>0</v>
      </c>
      <c r="G37" s="27">
        <v>0</v>
      </c>
      <c r="H37" s="28">
        <f t="shared" si="4"/>
        <v>291</v>
      </c>
      <c r="I37" s="29">
        <f t="shared" si="0"/>
        <v>97</v>
      </c>
      <c r="J37" s="27">
        <f t="shared" si="1"/>
        <v>3</v>
      </c>
      <c r="K37" s="27" t="str">
        <f t="shared" si="5"/>
        <v>TUNTAS</v>
      </c>
      <c r="L37" s="13" t="str">
        <f t="shared" si="6"/>
        <v xml:space="preserve"> </v>
      </c>
      <c r="M37" s="1"/>
      <c r="N37" s="2">
        <f t="shared" si="7"/>
        <v>9.6999999999999993</v>
      </c>
    </row>
    <row r="38" spans="1:14" ht="15.95" customHeight="1" x14ac:dyDescent="0.25">
      <c r="A38" s="13">
        <v>31</v>
      </c>
      <c r="B38" s="9" t="s">
        <v>1578</v>
      </c>
      <c r="C38" s="10" t="s">
        <v>1083</v>
      </c>
      <c r="D38" s="11" t="s">
        <v>56</v>
      </c>
      <c r="E38" s="27">
        <v>2</v>
      </c>
      <c r="F38" s="27">
        <v>0</v>
      </c>
      <c r="G38" s="27">
        <v>0</v>
      </c>
      <c r="H38" s="28">
        <f t="shared" si="4"/>
        <v>294</v>
      </c>
      <c r="I38" s="29">
        <f t="shared" si="0"/>
        <v>98</v>
      </c>
      <c r="J38" s="27">
        <f t="shared" si="1"/>
        <v>1</v>
      </c>
      <c r="K38" s="27" t="str">
        <f t="shared" si="5"/>
        <v>TUNTAS</v>
      </c>
      <c r="L38" s="13" t="str">
        <f t="shared" si="6"/>
        <v xml:space="preserve"> </v>
      </c>
      <c r="M38" s="1"/>
      <c r="N38" s="2">
        <f t="shared" si="7"/>
        <v>9.8000000000000007</v>
      </c>
    </row>
    <row r="39" spans="1:14" ht="15.95" customHeight="1" x14ac:dyDescent="0.25">
      <c r="A39" s="13">
        <v>32</v>
      </c>
      <c r="B39" s="9" t="s">
        <v>1579</v>
      </c>
      <c r="C39" s="10" t="s">
        <v>1266</v>
      </c>
      <c r="D39" s="11" t="s">
        <v>129</v>
      </c>
      <c r="E39" s="27">
        <v>9</v>
      </c>
      <c r="F39" s="27">
        <v>12</v>
      </c>
      <c r="G39" s="27">
        <v>2</v>
      </c>
      <c r="H39" s="28">
        <f t="shared" si="4"/>
        <v>207</v>
      </c>
      <c r="I39" s="29">
        <f t="shared" si="0"/>
        <v>69</v>
      </c>
      <c r="J39" s="27">
        <f t="shared" si="1"/>
        <v>31</v>
      </c>
      <c r="K39" s="27" t="str">
        <f t="shared" si="5"/>
        <v>TUNTAS</v>
      </c>
      <c r="L39" s="13" t="str">
        <f t="shared" si="6"/>
        <v xml:space="preserve"> </v>
      </c>
      <c r="M39" s="1"/>
      <c r="N39" s="2">
        <f t="shared" si="7"/>
        <v>6.9</v>
      </c>
    </row>
    <row r="40" spans="1:14" ht="15.95" customHeight="1" x14ac:dyDescent="0.25">
      <c r="A40" s="13">
        <v>33</v>
      </c>
      <c r="B40" s="9" t="s">
        <v>1580</v>
      </c>
      <c r="C40" s="10" t="s">
        <v>829</v>
      </c>
      <c r="D40" s="11" t="s">
        <v>57</v>
      </c>
      <c r="E40" s="27">
        <v>11</v>
      </c>
      <c r="F40" s="27">
        <v>6</v>
      </c>
      <c r="G40" s="27">
        <v>2</v>
      </c>
      <c r="H40" s="28">
        <f t="shared" si="4"/>
        <v>219</v>
      </c>
      <c r="I40" s="29">
        <f t="shared" si="0"/>
        <v>73</v>
      </c>
      <c r="J40" s="27">
        <f t="shared" si="1"/>
        <v>27</v>
      </c>
      <c r="K40" s="27" t="str">
        <f t="shared" si="5"/>
        <v>TUNTAS</v>
      </c>
      <c r="L40" s="13" t="str">
        <f t="shared" si="6"/>
        <v xml:space="preserve"> </v>
      </c>
      <c r="M40" s="1"/>
      <c r="N40" s="2">
        <f t="shared" si="7"/>
        <v>7.3</v>
      </c>
    </row>
    <row r="41" spans="1:14" ht="15.95" customHeight="1" x14ac:dyDescent="0.25">
      <c r="A41" s="13">
        <v>34</v>
      </c>
      <c r="B41" s="9" t="s">
        <v>1581</v>
      </c>
      <c r="C41" s="10" t="s">
        <v>905</v>
      </c>
      <c r="D41" s="11" t="s">
        <v>95</v>
      </c>
      <c r="E41" s="27">
        <v>5</v>
      </c>
      <c r="F41" s="27">
        <v>2</v>
      </c>
      <c r="G41" s="27">
        <v>4</v>
      </c>
      <c r="H41" s="28">
        <f t="shared" si="4"/>
        <v>219</v>
      </c>
      <c r="I41" s="29">
        <f t="shared" si="0"/>
        <v>73</v>
      </c>
      <c r="J41" s="27">
        <f t="shared" si="1"/>
        <v>27</v>
      </c>
      <c r="K41" s="27" t="str">
        <f t="shared" si="5"/>
        <v>TUNTAS</v>
      </c>
      <c r="L41" s="13" t="str">
        <f t="shared" si="6"/>
        <v xml:space="preserve"> </v>
      </c>
      <c r="M41" s="1"/>
      <c r="N41" s="2">
        <f t="shared" si="7"/>
        <v>7.3</v>
      </c>
    </row>
    <row r="42" spans="1:14" ht="15.95" customHeight="1" x14ac:dyDescent="0.25">
      <c r="A42" s="13">
        <v>35</v>
      </c>
      <c r="B42" s="9" t="s">
        <v>1582</v>
      </c>
      <c r="C42" s="10" t="s">
        <v>1349</v>
      </c>
      <c r="D42" s="11" t="s">
        <v>139</v>
      </c>
      <c r="E42" s="27">
        <v>14</v>
      </c>
      <c r="F42" s="27">
        <v>18</v>
      </c>
      <c r="G42" s="27">
        <v>5</v>
      </c>
      <c r="H42" s="28">
        <f t="shared" si="4"/>
        <v>129</v>
      </c>
      <c r="I42" s="29">
        <f t="shared" si="0"/>
        <v>43</v>
      </c>
      <c r="J42" s="27">
        <f t="shared" si="1"/>
        <v>44</v>
      </c>
      <c r="K42" s="27" t="str">
        <f t="shared" si="5"/>
        <v>TIDAK TUNTAS</v>
      </c>
      <c r="L42" s="13" t="str">
        <f t="shared" si="6"/>
        <v xml:space="preserve"> </v>
      </c>
      <c r="M42" s="1"/>
      <c r="N42" s="2">
        <f t="shared" si="7"/>
        <v>4.3</v>
      </c>
    </row>
    <row r="43" spans="1:14" ht="15.95" customHeight="1" x14ac:dyDescent="0.25">
      <c r="A43" s="13">
        <v>36</v>
      </c>
      <c r="B43" s="9" t="s">
        <v>1583</v>
      </c>
      <c r="C43" s="10" t="s">
        <v>1004</v>
      </c>
      <c r="D43" s="11" t="s">
        <v>97</v>
      </c>
      <c r="E43" s="27">
        <v>7</v>
      </c>
      <c r="F43" s="27">
        <v>4</v>
      </c>
      <c r="G43" s="27">
        <v>4</v>
      </c>
      <c r="H43" s="28">
        <f t="shared" si="4"/>
        <v>207</v>
      </c>
      <c r="I43" s="29">
        <f t="shared" si="0"/>
        <v>69</v>
      </c>
      <c r="J43" s="27">
        <f t="shared" si="1"/>
        <v>31</v>
      </c>
      <c r="K43" s="27" t="str">
        <f t="shared" si="5"/>
        <v>TUNTAS</v>
      </c>
      <c r="L43" s="13" t="str">
        <f t="shared" si="6"/>
        <v xml:space="preserve"> </v>
      </c>
      <c r="M43" s="1"/>
      <c r="N43" s="2">
        <f t="shared" si="7"/>
        <v>6.9</v>
      </c>
    </row>
    <row r="44" spans="1:14" ht="15.95" customHeight="1" x14ac:dyDescent="0.25">
      <c r="A44" s="13">
        <v>37</v>
      </c>
      <c r="B44" s="9" t="s">
        <v>1585</v>
      </c>
      <c r="C44" s="10" t="s">
        <v>1271</v>
      </c>
      <c r="D44" s="11" t="s">
        <v>61</v>
      </c>
      <c r="E44" s="27">
        <v>32</v>
      </c>
      <c r="F44" s="27">
        <v>32</v>
      </c>
      <c r="G44" s="27">
        <v>5</v>
      </c>
      <c r="H44" s="28">
        <f t="shared" si="4"/>
        <v>33</v>
      </c>
      <c r="I44" s="29">
        <f t="shared" si="0"/>
        <v>11</v>
      </c>
      <c r="J44" s="27">
        <f t="shared" si="1"/>
        <v>47</v>
      </c>
      <c r="K44" s="27" t="str">
        <f t="shared" si="5"/>
        <v>TIDAK HADIR</v>
      </c>
      <c r="L44" s="13" t="s">
        <v>3264</v>
      </c>
      <c r="M44" s="1"/>
      <c r="N44" s="2">
        <f t="shared" si="7"/>
        <v>1.1000000000000001</v>
      </c>
    </row>
    <row r="45" spans="1:14" ht="15.95" customHeight="1" x14ac:dyDescent="0.25">
      <c r="A45" s="13">
        <v>38</v>
      </c>
      <c r="B45" s="9" t="s">
        <v>1587</v>
      </c>
      <c r="C45" s="10" t="s">
        <v>913</v>
      </c>
      <c r="D45" s="11" t="s">
        <v>119</v>
      </c>
      <c r="E45" s="27">
        <v>2</v>
      </c>
      <c r="F45" s="27">
        <v>2</v>
      </c>
      <c r="G45" s="27">
        <v>1</v>
      </c>
      <c r="H45" s="28">
        <f t="shared" si="4"/>
        <v>273</v>
      </c>
      <c r="I45" s="29">
        <f t="shared" si="0"/>
        <v>91</v>
      </c>
      <c r="J45" s="27">
        <f t="shared" si="1"/>
        <v>10</v>
      </c>
      <c r="K45" s="27" t="str">
        <f t="shared" si="5"/>
        <v>TUNTAS</v>
      </c>
      <c r="L45" s="13" t="str">
        <f t="shared" si="6"/>
        <v xml:space="preserve"> </v>
      </c>
      <c r="M45" s="1"/>
      <c r="N45" s="2">
        <f t="shared" si="7"/>
        <v>9.1</v>
      </c>
    </row>
    <row r="46" spans="1:14" ht="15.95" customHeight="1" x14ac:dyDescent="0.25">
      <c r="A46" s="13">
        <v>39</v>
      </c>
      <c r="B46" s="9" t="s">
        <v>1588</v>
      </c>
      <c r="C46" s="10" t="s">
        <v>1356</v>
      </c>
      <c r="D46" s="11" t="s">
        <v>64</v>
      </c>
      <c r="E46" s="27">
        <v>6</v>
      </c>
      <c r="F46" s="27">
        <v>7</v>
      </c>
      <c r="G46" s="27">
        <v>4</v>
      </c>
      <c r="H46" s="28">
        <f t="shared" si="4"/>
        <v>201</v>
      </c>
      <c r="I46" s="29">
        <f t="shared" si="0"/>
        <v>67</v>
      </c>
      <c r="J46" s="27">
        <f t="shared" si="1"/>
        <v>34</v>
      </c>
      <c r="K46" s="27" t="str">
        <f t="shared" si="5"/>
        <v>TUNTAS</v>
      </c>
      <c r="L46" s="13" t="str">
        <f t="shared" si="6"/>
        <v xml:space="preserve"> </v>
      </c>
      <c r="M46" s="1"/>
      <c r="N46" s="2">
        <f t="shared" si="7"/>
        <v>6.7</v>
      </c>
    </row>
    <row r="47" spans="1:14" ht="15.95" customHeight="1" x14ac:dyDescent="0.25">
      <c r="A47" s="13">
        <v>40</v>
      </c>
      <c r="B47" s="9" t="s">
        <v>1589</v>
      </c>
      <c r="C47" s="10" t="s">
        <v>1646</v>
      </c>
      <c r="D47" s="11" t="s">
        <v>88</v>
      </c>
      <c r="E47" s="27">
        <v>3</v>
      </c>
      <c r="F47" s="27">
        <v>0</v>
      </c>
      <c r="G47" s="27">
        <v>2</v>
      </c>
      <c r="H47" s="28">
        <f t="shared" si="4"/>
        <v>261</v>
      </c>
      <c r="I47" s="29">
        <f t="shared" si="0"/>
        <v>87</v>
      </c>
      <c r="J47" s="27">
        <f t="shared" si="1"/>
        <v>14</v>
      </c>
      <c r="K47" s="27" t="str">
        <f t="shared" si="5"/>
        <v>TUNTAS</v>
      </c>
      <c r="L47" s="13" t="str">
        <f t="shared" si="6"/>
        <v xml:space="preserve"> </v>
      </c>
      <c r="M47" s="1"/>
      <c r="N47" s="2">
        <f t="shared" si="7"/>
        <v>8.6999999999999993</v>
      </c>
    </row>
    <row r="48" spans="1:14" ht="15.95" customHeight="1" x14ac:dyDescent="0.25">
      <c r="A48" s="13">
        <v>41</v>
      </c>
      <c r="B48" s="9" t="s">
        <v>1590</v>
      </c>
      <c r="C48" s="10" t="s">
        <v>916</v>
      </c>
      <c r="D48" s="11" t="s">
        <v>88</v>
      </c>
      <c r="E48" s="27">
        <v>15</v>
      </c>
      <c r="F48" s="27">
        <v>15</v>
      </c>
      <c r="G48" s="27">
        <v>5</v>
      </c>
      <c r="H48" s="28">
        <f t="shared" si="4"/>
        <v>135</v>
      </c>
      <c r="I48" s="29">
        <f t="shared" si="0"/>
        <v>45</v>
      </c>
      <c r="J48" s="27">
        <f t="shared" si="1"/>
        <v>43</v>
      </c>
      <c r="K48" s="27" t="str">
        <f t="shared" si="5"/>
        <v>TIDAK TUNTAS</v>
      </c>
      <c r="L48" s="13" t="str">
        <f t="shared" si="6"/>
        <v xml:space="preserve"> </v>
      </c>
      <c r="M48" s="1"/>
      <c r="N48" s="2">
        <f t="shared" si="7"/>
        <v>4.5</v>
      </c>
    </row>
    <row r="49" spans="1:14" ht="15.95" customHeight="1" x14ac:dyDescent="0.25">
      <c r="A49" s="13">
        <v>42</v>
      </c>
      <c r="B49" s="9" t="s">
        <v>1591</v>
      </c>
      <c r="C49" s="10" t="s">
        <v>1095</v>
      </c>
      <c r="D49" s="11" t="s">
        <v>66</v>
      </c>
      <c r="E49" s="27">
        <v>12</v>
      </c>
      <c r="F49" s="27">
        <v>9</v>
      </c>
      <c r="G49" s="27">
        <v>5</v>
      </c>
      <c r="H49" s="28">
        <f t="shared" si="4"/>
        <v>162</v>
      </c>
      <c r="I49" s="29">
        <f t="shared" si="0"/>
        <v>54</v>
      </c>
      <c r="J49" s="27">
        <f t="shared" si="1"/>
        <v>39</v>
      </c>
      <c r="K49" s="27" t="str">
        <f t="shared" si="5"/>
        <v>TIDAK TUNTAS</v>
      </c>
      <c r="L49" s="13" t="str">
        <f t="shared" si="6"/>
        <v xml:space="preserve"> </v>
      </c>
      <c r="M49" s="1"/>
      <c r="N49" s="2">
        <f t="shared" si="7"/>
        <v>5.4</v>
      </c>
    </row>
    <row r="50" spans="1:14" ht="15.95" customHeight="1" x14ac:dyDescent="0.25">
      <c r="A50" s="13">
        <v>43</v>
      </c>
      <c r="B50" s="9" t="s">
        <v>1592</v>
      </c>
      <c r="C50" s="10" t="s">
        <v>1100</v>
      </c>
      <c r="D50" s="11" t="s">
        <v>130</v>
      </c>
      <c r="E50" s="27">
        <v>11</v>
      </c>
      <c r="F50" s="27">
        <v>10</v>
      </c>
      <c r="G50" s="27">
        <v>5</v>
      </c>
      <c r="H50" s="28">
        <f t="shared" si="4"/>
        <v>162</v>
      </c>
      <c r="I50" s="29">
        <f t="shared" si="0"/>
        <v>54</v>
      </c>
      <c r="J50" s="27">
        <f t="shared" si="1"/>
        <v>39</v>
      </c>
      <c r="K50" s="27" t="str">
        <f t="shared" si="5"/>
        <v>TIDAK TUNTAS</v>
      </c>
      <c r="L50" s="13" t="str">
        <f t="shared" si="6"/>
        <v xml:space="preserve"> </v>
      </c>
      <c r="M50" s="1"/>
      <c r="N50" s="2">
        <f t="shared" si="7"/>
        <v>5.4</v>
      </c>
    </row>
    <row r="51" spans="1:14" ht="15.95" customHeight="1" x14ac:dyDescent="0.25">
      <c r="A51" s="13">
        <v>44</v>
      </c>
      <c r="B51" s="9" t="s">
        <v>1594</v>
      </c>
      <c r="C51" s="10" t="s">
        <v>1104</v>
      </c>
      <c r="D51" s="11" t="s">
        <v>70</v>
      </c>
      <c r="E51" s="27">
        <v>3</v>
      </c>
      <c r="F51" s="27">
        <v>2</v>
      </c>
      <c r="G51" s="27">
        <v>1</v>
      </c>
      <c r="H51" s="28">
        <f t="shared" si="4"/>
        <v>270</v>
      </c>
      <c r="I51" s="29">
        <f t="shared" si="0"/>
        <v>90</v>
      </c>
      <c r="J51" s="27">
        <f t="shared" si="1"/>
        <v>11</v>
      </c>
      <c r="K51" s="27" t="str">
        <f t="shared" si="5"/>
        <v>TUNTAS</v>
      </c>
      <c r="L51" s="13" t="str">
        <f t="shared" si="6"/>
        <v xml:space="preserve"> </v>
      </c>
      <c r="M51" s="1"/>
      <c r="N51" s="2">
        <f t="shared" si="7"/>
        <v>9</v>
      </c>
    </row>
    <row r="52" spans="1:14" ht="15.95" customHeight="1" x14ac:dyDescent="0.25">
      <c r="A52" s="13">
        <v>45</v>
      </c>
      <c r="B52" s="9" t="s">
        <v>1595</v>
      </c>
      <c r="C52" s="10" t="s">
        <v>1199</v>
      </c>
      <c r="D52" s="11" t="s">
        <v>131</v>
      </c>
      <c r="E52" s="27">
        <v>3</v>
      </c>
      <c r="F52" s="27">
        <v>1</v>
      </c>
      <c r="G52" s="27">
        <v>3</v>
      </c>
      <c r="H52" s="28">
        <f t="shared" si="4"/>
        <v>243</v>
      </c>
      <c r="I52" s="29">
        <f t="shared" si="0"/>
        <v>81</v>
      </c>
      <c r="J52" s="27">
        <f t="shared" si="1"/>
        <v>18</v>
      </c>
      <c r="K52" s="27" t="str">
        <f t="shared" si="5"/>
        <v>TUNTAS</v>
      </c>
      <c r="L52" s="13" t="str">
        <f t="shared" si="6"/>
        <v xml:space="preserve"> </v>
      </c>
      <c r="M52" s="1"/>
      <c r="N52" s="2">
        <f t="shared" si="7"/>
        <v>8.1</v>
      </c>
    </row>
    <row r="53" spans="1:14" ht="15.95" customHeight="1" x14ac:dyDescent="0.25">
      <c r="A53" s="13">
        <v>46</v>
      </c>
      <c r="B53" s="9" t="s">
        <v>1596</v>
      </c>
      <c r="C53" s="10" t="s">
        <v>1286</v>
      </c>
      <c r="D53" s="11" t="s">
        <v>71</v>
      </c>
      <c r="E53" s="27">
        <v>5</v>
      </c>
      <c r="F53" s="27">
        <v>4</v>
      </c>
      <c r="G53" s="27">
        <v>2</v>
      </c>
      <c r="H53" s="28">
        <f t="shared" si="4"/>
        <v>243</v>
      </c>
      <c r="I53" s="29">
        <f t="shared" si="0"/>
        <v>81</v>
      </c>
      <c r="J53" s="27">
        <f t="shared" si="1"/>
        <v>18</v>
      </c>
      <c r="K53" s="27" t="str">
        <f t="shared" si="5"/>
        <v>TUNTAS</v>
      </c>
      <c r="L53" s="13" t="str">
        <f t="shared" si="6"/>
        <v xml:space="preserve"> </v>
      </c>
      <c r="M53" s="1"/>
      <c r="N53" s="2">
        <f t="shared" si="7"/>
        <v>8.1</v>
      </c>
    </row>
    <row r="54" spans="1:14" x14ac:dyDescent="0.25">
      <c r="A54" s="13">
        <v>47</v>
      </c>
      <c r="B54" s="9" t="s">
        <v>1597</v>
      </c>
      <c r="C54" s="10" t="s">
        <v>1108</v>
      </c>
      <c r="D54" s="11" t="s">
        <v>72</v>
      </c>
      <c r="E54" s="27">
        <v>5</v>
      </c>
      <c r="F54" s="27">
        <v>4</v>
      </c>
      <c r="G54" s="27">
        <v>2</v>
      </c>
      <c r="H54" s="28">
        <f t="shared" si="4"/>
        <v>243</v>
      </c>
      <c r="I54" s="29">
        <f t="shared" si="0"/>
        <v>81</v>
      </c>
      <c r="J54" s="27">
        <f t="shared" si="1"/>
        <v>18</v>
      </c>
      <c r="K54" s="27" t="str">
        <f t="shared" si="5"/>
        <v>TUNTAS</v>
      </c>
      <c r="L54" s="13" t="str">
        <f t="shared" si="6"/>
        <v xml:space="preserve"> </v>
      </c>
      <c r="M54" s="1"/>
      <c r="N54" s="2">
        <f t="shared" si="7"/>
        <v>8.1</v>
      </c>
    </row>
    <row r="55" spans="1:14" x14ac:dyDescent="0.25">
      <c r="C55" s="2"/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phoneticPr fontId="14" type="noConversion"/>
  <conditionalFormatting sqref="D8:D10">
    <cfRule type="cellIs" dxfId="17" priority="19" operator="equal">
      <formula>0</formula>
    </cfRule>
  </conditionalFormatting>
  <conditionalFormatting sqref="I8:I54">
    <cfRule type="cellIs" dxfId="16" priority="13" operator="lessThan">
      <formula>60</formula>
    </cfRule>
    <cfRule type="cellIs" dxfId="15" priority="14" operator="lessThan">
      <formula>60</formula>
    </cfRule>
    <cfRule type="cellIs" dxfId="14" priority="15" operator="lessThan">
      <formula>50</formula>
    </cfRule>
  </conditionalFormatting>
  <conditionalFormatting sqref="K8:K54">
    <cfRule type="cellIs" dxfId="13" priority="1" operator="equal">
      <formula>"TIDAK BACA"</formula>
    </cfRule>
    <cfRule type="cellIs" dxfId="12" priority="2" operator="equal">
      <formula>"TIDAK TUNTAS"</formula>
    </cfRule>
    <cfRule type="cellIs" dxfId="11" priority="3" operator="equal">
      <formula>"TUNTAS"</formula>
    </cfRule>
    <cfRule type="cellIs" dxfId="10" priority="4" operator="equal">
      <formula>"TIDAK HADIR"</formula>
    </cfRule>
    <cfRule type="cellIs" dxfId="9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F2923F6C-CECA-4A12-B449-C00AA32FD1CC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C412-A95C-44A4-9C39-9A8F89FA5D69}">
  <sheetPr>
    <tabColor theme="9" tint="0.59999389629810485"/>
  </sheetPr>
  <dimension ref="A1:N52"/>
  <sheetViews>
    <sheetView tabSelected="1" zoomScaleNormal="100" workbookViewId="0">
      <pane xSplit="1" ySplit="7" topLeftCell="B41" activePane="bottomRight" state="frozen"/>
      <selection activeCell="R51" sqref="R51"/>
      <selection pane="topRight" activeCell="R51" sqref="R51"/>
      <selection pane="bottomLeft" activeCell="R51" sqref="R51"/>
      <selection pane="bottomRight" activeCell="N8" sqref="N8:N52"/>
    </sheetView>
  </sheetViews>
  <sheetFormatPr defaultColWidth="9.140625" defaultRowHeight="16.5" x14ac:dyDescent="0.25"/>
  <cols>
    <col min="1" max="1" width="4.7109375" style="2" customWidth="1"/>
    <col min="2" max="2" width="9.7109375" style="2" customWidth="1"/>
    <col min="3" max="3" width="30.7109375" style="3" customWidth="1"/>
    <col min="4" max="4" width="6.7109375" style="2" customWidth="1"/>
    <col min="5" max="5" width="19.140625" style="2" customWidth="1"/>
    <col min="6" max="6" width="18" style="2" customWidth="1"/>
    <col min="7" max="7" width="20.7109375" style="2" customWidth="1"/>
    <col min="8" max="10" width="8" style="2" customWidth="1"/>
    <col min="11" max="11" width="17" style="2" customWidth="1"/>
    <col min="12" max="16384" width="9.140625" style="2"/>
  </cols>
  <sheetData>
    <row r="1" spans="1:14" x14ac:dyDescent="0.25">
      <c r="A1" s="31" t="s">
        <v>1649</v>
      </c>
    </row>
    <row r="2" spans="1:14" x14ac:dyDescent="0.25">
      <c r="A2" s="31" t="s">
        <v>1650</v>
      </c>
    </row>
    <row r="3" spans="1:14" x14ac:dyDescent="0.25">
      <c r="A3" s="32" t="s">
        <v>1651</v>
      </c>
    </row>
    <row r="4" spans="1:14" ht="9.9499999999999993" customHeight="1" x14ac:dyDescent="0.25">
      <c r="A4" s="59"/>
      <c r="B4" s="59"/>
      <c r="C4" s="59"/>
      <c r="D4" s="59"/>
      <c r="E4" s="59"/>
      <c r="F4" s="59"/>
      <c r="G4" s="59"/>
      <c r="H4" s="59"/>
      <c r="I4" s="59"/>
    </row>
    <row r="5" spans="1:14" s="1" customFormat="1" ht="15.75" customHeight="1" x14ac:dyDescent="0.25">
      <c r="A5" s="52" t="s">
        <v>0</v>
      </c>
      <c r="B5" s="47" t="s">
        <v>1</v>
      </c>
      <c r="C5" s="47" t="s">
        <v>2</v>
      </c>
      <c r="D5" s="52" t="s">
        <v>3</v>
      </c>
      <c r="E5" s="56" t="s">
        <v>4</v>
      </c>
      <c r="F5" s="56"/>
      <c r="G5" s="56"/>
      <c r="H5" s="57" t="s">
        <v>5</v>
      </c>
      <c r="I5" s="57" t="s">
        <v>6</v>
      </c>
      <c r="J5" s="57" t="s">
        <v>7</v>
      </c>
      <c r="K5" s="56" t="s">
        <v>74</v>
      </c>
      <c r="L5" s="52" t="s">
        <v>836</v>
      </c>
    </row>
    <row r="6" spans="1:14" s="1" customFormat="1" ht="27" customHeight="1" x14ac:dyDescent="0.25">
      <c r="A6" s="52"/>
      <c r="B6" s="48"/>
      <c r="C6" s="48"/>
      <c r="D6" s="52"/>
      <c r="E6" s="5" t="s">
        <v>1648</v>
      </c>
      <c r="F6" s="6" t="s">
        <v>8</v>
      </c>
      <c r="G6" s="26" t="s">
        <v>9</v>
      </c>
      <c r="H6" s="58"/>
      <c r="I6" s="58"/>
      <c r="J6" s="58"/>
      <c r="K6" s="56"/>
      <c r="L6" s="52"/>
    </row>
    <row r="7" spans="1:14" s="1" customFormat="1" ht="15" customHeight="1" x14ac:dyDescent="0.25">
      <c r="A7" s="52"/>
      <c r="B7" s="49"/>
      <c r="C7" s="49"/>
      <c r="D7" s="52"/>
      <c r="E7" s="26" t="s">
        <v>10</v>
      </c>
      <c r="F7" s="26" t="s">
        <v>10</v>
      </c>
      <c r="G7" s="26" t="s">
        <v>11</v>
      </c>
      <c r="H7" s="58"/>
      <c r="I7" s="58"/>
      <c r="J7" s="58"/>
      <c r="K7" s="26">
        <v>60</v>
      </c>
      <c r="L7" s="52"/>
    </row>
    <row r="8" spans="1:14" ht="15.95" customHeight="1" x14ac:dyDescent="0.25">
      <c r="A8" s="13">
        <v>1</v>
      </c>
      <c r="B8" s="9" t="s">
        <v>1598</v>
      </c>
      <c r="C8" s="10" t="s">
        <v>1112</v>
      </c>
      <c r="D8" s="11" t="s">
        <v>14</v>
      </c>
      <c r="E8" s="27">
        <v>11</v>
      </c>
      <c r="F8" s="27">
        <v>12</v>
      </c>
      <c r="G8" s="27">
        <v>4</v>
      </c>
      <c r="H8" s="28">
        <f>100-E8*3+100-F8*3+100-G8*15</f>
        <v>171</v>
      </c>
      <c r="I8" s="29">
        <f t="shared" ref="I8:I52" si="0">H8/3</f>
        <v>57</v>
      </c>
      <c r="J8" s="27">
        <f t="shared" ref="J8:J52" si="1">RANK(H8,$H$8:$H$91)</f>
        <v>34</v>
      </c>
      <c r="K8" s="27" t="str">
        <f t="shared" ref="K8" si="2">IF(I8&lt;11.1,"TIDAK HADIR",IF(I8&lt;13.1,"TIDAK BACA",IF(I8&lt;$K$7,"TIDAK TUNTAS","TUNTAS")))</f>
        <v>TIDAK TUNTAS</v>
      </c>
      <c r="L8" s="13" t="str">
        <f t="shared" ref="L8" si="3">IF(G8&gt;5,"TM"," ")</f>
        <v xml:space="preserve"> </v>
      </c>
      <c r="M8" s="1"/>
      <c r="N8" s="2">
        <f>I8/10</f>
        <v>5.7</v>
      </c>
    </row>
    <row r="9" spans="1:14" ht="15.95" customHeight="1" x14ac:dyDescent="0.25">
      <c r="A9" s="13">
        <v>2</v>
      </c>
      <c r="B9" s="9" t="s">
        <v>1599</v>
      </c>
      <c r="C9" s="10" t="s">
        <v>142</v>
      </c>
      <c r="D9" s="11" t="s">
        <v>18</v>
      </c>
      <c r="E9" s="27">
        <v>0</v>
      </c>
      <c r="F9" s="27">
        <v>0</v>
      </c>
      <c r="G9" s="27">
        <v>0</v>
      </c>
      <c r="H9" s="28">
        <f t="shared" ref="H9:H52" si="4">100-E9*3+100-F9*3+100-G9*15</f>
        <v>300</v>
      </c>
      <c r="I9" s="29">
        <f t="shared" si="0"/>
        <v>100</v>
      </c>
      <c r="J9" s="27">
        <f t="shared" si="1"/>
        <v>1</v>
      </c>
      <c r="K9" s="27" t="str">
        <f t="shared" ref="K9:K52" si="5">IF(I9&lt;11.1,"TIDAK HADIR",IF(I9&lt;13.1,"TIDAK BACA",IF(I9&lt;$K$7,"TIDAK TUNTAS","TUNTAS")))</f>
        <v>TUNTAS</v>
      </c>
      <c r="L9" s="13" t="str">
        <f t="shared" ref="L9:L52" si="6">IF(G9&gt;5,"TM"," ")</f>
        <v xml:space="preserve"> </v>
      </c>
      <c r="M9" s="1"/>
      <c r="N9" s="2">
        <f t="shared" ref="N9:N52" si="7">I9/10</f>
        <v>10</v>
      </c>
    </row>
    <row r="10" spans="1:14" ht="15.95" customHeight="1" x14ac:dyDescent="0.25">
      <c r="A10" s="13">
        <v>3</v>
      </c>
      <c r="B10" s="9" t="s">
        <v>1600</v>
      </c>
      <c r="C10" s="10" t="s">
        <v>931</v>
      </c>
      <c r="D10" s="11" t="s">
        <v>155</v>
      </c>
      <c r="E10" s="27">
        <v>12</v>
      </c>
      <c r="F10" s="27">
        <v>12</v>
      </c>
      <c r="G10" s="27">
        <v>4</v>
      </c>
      <c r="H10" s="28">
        <f t="shared" si="4"/>
        <v>168</v>
      </c>
      <c r="I10" s="29">
        <f>H10/3</f>
        <v>56</v>
      </c>
      <c r="J10" s="27">
        <f t="shared" si="1"/>
        <v>35</v>
      </c>
      <c r="K10" s="27" t="str">
        <f t="shared" si="5"/>
        <v>TIDAK TUNTAS</v>
      </c>
      <c r="L10" s="13" t="str">
        <f t="shared" si="6"/>
        <v xml:space="preserve"> </v>
      </c>
      <c r="M10" s="1"/>
      <c r="N10" s="2">
        <f t="shared" si="7"/>
        <v>5.6</v>
      </c>
    </row>
    <row r="11" spans="1:14" ht="15.95" customHeight="1" x14ac:dyDescent="0.25">
      <c r="A11" s="13">
        <v>4</v>
      </c>
      <c r="B11" s="9" t="s">
        <v>1601</v>
      </c>
      <c r="C11" s="10" t="s">
        <v>849</v>
      </c>
      <c r="D11" s="11" t="s">
        <v>20</v>
      </c>
      <c r="E11" s="27">
        <v>13</v>
      </c>
      <c r="F11" s="27">
        <v>5</v>
      </c>
      <c r="G11" s="27">
        <v>6</v>
      </c>
      <c r="H11" s="28">
        <f t="shared" si="4"/>
        <v>156</v>
      </c>
      <c r="I11" s="29">
        <f t="shared" si="0"/>
        <v>52</v>
      </c>
      <c r="J11" s="27">
        <f t="shared" si="1"/>
        <v>37</v>
      </c>
      <c r="K11" s="27" t="str">
        <f t="shared" si="5"/>
        <v>TIDAK TUNTAS</v>
      </c>
      <c r="L11" s="13" t="str">
        <f t="shared" si="6"/>
        <v>TM</v>
      </c>
      <c r="M11" s="1"/>
      <c r="N11" s="2">
        <f t="shared" si="7"/>
        <v>5.2</v>
      </c>
    </row>
    <row r="12" spans="1:14" ht="15.95" customHeight="1" x14ac:dyDescent="0.25">
      <c r="A12" s="13">
        <v>5</v>
      </c>
      <c r="B12" s="9" t="s">
        <v>1602</v>
      </c>
      <c r="C12" s="10" t="s">
        <v>1530</v>
      </c>
      <c r="D12" s="11" t="s">
        <v>22</v>
      </c>
      <c r="E12" s="27">
        <v>15</v>
      </c>
      <c r="F12" s="27">
        <v>4</v>
      </c>
      <c r="G12" s="27">
        <v>3</v>
      </c>
      <c r="H12" s="28">
        <f t="shared" si="4"/>
        <v>198</v>
      </c>
      <c r="I12" s="29">
        <f t="shared" si="0"/>
        <v>66</v>
      </c>
      <c r="J12" s="27">
        <f t="shared" si="1"/>
        <v>32</v>
      </c>
      <c r="K12" s="27" t="str">
        <f t="shared" si="5"/>
        <v>TUNTAS</v>
      </c>
      <c r="L12" s="13" t="str">
        <f t="shared" si="6"/>
        <v xml:space="preserve"> </v>
      </c>
      <c r="M12" s="1"/>
      <c r="N12" s="2">
        <f t="shared" si="7"/>
        <v>6.6</v>
      </c>
    </row>
    <row r="13" spans="1:14" ht="15.95" customHeight="1" x14ac:dyDescent="0.25">
      <c r="A13" s="13">
        <v>6</v>
      </c>
      <c r="B13" s="9" t="s">
        <v>1603</v>
      </c>
      <c r="C13" s="10" t="s">
        <v>1211</v>
      </c>
      <c r="D13" s="11" t="s">
        <v>124</v>
      </c>
      <c r="E13" s="27">
        <v>10</v>
      </c>
      <c r="F13" s="27">
        <v>0</v>
      </c>
      <c r="G13" s="27">
        <v>2</v>
      </c>
      <c r="H13" s="28">
        <f t="shared" si="4"/>
        <v>240</v>
      </c>
      <c r="I13" s="29">
        <f t="shared" si="0"/>
        <v>80</v>
      </c>
      <c r="J13" s="27">
        <f t="shared" si="1"/>
        <v>19</v>
      </c>
      <c r="K13" s="27" t="str">
        <f t="shared" si="5"/>
        <v>TUNTAS</v>
      </c>
      <c r="L13" s="13" t="str">
        <f t="shared" si="6"/>
        <v xml:space="preserve"> </v>
      </c>
      <c r="M13" s="1"/>
      <c r="N13" s="2">
        <f t="shared" si="7"/>
        <v>8</v>
      </c>
    </row>
    <row r="14" spans="1:14" ht="15.95" customHeight="1" x14ac:dyDescent="0.25">
      <c r="A14" s="13">
        <v>7</v>
      </c>
      <c r="B14" s="9" t="s">
        <v>1604</v>
      </c>
      <c r="C14" s="10" t="s">
        <v>946</v>
      </c>
      <c r="D14" s="11" t="s">
        <v>76</v>
      </c>
      <c r="E14" s="27">
        <v>32</v>
      </c>
      <c r="F14" s="27">
        <v>32</v>
      </c>
      <c r="G14" s="27">
        <v>5</v>
      </c>
      <c r="H14" s="28">
        <f t="shared" si="4"/>
        <v>33</v>
      </c>
      <c r="I14" s="29">
        <f t="shared" si="0"/>
        <v>11</v>
      </c>
      <c r="J14" s="27">
        <f t="shared" si="1"/>
        <v>43</v>
      </c>
      <c r="K14" s="27" t="str">
        <f t="shared" si="5"/>
        <v>TIDAK HADIR</v>
      </c>
      <c r="L14" s="13" t="s">
        <v>3264</v>
      </c>
      <c r="M14" s="1"/>
      <c r="N14" s="2">
        <f t="shared" si="7"/>
        <v>1.1000000000000001</v>
      </c>
    </row>
    <row r="15" spans="1:14" ht="15.95" customHeight="1" x14ac:dyDescent="0.25">
      <c r="A15" s="13">
        <v>8</v>
      </c>
      <c r="B15" s="9" t="s">
        <v>1605</v>
      </c>
      <c r="C15" s="17" t="s">
        <v>864</v>
      </c>
      <c r="D15" s="18" t="s">
        <v>102</v>
      </c>
      <c r="E15" s="27">
        <v>32</v>
      </c>
      <c r="F15" s="27">
        <v>32</v>
      </c>
      <c r="G15" s="27">
        <v>5</v>
      </c>
      <c r="H15" s="28">
        <f t="shared" si="4"/>
        <v>33</v>
      </c>
      <c r="I15" s="29">
        <f t="shared" si="0"/>
        <v>11</v>
      </c>
      <c r="J15" s="27">
        <f t="shared" si="1"/>
        <v>43</v>
      </c>
      <c r="K15" s="27" t="str">
        <f t="shared" si="5"/>
        <v>TIDAK HADIR</v>
      </c>
      <c r="L15" s="13" t="s">
        <v>3265</v>
      </c>
      <c r="M15" s="1"/>
      <c r="N15" s="2">
        <f t="shared" si="7"/>
        <v>1.1000000000000001</v>
      </c>
    </row>
    <row r="16" spans="1:14" ht="15.95" customHeight="1" x14ac:dyDescent="0.25">
      <c r="A16" s="13">
        <v>9</v>
      </c>
      <c r="B16" s="9" t="s">
        <v>1606</v>
      </c>
      <c r="C16" s="10" t="s">
        <v>952</v>
      </c>
      <c r="D16" s="11" t="s">
        <v>91</v>
      </c>
      <c r="E16" s="27">
        <v>0</v>
      </c>
      <c r="F16" s="27">
        <v>0</v>
      </c>
      <c r="G16" s="27">
        <v>0</v>
      </c>
      <c r="H16" s="28">
        <f t="shared" si="4"/>
        <v>300</v>
      </c>
      <c r="I16" s="29">
        <f t="shared" si="0"/>
        <v>100</v>
      </c>
      <c r="J16" s="27">
        <f t="shared" si="1"/>
        <v>1</v>
      </c>
      <c r="K16" s="27" t="str">
        <f t="shared" si="5"/>
        <v>TUNTAS</v>
      </c>
      <c r="L16" s="13" t="str">
        <f t="shared" si="6"/>
        <v xml:space="preserve"> </v>
      </c>
      <c r="M16" s="1"/>
      <c r="N16" s="2">
        <f t="shared" si="7"/>
        <v>10</v>
      </c>
    </row>
    <row r="17" spans="1:14" ht="15.95" customHeight="1" x14ac:dyDescent="0.25">
      <c r="A17" s="13">
        <v>10</v>
      </c>
      <c r="B17" s="9" t="s">
        <v>1607</v>
      </c>
      <c r="C17" s="10" t="s">
        <v>955</v>
      </c>
      <c r="D17" s="11" t="s">
        <v>125</v>
      </c>
      <c r="E17" s="27">
        <v>8</v>
      </c>
      <c r="F17" s="27">
        <v>8</v>
      </c>
      <c r="G17" s="27">
        <v>3</v>
      </c>
      <c r="H17" s="28">
        <f t="shared" si="4"/>
        <v>207</v>
      </c>
      <c r="I17" s="29">
        <f t="shared" si="0"/>
        <v>69</v>
      </c>
      <c r="J17" s="27">
        <f t="shared" si="1"/>
        <v>28</v>
      </c>
      <c r="K17" s="27" t="str">
        <f t="shared" si="5"/>
        <v>TUNTAS</v>
      </c>
      <c r="L17" s="13" t="str">
        <f t="shared" si="6"/>
        <v xml:space="preserve"> </v>
      </c>
      <c r="M17" s="1"/>
      <c r="N17" s="2">
        <f t="shared" si="7"/>
        <v>6.9</v>
      </c>
    </row>
    <row r="18" spans="1:14" ht="15.95" customHeight="1" x14ac:dyDescent="0.25">
      <c r="A18" s="13">
        <v>11</v>
      </c>
      <c r="B18" s="9" t="s">
        <v>1608</v>
      </c>
      <c r="C18" s="17" t="s">
        <v>1044</v>
      </c>
      <c r="D18" s="18" t="s">
        <v>79</v>
      </c>
      <c r="E18" s="27">
        <v>0</v>
      </c>
      <c r="F18" s="27">
        <v>1</v>
      </c>
      <c r="G18" s="27">
        <v>1</v>
      </c>
      <c r="H18" s="28">
        <f t="shared" si="4"/>
        <v>282</v>
      </c>
      <c r="I18" s="29">
        <f t="shared" si="0"/>
        <v>94</v>
      </c>
      <c r="J18" s="27">
        <f t="shared" si="1"/>
        <v>8</v>
      </c>
      <c r="K18" s="27" t="str">
        <f t="shared" si="5"/>
        <v>TUNTAS</v>
      </c>
      <c r="L18" s="13" t="str">
        <f t="shared" si="6"/>
        <v xml:space="preserve"> </v>
      </c>
      <c r="M18" s="1"/>
      <c r="N18" s="2">
        <f t="shared" si="7"/>
        <v>9.4</v>
      </c>
    </row>
    <row r="19" spans="1:14" ht="15.95" customHeight="1" x14ac:dyDescent="0.25">
      <c r="A19" s="13">
        <v>12</v>
      </c>
      <c r="B19" s="9" t="s">
        <v>1609</v>
      </c>
      <c r="C19" s="17" t="s">
        <v>1545</v>
      </c>
      <c r="D19" s="18" t="s">
        <v>569</v>
      </c>
      <c r="E19" s="27">
        <v>0</v>
      </c>
      <c r="F19" s="27">
        <v>2</v>
      </c>
      <c r="G19" s="27">
        <v>1</v>
      </c>
      <c r="H19" s="28">
        <f t="shared" si="4"/>
        <v>279</v>
      </c>
      <c r="I19" s="29">
        <f t="shared" si="0"/>
        <v>93</v>
      </c>
      <c r="J19" s="27">
        <f t="shared" si="1"/>
        <v>10</v>
      </c>
      <c r="K19" s="27" t="str">
        <f t="shared" si="5"/>
        <v>TUNTAS</v>
      </c>
      <c r="L19" s="13" t="str">
        <f t="shared" si="6"/>
        <v xml:space="preserve"> </v>
      </c>
      <c r="M19" s="1"/>
      <c r="N19" s="2">
        <f t="shared" si="7"/>
        <v>9.3000000000000007</v>
      </c>
    </row>
    <row r="20" spans="1:14" ht="15.95" customHeight="1" x14ac:dyDescent="0.25">
      <c r="A20" s="13">
        <v>13</v>
      </c>
      <c r="B20" s="9" t="s">
        <v>1610</v>
      </c>
      <c r="C20" s="10" t="s">
        <v>1136</v>
      </c>
      <c r="D20" s="11" t="s">
        <v>34</v>
      </c>
      <c r="E20" s="27">
        <v>4</v>
      </c>
      <c r="F20" s="27">
        <v>2</v>
      </c>
      <c r="G20" s="27">
        <v>4</v>
      </c>
      <c r="H20" s="28">
        <f t="shared" si="4"/>
        <v>222</v>
      </c>
      <c r="I20" s="29">
        <f t="shared" si="0"/>
        <v>74</v>
      </c>
      <c r="J20" s="27">
        <f t="shared" si="1"/>
        <v>24</v>
      </c>
      <c r="K20" s="27" t="str">
        <f t="shared" si="5"/>
        <v>TUNTAS</v>
      </c>
      <c r="L20" s="13" t="str">
        <f t="shared" si="6"/>
        <v xml:space="preserve"> </v>
      </c>
      <c r="M20" s="1"/>
      <c r="N20" s="2">
        <f t="shared" si="7"/>
        <v>7.4</v>
      </c>
    </row>
    <row r="21" spans="1:14" ht="15.95" customHeight="1" x14ac:dyDescent="0.25">
      <c r="A21" s="13">
        <v>14</v>
      </c>
      <c r="B21" s="9" t="s">
        <v>1611</v>
      </c>
      <c r="C21" s="10" t="s">
        <v>1312</v>
      </c>
      <c r="D21" s="11" t="s">
        <v>103</v>
      </c>
      <c r="E21" s="27">
        <v>2</v>
      </c>
      <c r="F21" s="27">
        <v>3</v>
      </c>
      <c r="G21" s="27">
        <v>1</v>
      </c>
      <c r="H21" s="28">
        <f t="shared" si="4"/>
        <v>270</v>
      </c>
      <c r="I21" s="29">
        <f t="shared" si="0"/>
        <v>90</v>
      </c>
      <c r="J21" s="27">
        <f t="shared" si="1"/>
        <v>12</v>
      </c>
      <c r="K21" s="27" t="str">
        <f t="shared" si="5"/>
        <v>TUNTAS</v>
      </c>
      <c r="L21" s="13" t="str">
        <f t="shared" si="6"/>
        <v xml:space="preserve"> </v>
      </c>
      <c r="M21" s="1"/>
      <c r="N21" s="2">
        <f t="shared" si="7"/>
        <v>9</v>
      </c>
    </row>
    <row r="22" spans="1:14" ht="15.95" customHeight="1" x14ac:dyDescent="0.25">
      <c r="A22" s="13">
        <v>15</v>
      </c>
      <c r="B22" s="9" t="s">
        <v>1612</v>
      </c>
      <c r="C22" s="10" t="s">
        <v>875</v>
      </c>
      <c r="D22" s="11" t="s">
        <v>93</v>
      </c>
      <c r="E22" s="27">
        <v>7</v>
      </c>
      <c r="F22" s="27">
        <v>9</v>
      </c>
      <c r="G22" s="27">
        <v>3</v>
      </c>
      <c r="H22" s="28">
        <f t="shared" si="4"/>
        <v>207</v>
      </c>
      <c r="I22" s="29">
        <f t="shared" si="0"/>
        <v>69</v>
      </c>
      <c r="J22" s="27">
        <f t="shared" si="1"/>
        <v>28</v>
      </c>
      <c r="K22" s="27" t="str">
        <f t="shared" si="5"/>
        <v>TUNTAS</v>
      </c>
      <c r="L22" s="13" t="str">
        <f t="shared" si="6"/>
        <v xml:space="preserve"> </v>
      </c>
      <c r="M22" s="1"/>
      <c r="N22" s="2">
        <f t="shared" si="7"/>
        <v>6.9</v>
      </c>
    </row>
    <row r="23" spans="1:14" ht="15.95" customHeight="1" x14ac:dyDescent="0.25">
      <c r="A23" s="13">
        <v>16</v>
      </c>
      <c r="B23" s="9" t="s">
        <v>1613</v>
      </c>
      <c r="C23" s="10" t="s">
        <v>1317</v>
      </c>
      <c r="D23" s="11" t="s">
        <v>126</v>
      </c>
      <c r="E23" s="27">
        <v>2</v>
      </c>
      <c r="F23" s="27">
        <v>0</v>
      </c>
      <c r="G23" s="27">
        <v>0</v>
      </c>
      <c r="H23" s="28">
        <f t="shared" si="4"/>
        <v>294</v>
      </c>
      <c r="I23" s="29">
        <f t="shared" si="0"/>
        <v>98</v>
      </c>
      <c r="J23" s="27">
        <f t="shared" si="1"/>
        <v>5</v>
      </c>
      <c r="K23" s="27" t="str">
        <f t="shared" si="5"/>
        <v>TUNTAS</v>
      </c>
      <c r="L23" s="13" t="str">
        <f t="shared" si="6"/>
        <v xml:space="preserve"> </v>
      </c>
      <c r="M23" s="1"/>
      <c r="N23" s="2">
        <f t="shared" si="7"/>
        <v>9.8000000000000007</v>
      </c>
    </row>
    <row r="24" spans="1:14" ht="15.95" customHeight="1" x14ac:dyDescent="0.25">
      <c r="A24" s="13">
        <v>17</v>
      </c>
      <c r="B24" s="9" t="s">
        <v>1614</v>
      </c>
      <c r="C24" s="10" t="s">
        <v>1054</v>
      </c>
      <c r="D24" s="11" t="s">
        <v>39</v>
      </c>
      <c r="E24" s="27">
        <v>9</v>
      </c>
      <c r="F24" s="27">
        <v>6</v>
      </c>
      <c r="G24" s="27">
        <v>4</v>
      </c>
      <c r="H24" s="28">
        <f t="shared" si="4"/>
        <v>195</v>
      </c>
      <c r="I24" s="29">
        <f t="shared" si="0"/>
        <v>65</v>
      </c>
      <c r="J24" s="27">
        <f t="shared" si="1"/>
        <v>33</v>
      </c>
      <c r="K24" s="27" t="str">
        <f t="shared" si="5"/>
        <v>TUNTAS</v>
      </c>
      <c r="L24" s="13" t="str">
        <f t="shared" si="6"/>
        <v xml:space="preserve"> </v>
      </c>
      <c r="M24" s="1"/>
      <c r="N24" s="2">
        <f t="shared" si="7"/>
        <v>6.5</v>
      </c>
    </row>
    <row r="25" spans="1:14" ht="15.95" customHeight="1" x14ac:dyDescent="0.25">
      <c r="A25" s="30">
        <v>18</v>
      </c>
      <c r="B25" s="9" t="s">
        <v>1615</v>
      </c>
      <c r="C25" s="10" t="s">
        <v>1321</v>
      </c>
      <c r="D25" s="11" t="s">
        <v>284</v>
      </c>
      <c r="E25" s="27">
        <v>3</v>
      </c>
      <c r="F25" s="27">
        <v>1</v>
      </c>
      <c r="G25" s="27">
        <v>1</v>
      </c>
      <c r="H25" s="28">
        <f t="shared" si="4"/>
        <v>273</v>
      </c>
      <c r="I25" s="29">
        <f t="shared" si="0"/>
        <v>91</v>
      </c>
      <c r="J25" s="27">
        <f t="shared" si="1"/>
        <v>11</v>
      </c>
      <c r="K25" s="27" t="str">
        <f t="shared" si="5"/>
        <v>TUNTAS</v>
      </c>
      <c r="L25" s="13" t="str">
        <f t="shared" si="6"/>
        <v xml:space="preserve"> </v>
      </c>
      <c r="M25" s="1"/>
      <c r="N25" s="2">
        <f t="shared" si="7"/>
        <v>9.1</v>
      </c>
    </row>
    <row r="26" spans="1:14" ht="15.95" customHeight="1" x14ac:dyDescent="0.25">
      <c r="A26" s="13">
        <v>19</v>
      </c>
      <c r="B26" s="9" t="s">
        <v>1616</v>
      </c>
      <c r="C26" s="10" t="s">
        <v>1556</v>
      </c>
      <c r="D26" s="11" t="s">
        <v>284</v>
      </c>
      <c r="E26" s="27">
        <v>32</v>
      </c>
      <c r="F26" s="27">
        <v>32</v>
      </c>
      <c r="G26" s="27">
        <v>5</v>
      </c>
      <c r="H26" s="28">
        <f t="shared" si="4"/>
        <v>33</v>
      </c>
      <c r="I26" s="29">
        <f t="shared" si="0"/>
        <v>11</v>
      </c>
      <c r="J26" s="27">
        <f t="shared" si="1"/>
        <v>43</v>
      </c>
      <c r="K26" s="27" t="str">
        <f t="shared" si="5"/>
        <v>TIDAK HADIR</v>
      </c>
      <c r="L26" s="13" t="s">
        <v>3265</v>
      </c>
      <c r="M26" s="1"/>
      <c r="N26" s="2">
        <f t="shared" si="7"/>
        <v>1.1000000000000001</v>
      </c>
    </row>
    <row r="27" spans="1:14" ht="15.95" customHeight="1" x14ac:dyDescent="0.25">
      <c r="A27" s="13">
        <v>20</v>
      </c>
      <c r="B27" s="9" t="s">
        <v>1617</v>
      </c>
      <c r="C27" s="10" t="s">
        <v>838</v>
      </c>
      <c r="D27" s="11" t="s">
        <v>287</v>
      </c>
      <c r="E27" s="27">
        <v>6</v>
      </c>
      <c r="F27" s="27">
        <v>3</v>
      </c>
      <c r="G27" s="27">
        <v>3</v>
      </c>
      <c r="H27" s="28">
        <f t="shared" si="4"/>
        <v>228</v>
      </c>
      <c r="I27" s="29">
        <f t="shared" si="0"/>
        <v>76</v>
      </c>
      <c r="J27" s="27">
        <f t="shared" si="1"/>
        <v>21</v>
      </c>
      <c r="K27" s="27" t="str">
        <f t="shared" si="5"/>
        <v>TUNTAS</v>
      </c>
      <c r="L27" s="13" t="str">
        <f t="shared" si="6"/>
        <v xml:space="preserve"> </v>
      </c>
      <c r="M27" s="1"/>
      <c r="N27" s="2">
        <f t="shared" si="7"/>
        <v>7.6</v>
      </c>
    </row>
    <row r="28" spans="1:14" ht="15.95" customHeight="1" x14ac:dyDescent="0.25">
      <c r="A28" s="13">
        <v>21</v>
      </c>
      <c r="B28" s="9" t="s">
        <v>1618</v>
      </c>
      <c r="C28" s="10" t="s">
        <v>1064</v>
      </c>
      <c r="D28" s="11" t="s">
        <v>106</v>
      </c>
      <c r="E28" s="27">
        <v>12</v>
      </c>
      <c r="F28" s="27">
        <v>11</v>
      </c>
      <c r="G28" s="27">
        <v>6</v>
      </c>
      <c r="H28" s="28">
        <f t="shared" si="4"/>
        <v>141</v>
      </c>
      <c r="I28" s="29">
        <f t="shared" si="0"/>
        <v>47</v>
      </c>
      <c r="J28" s="27">
        <f t="shared" si="1"/>
        <v>40</v>
      </c>
      <c r="K28" s="27" t="str">
        <f t="shared" si="5"/>
        <v>TIDAK TUNTAS</v>
      </c>
      <c r="L28" s="13" t="str">
        <f t="shared" si="6"/>
        <v>TM</v>
      </c>
      <c r="M28" s="1"/>
      <c r="N28" s="2">
        <f t="shared" si="7"/>
        <v>4.7</v>
      </c>
    </row>
    <row r="29" spans="1:14" ht="15.95" customHeight="1" x14ac:dyDescent="0.25">
      <c r="A29" s="13">
        <v>22</v>
      </c>
      <c r="B29" s="9" t="s">
        <v>1619</v>
      </c>
      <c r="C29" s="10" t="s">
        <v>979</v>
      </c>
      <c r="D29" s="11" t="s">
        <v>42</v>
      </c>
      <c r="E29" s="27">
        <v>2</v>
      </c>
      <c r="F29" s="27">
        <v>1</v>
      </c>
      <c r="G29" s="27">
        <v>0</v>
      </c>
      <c r="H29" s="28">
        <f t="shared" si="4"/>
        <v>291</v>
      </c>
      <c r="I29" s="29">
        <f t="shared" si="0"/>
        <v>97</v>
      </c>
      <c r="J29" s="27">
        <f t="shared" si="1"/>
        <v>6</v>
      </c>
      <c r="K29" s="27" t="str">
        <f t="shared" si="5"/>
        <v>TUNTAS</v>
      </c>
      <c r="L29" s="13" t="str">
        <f t="shared" si="6"/>
        <v xml:space="preserve"> </v>
      </c>
      <c r="M29" s="1"/>
      <c r="N29" s="2">
        <f t="shared" si="7"/>
        <v>9.6999999999999993</v>
      </c>
    </row>
    <row r="30" spans="1:14" ht="15.95" customHeight="1" x14ac:dyDescent="0.25">
      <c r="A30" s="13">
        <v>23</v>
      </c>
      <c r="B30" s="9" t="s">
        <v>1620</v>
      </c>
      <c r="C30" s="10" t="s">
        <v>1245</v>
      </c>
      <c r="D30" s="11" t="s">
        <v>83</v>
      </c>
      <c r="E30" s="27">
        <v>3</v>
      </c>
      <c r="F30" s="27">
        <v>2</v>
      </c>
      <c r="G30" s="27">
        <v>3</v>
      </c>
      <c r="H30" s="28">
        <f t="shared" si="4"/>
        <v>240</v>
      </c>
      <c r="I30" s="29">
        <f t="shared" si="0"/>
        <v>80</v>
      </c>
      <c r="J30" s="27">
        <f t="shared" si="1"/>
        <v>19</v>
      </c>
      <c r="K30" s="27" t="str">
        <f t="shared" si="5"/>
        <v>TUNTAS</v>
      </c>
      <c r="L30" s="13" t="str">
        <f t="shared" si="6"/>
        <v xml:space="preserve"> </v>
      </c>
      <c r="M30" s="1"/>
      <c r="N30" s="2">
        <f t="shared" si="7"/>
        <v>8</v>
      </c>
    </row>
    <row r="31" spans="1:14" ht="15.95" customHeight="1" x14ac:dyDescent="0.25">
      <c r="A31" s="13">
        <v>24</v>
      </c>
      <c r="B31" s="9" t="s">
        <v>1621</v>
      </c>
      <c r="C31" s="10" t="s">
        <v>1482</v>
      </c>
      <c r="D31" s="11" t="s">
        <v>45</v>
      </c>
      <c r="E31" s="27">
        <v>15</v>
      </c>
      <c r="F31" s="27">
        <v>18</v>
      </c>
      <c r="G31" s="27">
        <v>5</v>
      </c>
      <c r="H31" s="28">
        <f t="shared" si="4"/>
        <v>126</v>
      </c>
      <c r="I31" s="29">
        <f t="shared" si="0"/>
        <v>42</v>
      </c>
      <c r="J31" s="27">
        <f t="shared" si="1"/>
        <v>41</v>
      </c>
      <c r="K31" s="27" t="str">
        <f t="shared" si="5"/>
        <v>TIDAK TUNTAS</v>
      </c>
      <c r="L31" s="13" t="str">
        <f t="shared" si="6"/>
        <v xml:space="preserve"> </v>
      </c>
      <c r="M31" s="1"/>
      <c r="N31" s="2">
        <f t="shared" si="7"/>
        <v>4.2</v>
      </c>
    </row>
    <row r="32" spans="1:14" ht="15.95" customHeight="1" x14ac:dyDescent="0.25">
      <c r="A32" s="13">
        <v>25</v>
      </c>
      <c r="B32" s="9" t="s">
        <v>1622</v>
      </c>
      <c r="C32" s="10" t="s">
        <v>984</v>
      </c>
      <c r="D32" s="11" t="s">
        <v>45</v>
      </c>
      <c r="E32" s="27">
        <v>1</v>
      </c>
      <c r="F32" s="27">
        <v>1</v>
      </c>
      <c r="G32" s="27">
        <v>5</v>
      </c>
      <c r="H32" s="28">
        <f t="shared" si="4"/>
        <v>219</v>
      </c>
      <c r="I32" s="29">
        <f t="shared" si="0"/>
        <v>73</v>
      </c>
      <c r="J32" s="27">
        <f t="shared" si="1"/>
        <v>25</v>
      </c>
      <c r="K32" s="27" t="str">
        <f t="shared" si="5"/>
        <v>TUNTAS</v>
      </c>
      <c r="L32" s="13" t="str">
        <f t="shared" si="6"/>
        <v xml:space="preserve"> </v>
      </c>
      <c r="M32" s="1"/>
      <c r="N32" s="2">
        <f t="shared" si="7"/>
        <v>7.3</v>
      </c>
    </row>
    <row r="33" spans="1:14" ht="15.95" customHeight="1" x14ac:dyDescent="0.25">
      <c r="A33" s="13">
        <v>26</v>
      </c>
      <c r="B33" s="9" t="s">
        <v>1623</v>
      </c>
      <c r="C33" s="10" t="s">
        <v>988</v>
      </c>
      <c r="D33" s="11" t="s">
        <v>128</v>
      </c>
      <c r="E33" s="27">
        <v>7</v>
      </c>
      <c r="F33" s="27">
        <v>6</v>
      </c>
      <c r="G33" s="27">
        <v>4</v>
      </c>
      <c r="H33" s="28">
        <f t="shared" si="4"/>
        <v>201</v>
      </c>
      <c r="I33" s="29">
        <f t="shared" si="0"/>
        <v>67</v>
      </c>
      <c r="J33" s="27">
        <f t="shared" si="1"/>
        <v>30</v>
      </c>
      <c r="K33" s="27" t="str">
        <f t="shared" si="5"/>
        <v>TUNTAS</v>
      </c>
      <c r="L33" s="13" t="str">
        <f t="shared" si="6"/>
        <v xml:space="preserve"> </v>
      </c>
      <c r="M33" s="1"/>
      <c r="N33" s="2">
        <f t="shared" si="7"/>
        <v>6.7</v>
      </c>
    </row>
    <row r="34" spans="1:14" ht="15.95" customHeight="1" x14ac:dyDescent="0.25">
      <c r="A34" s="13">
        <v>27</v>
      </c>
      <c r="B34" s="9" t="s">
        <v>1624</v>
      </c>
      <c r="C34" s="10" t="s">
        <v>1337</v>
      </c>
      <c r="D34" s="11" t="s">
        <v>47</v>
      </c>
      <c r="E34" s="27">
        <v>0</v>
      </c>
      <c r="F34" s="27">
        <v>0</v>
      </c>
      <c r="G34" s="27">
        <v>0</v>
      </c>
      <c r="H34" s="28">
        <f t="shared" si="4"/>
        <v>300</v>
      </c>
      <c r="I34" s="29">
        <f t="shared" si="0"/>
        <v>100</v>
      </c>
      <c r="J34" s="27">
        <f t="shared" si="1"/>
        <v>1</v>
      </c>
      <c r="K34" s="27" t="str">
        <f t="shared" si="5"/>
        <v>TUNTAS</v>
      </c>
      <c r="L34" s="13" t="str">
        <f t="shared" si="6"/>
        <v xml:space="preserve"> </v>
      </c>
      <c r="M34" s="1"/>
      <c r="N34" s="2">
        <f t="shared" si="7"/>
        <v>10</v>
      </c>
    </row>
    <row r="35" spans="1:14" ht="15.95" customHeight="1" x14ac:dyDescent="0.25">
      <c r="A35" s="13">
        <v>28</v>
      </c>
      <c r="B35" s="9" t="s">
        <v>1625</v>
      </c>
      <c r="C35" s="10" t="s">
        <v>993</v>
      </c>
      <c r="D35" s="11" t="s">
        <v>108</v>
      </c>
      <c r="E35" s="27">
        <v>3</v>
      </c>
      <c r="F35" s="27">
        <v>0</v>
      </c>
      <c r="G35" s="27">
        <v>0</v>
      </c>
      <c r="H35" s="28">
        <f t="shared" si="4"/>
        <v>291</v>
      </c>
      <c r="I35" s="29">
        <f t="shared" si="0"/>
        <v>97</v>
      </c>
      <c r="J35" s="27">
        <f t="shared" si="1"/>
        <v>6</v>
      </c>
      <c r="K35" s="27" t="str">
        <f t="shared" si="5"/>
        <v>TUNTAS</v>
      </c>
      <c r="L35" s="13" t="str">
        <f t="shared" si="6"/>
        <v xml:space="preserve"> </v>
      </c>
      <c r="M35" s="1"/>
      <c r="N35" s="2">
        <f t="shared" si="7"/>
        <v>9.6999999999999993</v>
      </c>
    </row>
    <row r="36" spans="1:14" ht="15.95" customHeight="1" x14ac:dyDescent="0.25">
      <c r="A36" s="13">
        <v>29</v>
      </c>
      <c r="B36" s="9" t="s">
        <v>1626</v>
      </c>
      <c r="C36" s="10" t="s">
        <v>1494</v>
      </c>
      <c r="D36" s="11" t="s">
        <v>52</v>
      </c>
      <c r="E36" s="27">
        <v>7</v>
      </c>
      <c r="F36" s="27">
        <v>6</v>
      </c>
      <c r="G36" s="27">
        <v>4</v>
      </c>
      <c r="H36" s="28">
        <f t="shared" si="4"/>
        <v>201</v>
      </c>
      <c r="I36" s="29">
        <f t="shared" si="0"/>
        <v>67</v>
      </c>
      <c r="J36" s="27">
        <f t="shared" si="1"/>
        <v>30</v>
      </c>
      <c r="K36" s="27" t="str">
        <f t="shared" si="5"/>
        <v>TUNTAS</v>
      </c>
      <c r="L36" s="13" t="str">
        <f t="shared" si="6"/>
        <v xml:space="preserve"> </v>
      </c>
      <c r="M36" s="1"/>
      <c r="N36" s="2">
        <f t="shared" si="7"/>
        <v>6.7</v>
      </c>
    </row>
    <row r="37" spans="1:14" ht="15.95" customHeight="1" x14ac:dyDescent="0.25">
      <c r="A37" s="13">
        <v>30</v>
      </c>
      <c r="B37" s="9" t="s">
        <v>1627</v>
      </c>
      <c r="C37" s="10" t="s">
        <v>1345</v>
      </c>
      <c r="D37" s="11" t="s">
        <v>54</v>
      </c>
      <c r="E37" s="27">
        <v>5</v>
      </c>
      <c r="F37" s="27">
        <v>2</v>
      </c>
      <c r="G37" s="27">
        <v>1</v>
      </c>
      <c r="H37" s="28">
        <f t="shared" si="4"/>
        <v>264</v>
      </c>
      <c r="I37" s="29">
        <f t="shared" si="0"/>
        <v>88</v>
      </c>
      <c r="J37" s="27">
        <f t="shared" si="1"/>
        <v>13</v>
      </c>
      <c r="K37" s="27" t="str">
        <f t="shared" si="5"/>
        <v>TUNTAS</v>
      </c>
      <c r="L37" s="13" t="str">
        <f t="shared" si="6"/>
        <v xml:space="preserve"> </v>
      </c>
      <c r="M37" s="1"/>
      <c r="N37" s="2">
        <f t="shared" si="7"/>
        <v>8.8000000000000007</v>
      </c>
    </row>
    <row r="38" spans="1:14" ht="15.95" customHeight="1" x14ac:dyDescent="0.25">
      <c r="A38" s="13">
        <v>31</v>
      </c>
      <c r="B38" s="9" t="s">
        <v>1628</v>
      </c>
      <c r="C38" s="10" t="s">
        <v>1172</v>
      </c>
      <c r="D38" s="11" t="s">
        <v>55</v>
      </c>
      <c r="E38" s="27">
        <v>17</v>
      </c>
      <c r="F38" s="27">
        <v>15</v>
      </c>
      <c r="G38" s="27">
        <v>3</v>
      </c>
      <c r="H38" s="28">
        <f t="shared" si="4"/>
        <v>159</v>
      </c>
      <c r="I38" s="29">
        <f t="shared" si="0"/>
        <v>53</v>
      </c>
      <c r="J38" s="27">
        <f t="shared" si="1"/>
        <v>36</v>
      </c>
      <c r="K38" s="27" t="str">
        <f t="shared" si="5"/>
        <v>TIDAK TUNTAS</v>
      </c>
      <c r="L38" s="13" t="str">
        <f t="shared" si="6"/>
        <v xml:space="preserve"> </v>
      </c>
      <c r="M38" s="1"/>
      <c r="N38" s="2">
        <f t="shared" si="7"/>
        <v>5.3</v>
      </c>
    </row>
    <row r="39" spans="1:14" ht="15.95" customHeight="1" x14ac:dyDescent="0.25">
      <c r="A39" s="13">
        <v>32</v>
      </c>
      <c r="B39" s="9" t="s">
        <v>1629</v>
      </c>
      <c r="C39" s="10" t="s">
        <v>998</v>
      </c>
      <c r="D39" s="11" t="s">
        <v>56</v>
      </c>
      <c r="E39" s="27">
        <v>11</v>
      </c>
      <c r="F39" s="27">
        <v>6</v>
      </c>
      <c r="G39" s="27">
        <v>2</v>
      </c>
      <c r="H39" s="28">
        <f t="shared" si="4"/>
        <v>219</v>
      </c>
      <c r="I39" s="29">
        <f t="shared" si="0"/>
        <v>73</v>
      </c>
      <c r="J39" s="27">
        <f t="shared" si="1"/>
        <v>25</v>
      </c>
      <c r="K39" s="27" t="str">
        <f t="shared" si="5"/>
        <v>TUNTAS</v>
      </c>
      <c r="L39" s="13" t="str">
        <f t="shared" si="6"/>
        <v xml:space="preserve"> </v>
      </c>
      <c r="M39" s="1"/>
      <c r="N39" s="2">
        <f t="shared" si="7"/>
        <v>7.3</v>
      </c>
    </row>
    <row r="40" spans="1:14" ht="15.95" customHeight="1" x14ac:dyDescent="0.25">
      <c r="A40" s="13">
        <v>33</v>
      </c>
      <c r="B40" s="9" t="s">
        <v>1630</v>
      </c>
      <c r="C40" s="10" t="s">
        <v>1000</v>
      </c>
      <c r="D40" s="11" t="s">
        <v>95</v>
      </c>
      <c r="E40" s="27">
        <v>3</v>
      </c>
      <c r="F40" s="27">
        <v>2</v>
      </c>
      <c r="G40" s="27">
        <v>2</v>
      </c>
      <c r="H40" s="28">
        <f t="shared" si="4"/>
        <v>255</v>
      </c>
      <c r="I40" s="29">
        <f t="shared" si="0"/>
        <v>85</v>
      </c>
      <c r="J40" s="27">
        <f t="shared" si="1"/>
        <v>15</v>
      </c>
      <c r="K40" s="27" t="str">
        <f t="shared" si="5"/>
        <v>TUNTAS</v>
      </c>
      <c r="L40" s="13" t="str">
        <f t="shared" si="6"/>
        <v xml:space="preserve"> </v>
      </c>
      <c r="M40" s="1"/>
      <c r="N40" s="2">
        <f t="shared" si="7"/>
        <v>8.5</v>
      </c>
    </row>
    <row r="41" spans="1:14" ht="15.95" customHeight="1" x14ac:dyDescent="0.25">
      <c r="A41" s="13">
        <v>34</v>
      </c>
      <c r="B41" s="9" t="s">
        <v>1631</v>
      </c>
      <c r="C41" s="10" t="s">
        <v>1002</v>
      </c>
      <c r="D41" s="11" t="s">
        <v>139</v>
      </c>
      <c r="E41" s="27">
        <v>14</v>
      </c>
      <c r="F41" s="27">
        <v>7</v>
      </c>
      <c r="G41" s="27">
        <v>6</v>
      </c>
      <c r="H41" s="28">
        <f t="shared" si="4"/>
        <v>147</v>
      </c>
      <c r="I41" s="29">
        <f t="shared" si="0"/>
        <v>49</v>
      </c>
      <c r="J41" s="27">
        <f t="shared" si="1"/>
        <v>39</v>
      </c>
      <c r="K41" s="27" t="str">
        <f t="shared" si="5"/>
        <v>TIDAK TUNTAS</v>
      </c>
      <c r="L41" s="13" t="str">
        <f t="shared" si="6"/>
        <v>TM</v>
      </c>
      <c r="M41" s="1"/>
      <c r="N41" s="2">
        <f t="shared" si="7"/>
        <v>4.9000000000000004</v>
      </c>
    </row>
    <row r="42" spans="1:14" ht="15.95" customHeight="1" x14ac:dyDescent="0.25">
      <c r="A42" s="13">
        <v>35</v>
      </c>
      <c r="B42" s="9" t="s">
        <v>1632</v>
      </c>
      <c r="C42" s="10" t="s">
        <v>1352</v>
      </c>
      <c r="D42" s="11" t="s">
        <v>61</v>
      </c>
      <c r="E42" s="27">
        <v>3</v>
      </c>
      <c r="F42" s="27">
        <v>1</v>
      </c>
      <c r="G42" s="27">
        <v>3</v>
      </c>
      <c r="H42" s="28">
        <f t="shared" si="4"/>
        <v>243</v>
      </c>
      <c r="I42" s="29">
        <f t="shared" si="0"/>
        <v>81</v>
      </c>
      <c r="J42" s="27">
        <f t="shared" si="1"/>
        <v>16</v>
      </c>
      <c r="K42" s="27" t="str">
        <f t="shared" si="5"/>
        <v>TUNTAS</v>
      </c>
      <c r="L42" s="13" t="str">
        <f t="shared" si="6"/>
        <v xml:space="preserve"> </v>
      </c>
      <c r="M42" s="1"/>
      <c r="N42" s="2">
        <f t="shared" si="7"/>
        <v>8.1</v>
      </c>
    </row>
    <row r="43" spans="1:14" ht="15.95" customHeight="1" x14ac:dyDescent="0.25">
      <c r="A43" s="13">
        <v>36</v>
      </c>
      <c r="B43" s="9" t="s">
        <v>1634</v>
      </c>
      <c r="C43" s="10" t="s">
        <v>1354</v>
      </c>
      <c r="D43" s="11" t="s">
        <v>119</v>
      </c>
      <c r="E43" s="27">
        <v>0</v>
      </c>
      <c r="F43" s="27">
        <v>1</v>
      </c>
      <c r="G43" s="27">
        <v>1</v>
      </c>
      <c r="H43" s="28">
        <f t="shared" si="4"/>
        <v>282</v>
      </c>
      <c r="I43" s="29">
        <f t="shared" si="0"/>
        <v>94</v>
      </c>
      <c r="J43" s="27">
        <f t="shared" si="1"/>
        <v>8</v>
      </c>
      <c r="K43" s="27" t="str">
        <f t="shared" si="5"/>
        <v>TUNTAS</v>
      </c>
      <c r="L43" s="13" t="str">
        <f t="shared" si="6"/>
        <v xml:space="preserve"> </v>
      </c>
      <c r="M43" s="1"/>
      <c r="N43" s="2">
        <f t="shared" si="7"/>
        <v>9.4</v>
      </c>
    </row>
    <row r="44" spans="1:14" ht="15.95" customHeight="1" x14ac:dyDescent="0.25">
      <c r="A44" s="13">
        <v>37</v>
      </c>
      <c r="B44" s="9" t="s">
        <v>1635</v>
      </c>
      <c r="C44" s="10" t="s">
        <v>1008</v>
      </c>
      <c r="D44" s="11" t="s">
        <v>86</v>
      </c>
      <c r="E44" s="27">
        <v>2</v>
      </c>
      <c r="F44" s="27">
        <v>7</v>
      </c>
      <c r="G44" s="27">
        <v>3</v>
      </c>
      <c r="H44" s="28">
        <f t="shared" si="4"/>
        <v>228</v>
      </c>
      <c r="I44" s="29">
        <f t="shared" si="0"/>
        <v>76</v>
      </c>
      <c r="J44" s="27">
        <f t="shared" si="1"/>
        <v>21</v>
      </c>
      <c r="K44" s="27" t="str">
        <f t="shared" si="5"/>
        <v>TUNTAS</v>
      </c>
      <c r="L44" s="13" t="str">
        <f t="shared" si="6"/>
        <v xml:space="preserve"> </v>
      </c>
      <c r="M44" s="1"/>
      <c r="N44" s="2">
        <f t="shared" si="7"/>
        <v>7.6</v>
      </c>
    </row>
    <row r="45" spans="1:14" ht="15.95" customHeight="1" x14ac:dyDescent="0.25">
      <c r="A45" s="13">
        <v>38</v>
      </c>
      <c r="B45" s="9" t="s">
        <v>1636</v>
      </c>
      <c r="C45" s="10" t="s">
        <v>918</v>
      </c>
      <c r="D45" s="11" t="s">
        <v>67</v>
      </c>
      <c r="E45" s="27">
        <v>3</v>
      </c>
      <c r="F45" s="27">
        <v>1</v>
      </c>
      <c r="G45" s="27">
        <v>3</v>
      </c>
      <c r="H45" s="28">
        <f t="shared" si="4"/>
        <v>243</v>
      </c>
      <c r="I45" s="29">
        <f t="shared" si="0"/>
        <v>81</v>
      </c>
      <c r="J45" s="27">
        <f t="shared" si="1"/>
        <v>16</v>
      </c>
      <c r="K45" s="27" t="str">
        <f t="shared" si="5"/>
        <v>TUNTAS</v>
      </c>
      <c r="L45" s="13" t="str">
        <f t="shared" si="6"/>
        <v xml:space="preserve"> </v>
      </c>
      <c r="M45" s="1"/>
      <c r="N45" s="2">
        <f t="shared" si="7"/>
        <v>8.1</v>
      </c>
    </row>
    <row r="46" spans="1:14" ht="15.95" customHeight="1" x14ac:dyDescent="0.25">
      <c r="A46" s="13">
        <v>39</v>
      </c>
      <c r="B46" s="9" t="s">
        <v>1637</v>
      </c>
      <c r="C46" s="10" t="s">
        <v>1102</v>
      </c>
      <c r="D46" s="11" t="s">
        <v>69</v>
      </c>
      <c r="E46" s="27">
        <v>1</v>
      </c>
      <c r="F46" s="27">
        <v>0</v>
      </c>
      <c r="G46" s="27">
        <v>0</v>
      </c>
      <c r="H46" s="28">
        <f t="shared" si="4"/>
        <v>297</v>
      </c>
      <c r="I46" s="29">
        <f t="shared" si="0"/>
        <v>99</v>
      </c>
      <c r="J46" s="27">
        <f t="shared" si="1"/>
        <v>4</v>
      </c>
      <c r="K46" s="27" t="str">
        <f t="shared" si="5"/>
        <v>TUNTAS</v>
      </c>
      <c r="L46" s="13" t="str">
        <f t="shared" si="6"/>
        <v xml:space="preserve"> </v>
      </c>
      <c r="M46" s="1"/>
      <c r="N46" s="2">
        <f t="shared" si="7"/>
        <v>9.9</v>
      </c>
    </row>
    <row r="47" spans="1:14" ht="15.95" customHeight="1" x14ac:dyDescent="0.25">
      <c r="A47" s="13">
        <v>40</v>
      </c>
      <c r="B47" s="9" t="s">
        <v>1638</v>
      </c>
      <c r="C47" s="10" t="s">
        <v>1367</v>
      </c>
      <c r="D47" s="11" t="s">
        <v>99</v>
      </c>
      <c r="E47" s="27">
        <v>13</v>
      </c>
      <c r="F47" s="27">
        <v>12</v>
      </c>
      <c r="G47" s="27">
        <v>5</v>
      </c>
      <c r="H47" s="28">
        <f t="shared" si="4"/>
        <v>150</v>
      </c>
      <c r="I47" s="29">
        <f t="shared" si="0"/>
        <v>50</v>
      </c>
      <c r="J47" s="27">
        <f t="shared" si="1"/>
        <v>38</v>
      </c>
      <c r="K47" s="27" t="str">
        <f t="shared" si="5"/>
        <v>TIDAK TUNTAS</v>
      </c>
      <c r="L47" s="13" t="str">
        <f t="shared" si="6"/>
        <v xml:space="preserve"> </v>
      </c>
      <c r="M47" s="1"/>
      <c r="N47" s="2">
        <f t="shared" si="7"/>
        <v>5</v>
      </c>
    </row>
    <row r="48" spans="1:14" ht="15.95" customHeight="1" x14ac:dyDescent="0.25">
      <c r="A48" s="13">
        <v>41</v>
      </c>
      <c r="B48" s="9" t="s">
        <v>1639</v>
      </c>
      <c r="C48" s="10" t="s">
        <v>1593</v>
      </c>
      <c r="D48" s="11" t="s">
        <v>70</v>
      </c>
      <c r="E48" s="27">
        <v>4</v>
      </c>
      <c r="F48" s="27">
        <v>0</v>
      </c>
      <c r="G48" s="27">
        <v>4</v>
      </c>
      <c r="H48" s="28">
        <f t="shared" si="4"/>
        <v>228</v>
      </c>
      <c r="I48" s="29">
        <f t="shared" si="0"/>
        <v>76</v>
      </c>
      <c r="J48" s="27">
        <f t="shared" si="1"/>
        <v>21</v>
      </c>
      <c r="K48" s="27" t="str">
        <f t="shared" si="5"/>
        <v>TUNTAS</v>
      </c>
      <c r="L48" s="13" t="str">
        <f t="shared" si="6"/>
        <v xml:space="preserve"> </v>
      </c>
      <c r="M48" s="1"/>
      <c r="N48" s="2">
        <f t="shared" si="7"/>
        <v>7.6</v>
      </c>
    </row>
    <row r="49" spans="1:14" ht="15.95" customHeight="1" x14ac:dyDescent="0.25">
      <c r="A49" s="13">
        <v>42</v>
      </c>
      <c r="B49" s="9" t="s">
        <v>1640</v>
      </c>
      <c r="C49" s="10" t="s">
        <v>1369</v>
      </c>
      <c r="D49" s="11" t="s">
        <v>131</v>
      </c>
      <c r="E49" s="27">
        <v>5</v>
      </c>
      <c r="F49" s="27">
        <v>8</v>
      </c>
      <c r="G49" s="27">
        <v>3</v>
      </c>
      <c r="H49" s="28">
        <f t="shared" si="4"/>
        <v>216</v>
      </c>
      <c r="I49" s="29">
        <f t="shared" si="0"/>
        <v>72</v>
      </c>
      <c r="J49" s="27">
        <f t="shared" si="1"/>
        <v>27</v>
      </c>
      <c r="K49" s="27" t="str">
        <f t="shared" si="5"/>
        <v>TUNTAS</v>
      </c>
      <c r="L49" s="13" t="str">
        <f t="shared" si="6"/>
        <v xml:space="preserve"> </v>
      </c>
      <c r="M49" s="1"/>
      <c r="N49" s="2">
        <f t="shared" si="7"/>
        <v>7.2</v>
      </c>
    </row>
    <row r="50" spans="1:14" ht="15.95" customHeight="1" x14ac:dyDescent="0.25">
      <c r="A50" s="13">
        <v>43</v>
      </c>
      <c r="B50" s="9" t="s">
        <v>1641</v>
      </c>
      <c r="C50" s="10" t="s">
        <v>925</v>
      </c>
      <c r="D50" s="11" t="s">
        <v>72</v>
      </c>
      <c r="E50" s="27">
        <v>13</v>
      </c>
      <c r="F50" s="27">
        <v>15</v>
      </c>
      <c r="G50" s="27">
        <v>6</v>
      </c>
      <c r="H50" s="28">
        <f t="shared" si="4"/>
        <v>126</v>
      </c>
      <c r="I50" s="29">
        <f t="shared" si="0"/>
        <v>42</v>
      </c>
      <c r="J50" s="27">
        <f t="shared" si="1"/>
        <v>41</v>
      </c>
      <c r="K50" s="27" t="str">
        <f t="shared" si="5"/>
        <v>TIDAK TUNTAS</v>
      </c>
      <c r="L50" s="13" t="str">
        <f t="shared" si="6"/>
        <v>TM</v>
      </c>
      <c r="M50" s="1"/>
      <c r="N50" s="2">
        <f t="shared" si="7"/>
        <v>4.2</v>
      </c>
    </row>
    <row r="51" spans="1:14" ht="15.95" customHeight="1" x14ac:dyDescent="0.25">
      <c r="A51" s="13">
        <v>44</v>
      </c>
      <c r="B51" s="9" t="s">
        <v>1642</v>
      </c>
      <c r="C51" s="10" t="s">
        <v>1371</v>
      </c>
      <c r="D51" s="11" t="s">
        <v>72</v>
      </c>
      <c r="E51" s="27">
        <v>10</v>
      </c>
      <c r="F51" s="27">
        <v>4</v>
      </c>
      <c r="G51" s="27">
        <v>1</v>
      </c>
      <c r="H51" s="28">
        <f t="shared" si="4"/>
        <v>243</v>
      </c>
      <c r="I51" s="29">
        <f t="shared" si="0"/>
        <v>81</v>
      </c>
      <c r="J51" s="27">
        <f t="shared" si="1"/>
        <v>16</v>
      </c>
      <c r="K51" s="27" t="str">
        <f t="shared" si="5"/>
        <v>TUNTAS</v>
      </c>
      <c r="L51" s="13" t="str">
        <f t="shared" si="6"/>
        <v xml:space="preserve"> </v>
      </c>
      <c r="M51" s="1"/>
      <c r="N51" s="2">
        <f t="shared" si="7"/>
        <v>8.1</v>
      </c>
    </row>
    <row r="52" spans="1:14" ht="15.95" customHeight="1" x14ac:dyDescent="0.25">
      <c r="A52" s="13">
        <v>45</v>
      </c>
      <c r="B52" s="9" t="s">
        <v>1643</v>
      </c>
      <c r="C52" s="10" t="s">
        <v>927</v>
      </c>
      <c r="D52" s="11" t="s">
        <v>89</v>
      </c>
      <c r="E52" s="27">
        <v>5</v>
      </c>
      <c r="F52" s="27">
        <v>4</v>
      </c>
      <c r="G52" s="27">
        <v>1</v>
      </c>
      <c r="H52" s="28">
        <f t="shared" si="4"/>
        <v>258</v>
      </c>
      <c r="I52" s="29">
        <f t="shared" si="0"/>
        <v>86</v>
      </c>
      <c r="J52" s="27">
        <f t="shared" si="1"/>
        <v>14</v>
      </c>
      <c r="K52" s="27" t="str">
        <f t="shared" si="5"/>
        <v>TUNTAS</v>
      </c>
      <c r="L52" s="13" t="str">
        <f t="shared" si="6"/>
        <v xml:space="preserve"> </v>
      </c>
      <c r="M52" s="1"/>
      <c r="N52" s="2">
        <f t="shared" si="7"/>
        <v>8.6</v>
      </c>
    </row>
  </sheetData>
  <mergeCells count="11">
    <mergeCell ref="J5:J7"/>
    <mergeCell ref="K5:K6"/>
    <mergeCell ref="L5:L7"/>
    <mergeCell ref="A4:I4"/>
    <mergeCell ref="A5:A7"/>
    <mergeCell ref="B5:B7"/>
    <mergeCell ref="C5:C7"/>
    <mergeCell ref="D5:D7"/>
    <mergeCell ref="E5:G5"/>
    <mergeCell ref="H5:H7"/>
    <mergeCell ref="I5:I7"/>
  </mergeCells>
  <conditionalFormatting sqref="D8:D10">
    <cfRule type="cellIs" dxfId="8" priority="19" operator="equal">
      <formula>0</formula>
    </cfRule>
  </conditionalFormatting>
  <conditionalFormatting sqref="I8:I52">
    <cfRule type="cellIs" dxfId="7" priority="13" operator="lessThan">
      <formula>60</formula>
    </cfRule>
    <cfRule type="cellIs" dxfId="6" priority="14" operator="lessThan">
      <formula>60</formula>
    </cfRule>
    <cfRule type="cellIs" dxfId="5" priority="15" operator="lessThan">
      <formula>50</formula>
    </cfRule>
  </conditionalFormatting>
  <conditionalFormatting sqref="K8:K52">
    <cfRule type="cellIs" dxfId="4" priority="1" operator="equal">
      <formula>"TIDAK BACA"</formula>
    </cfRule>
    <cfRule type="cellIs" dxfId="3" priority="2" operator="equal">
      <formula>"TIDAK TUNTAS"</formula>
    </cfRule>
    <cfRule type="cellIs" dxfId="2" priority="3" operator="equal">
      <formula>"TUNTAS"</formula>
    </cfRule>
    <cfRule type="cellIs" dxfId="1" priority="4" operator="equal">
      <formula>"TIDAK HADIR"</formula>
    </cfRule>
    <cfRule type="cellIs" dxfId="0" priority="5" operator="equal">
      <formula>"TIDAK MUROD"</formula>
    </cfRule>
  </conditionalFormatting>
  <dataValidations count="1">
    <dataValidation showInputMessage="1" showErrorMessage="1" errorTitle="Kesalahan Pengisian" error="NIS Lokal harus terdiri dari 18 digit. Tidak boleh mengandung karakter lain selain angka, baik karakter spasi ( ), karakter titik (.), karakter koma (,), karakter strip (-), dll." promptTitle="Petunjuk Pengisian" prompt="Diisi dengan Nama Lengkap Santri Diniyah Takmiliyah." sqref="C16:D16 C29:D29 C31 C18:D23 C13:D14 C25:D27" xr:uid="{FBA1AC30-6C69-4B3F-BC6B-9FC1966EDC29}"/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42</vt:i4>
      </vt:variant>
    </vt:vector>
  </HeadingPairs>
  <TitlesOfParts>
    <vt:vector size="73" baseType="lpstr">
      <vt:lpstr>3A</vt:lpstr>
      <vt:lpstr>3B</vt:lpstr>
      <vt:lpstr>3C</vt:lpstr>
      <vt:lpstr>3D</vt:lpstr>
      <vt:lpstr>3E</vt:lpstr>
      <vt:lpstr>3F</vt:lpstr>
      <vt:lpstr>3G</vt:lpstr>
      <vt:lpstr>3H</vt:lpstr>
      <vt:lpstr>3I</vt:lpstr>
      <vt:lpstr>3J</vt:lpstr>
      <vt:lpstr>4A</vt:lpstr>
      <vt:lpstr>4B</vt:lpstr>
      <vt:lpstr>4C</vt:lpstr>
      <vt:lpstr>4D</vt:lpstr>
      <vt:lpstr>4E</vt:lpstr>
      <vt:lpstr>4F</vt:lpstr>
      <vt:lpstr>4G</vt:lpstr>
      <vt:lpstr>4H</vt:lpstr>
      <vt:lpstr>4I</vt:lpstr>
      <vt:lpstr>5A</vt:lpstr>
      <vt:lpstr>5B</vt:lpstr>
      <vt:lpstr>5C</vt:lpstr>
      <vt:lpstr>5D</vt:lpstr>
      <vt:lpstr>5E</vt:lpstr>
      <vt:lpstr>5F</vt:lpstr>
      <vt:lpstr>6A</vt:lpstr>
      <vt:lpstr>6B</vt:lpstr>
      <vt:lpstr>6C</vt:lpstr>
      <vt:lpstr>6D</vt:lpstr>
      <vt:lpstr>6E</vt:lpstr>
      <vt:lpstr>6F</vt:lpstr>
      <vt:lpstr>'4A'!Print_Area</vt:lpstr>
      <vt:lpstr>'4B'!Print_Area</vt:lpstr>
      <vt:lpstr>'4C'!Print_Area</vt:lpstr>
      <vt:lpstr>'4D'!Print_Area</vt:lpstr>
      <vt:lpstr>'4E'!Print_Area</vt:lpstr>
      <vt:lpstr>'4F'!Print_Area</vt:lpstr>
      <vt:lpstr>'4G'!Print_Area</vt:lpstr>
      <vt:lpstr>'4H'!Print_Area</vt:lpstr>
      <vt:lpstr>'4I'!Print_Area</vt:lpstr>
      <vt:lpstr>'5A'!Print_Area</vt:lpstr>
      <vt:lpstr>'5B'!Print_Area</vt:lpstr>
      <vt:lpstr>'5C'!Print_Area</vt:lpstr>
      <vt:lpstr>'5D'!Print_Area</vt:lpstr>
      <vt:lpstr>'5E'!Print_Area</vt:lpstr>
      <vt:lpstr>'5F'!Print_Area</vt:lpstr>
      <vt:lpstr>'6A'!Print_Area</vt:lpstr>
      <vt:lpstr>'6B'!Print_Area</vt:lpstr>
      <vt:lpstr>'6C'!Print_Area</vt:lpstr>
      <vt:lpstr>'6D'!Print_Area</vt:lpstr>
      <vt:lpstr>'6E'!Print_Area</vt:lpstr>
      <vt:lpstr>'6F'!Print_Area</vt:lpstr>
      <vt:lpstr>'4A'!Print_Titles</vt:lpstr>
      <vt:lpstr>'4B'!Print_Titles</vt:lpstr>
      <vt:lpstr>'4C'!Print_Titles</vt:lpstr>
      <vt:lpstr>'4D'!Print_Titles</vt:lpstr>
      <vt:lpstr>'4E'!Print_Titles</vt:lpstr>
      <vt:lpstr>'4F'!Print_Titles</vt:lpstr>
      <vt:lpstr>'4G'!Print_Titles</vt:lpstr>
      <vt:lpstr>'4H'!Print_Titles</vt:lpstr>
      <vt:lpstr>'4I'!Print_Titles</vt:lpstr>
      <vt:lpstr>'5A'!Print_Titles</vt:lpstr>
      <vt:lpstr>'5B'!Print_Titles</vt:lpstr>
      <vt:lpstr>'5C'!Print_Titles</vt:lpstr>
      <vt:lpstr>'5D'!Print_Titles</vt:lpstr>
      <vt:lpstr>'5E'!Print_Titles</vt:lpstr>
      <vt:lpstr>'5F'!Print_Titles</vt:lpstr>
      <vt:lpstr>'6A'!Print_Titles</vt:lpstr>
      <vt:lpstr>'6B'!Print_Titles</vt:lpstr>
      <vt:lpstr>'6C'!Print_Titles</vt:lpstr>
      <vt:lpstr>'6D'!Print_Titles</vt:lpstr>
      <vt:lpstr>'6E'!Print_Titles</vt:lpstr>
      <vt:lpstr>'6F'!Print_Titles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MADINBAKID</dc:creator>
  <cp:lastModifiedBy>MADIN</cp:lastModifiedBy>
  <cp:lastPrinted>2026-06-25T01:46:18Z</cp:lastPrinted>
  <dcterms:created xsi:type="dcterms:W3CDTF">2020-06-13T14:39:00Z</dcterms:created>
  <dcterms:modified xsi:type="dcterms:W3CDTF">2026-07-04T09:16:19Z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87E4AA60C02241E2BD365D3C83509FCF_12</vt:lpwstr>
  </property>
  <property fmtid="{D5CDD505-2E9C-101B-9397-08002B2CF9AE}" pid="3" name="KSOProductBuildVer">
    <vt:lpwstr>2057-12.2.0.21546</vt:lpwstr>
  </property>
</Properties>
</file>