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 MDT 2026\15. ADM KWARTAL\1. BACA KITAB\NILAI BACA KITAB K1\"/>
    </mc:Choice>
  </mc:AlternateContent>
  <xr:revisionPtr revIDLastSave="0" documentId="13_ncr:1_{8B529DF4-D510-4013-B290-E40A539C69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NILAIAN" sheetId="5" r:id="rId1"/>
    <sheet name="I A " sheetId="6" r:id="rId2"/>
    <sheet name="I B" sheetId="7" r:id="rId3"/>
    <sheet name="I C" sheetId="8" r:id="rId4"/>
    <sheet name="II A" sheetId="9" r:id="rId5"/>
    <sheet name="II B" sheetId="10" r:id="rId6"/>
    <sheet name="II C" sheetId="13" r:id="rId7"/>
    <sheet name="III A" sheetId="12" r:id="rId8"/>
    <sheet name="III B" sheetId="11" r:id="rId9"/>
  </sheets>
  <definedNames>
    <definedName name="_xlnm._FilterDatabase" localSheetId="1" hidden="1">'I A '!$B$5:$L$7</definedName>
    <definedName name="_xlnm._FilterDatabase" localSheetId="2" hidden="1">'I B'!$B$5:$L$7</definedName>
    <definedName name="_xlnm._FilterDatabase" localSheetId="3" hidden="1">'I C'!$B$5:$L$7</definedName>
    <definedName name="_xlnm._FilterDatabase" localSheetId="4" hidden="1">'II A'!$B$5:$L$7</definedName>
    <definedName name="_xlnm._FilterDatabase" localSheetId="5" hidden="1">'II B'!$B$5:$L$7</definedName>
    <definedName name="_xlnm._FilterDatabase" localSheetId="6" hidden="1">'II C'!$B$5:$L$7</definedName>
    <definedName name="_xlnm._FilterDatabase" localSheetId="7" hidden="1">'III A'!$B$5:$L$7</definedName>
    <definedName name="_xlnm._FilterDatabase" localSheetId="8" hidden="1">'III B'!$B$5:$L$7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1" l="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8" i="11"/>
  <c r="N8" i="12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8" i="10"/>
  <c r="N8" i="13"/>
  <c r="N8" i="9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8" i="7"/>
  <c r="N8" i="8"/>
  <c r="J72" i="8"/>
  <c r="H72" i="8"/>
  <c r="I72" i="8" s="1"/>
  <c r="K72" i="8" s="1"/>
  <c r="H69" i="13" l="1"/>
  <c r="I69" i="13"/>
  <c r="K69" i="13"/>
  <c r="L38" i="11"/>
  <c r="L69" i="11"/>
  <c r="L68" i="11"/>
  <c r="L51" i="11"/>
  <c r="L9" i="7" l="1"/>
  <c r="L10" i="7"/>
  <c r="L11" i="7"/>
  <c r="L12" i="7"/>
  <c r="L13" i="7"/>
  <c r="L14" i="7"/>
  <c r="L15" i="7"/>
  <c r="L16" i="7"/>
  <c r="L18" i="7"/>
  <c r="L20" i="7"/>
  <c r="L21" i="7"/>
  <c r="L22" i="7"/>
  <c r="L23" i="7"/>
  <c r="L25" i="7"/>
  <c r="L26" i="7"/>
  <c r="L27" i="7"/>
  <c r="L28" i="7"/>
  <c r="L29" i="7"/>
  <c r="L30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6" i="7"/>
  <c r="L57" i="7"/>
  <c r="L58" i="7"/>
  <c r="L60" i="7"/>
  <c r="L61" i="7"/>
  <c r="L62" i="7"/>
  <c r="L64" i="7"/>
  <c r="L65" i="7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9" i="9"/>
  <c r="L10" i="9"/>
  <c r="L11" i="9"/>
  <c r="L13" i="9"/>
  <c r="L12" i="9"/>
  <c r="L14" i="9"/>
  <c r="L16" i="9"/>
  <c r="L17" i="9"/>
  <c r="L18" i="9"/>
  <c r="L19" i="9"/>
  <c r="L20" i="9"/>
  <c r="L21" i="9"/>
  <c r="L23" i="9"/>
  <c r="L22" i="9"/>
  <c r="L24" i="9"/>
  <c r="L25" i="9"/>
  <c r="L27" i="9"/>
  <c r="L26" i="9"/>
  <c r="L28" i="9"/>
  <c r="L30" i="9"/>
  <c r="L31" i="9"/>
  <c r="L32" i="9"/>
  <c r="L33" i="9"/>
  <c r="L34" i="9"/>
  <c r="L35" i="9"/>
  <c r="L36" i="9"/>
  <c r="L38" i="9"/>
  <c r="L39" i="9"/>
  <c r="L40" i="9"/>
  <c r="L41" i="9"/>
  <c r="L42" i="9"/>
  <c r="L43" i="9"/>
  <c r="L45" i="9"/>
  <c r="L46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9" i="10"/>
  <c r="L10" i="10"/>
  <c r="L11" i="10"/>
  <c r="L12" i="10"/>
  <c r="L13" i="10"/>
  <c r="L14" i="10"/>
  <c r="L15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30" i="10"/>
  <c r="L31" i="10"/>
  <c r="L32" i="10"/>
  <c r="L34" i="10"/>
  <c r="L35" i="10"/>
  <c r="L36" i="10"/>
  <c r="L37" i="10"/>
  <c r="L38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4" i="13"/>
  <c r="L25" i="13"/>
  <c r="L26" i="13"/>
  <c r="L27" i="13"/>
  <c r="L28" i="13"/>
  <c r="L29" i="13"/>
  <c r="L30" i="13"/>
  <c r="L31" i="13"/>
  <c r="L32" i="13"/>
  <c r="L33" i="13"/>
  <c r="L35" i="13"/>
  <c r="L36" i="13"/>
  <c r="L37" i="13"/>
  <c r="L38" i="13"/>
  <c r="L39" i="13"/>
  <c r="L40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6" i="13"/>
  <c r="L57" i="13"/>
  <c r="L58" i="13"/>
  <c r="L59" i="13"/>
  <c r="L60" i="13"/>
  <c r="L62" i="13"/>
  <c r="L63" i="13"/>
  <c r="L64" i="13"/>
  <c r="L67" i="13"/>
  <c r="L9" i="12"/>
  <c r="L11" i="12"/>
  <c r="L10" i="12"/>
  <c r="L12" i="12"/>
  <c r="L13" i="12"/>
  <c r="L14" i="12"/>
  <c r="L16" i="12"/>
  <c r="L15" i="12"/>
  <c r="L17" i="12"/>
  <c r="L18" i="12"/>
  <c r="L19" i="12"/>
  <c r="L20" i="12"/>
  <c r="L21" i="12"/>
  <c r="L22" i="12"/>
  <c r="L23" i="12"/>
  <c r="L24" i="12"/>
  <c r="L27" i="12"/>
  <c r="L26" i="12"/>
  <c r="L30" i="12"/>
  <c r="L29" i="12"/>
  <c r="L28" i="12"/>
  <c r="L31" i="12"/>
  <c r="L32" i="12"/>
  <c r="L33" i="12"/>
  <c r="L34" i="12"/>
  <c r="L35" i="12"/>
  <c r="L36" i="12"/>
  <c r="L37" i="12"/>
  <c r="L39" i="12"/>
  <c r="L38" i="12"/>
  <c r="L41" i="12"/>
  <c r="L40" i="12"/>
  <c r="L42" i="12"/>
  <c r="L43" i="12"/>
  <c r="L44" i="12"/>
  <c r="L45" i="12"/>
  <c r="L46" i="12"/>
  <c r="L47" i="12"/>
  <c r="L48" i="12"/>
  <c r="L49" i="12"/>
  <c r="L50" i="12"/>
  <c r="L51" i="12"/>
  <c r="L54" i="12"/>
  <c r="L53" i="12"/>
  <c r="L55" i="12"/>
  <c r="L56" i="12"/>
  <c r="L57" i="12"/>
  <c r="L58" i="12"/>
  <c r="L59" i="12"/>
  <c r="L60" i="12"/>
  <c r="L61" i="12"/>
  <c r="L62" i="12"/>
  <c r="L63" i="12"/>
  <c r="L64" i="12"/>
  <c r="L65" i="12"/>
  <c r="L67" i="12"/>
  <c r="L66" i="12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9" i="11"/>
  <c r="L30" i="11"/>
  <c r="L31" i="11"/>
  <c r="L32" i="11"/>
  <c r="L33" i="11"/>
  <c r="L34" i="11"/>
  <c r="L35" i="11"/>
  <c r="L36" i="11"/>
  <c r="L37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2" i="11"/>
  <c r="L53" i="11"/>
  <c r="L54" i="11"/>
  <c r="L55" i="11"/>
  <c r="L56" i="11"/>
  <c r="L57" i="11"/>
  <c r="L58" i="11"/>
  <c r="L59" i="11"/>
  <c r="L60" i="11"/>
  <c r="L61" i="11"/>
  <c r="L62" i="11"/>
  <c r="L64" i="11"/>
  <c r="L65" i="11"/>
  <c r="L66" i="11"/>
  <c r="L67" i="11"/>
  <c r="L10" i="6"/>
  <c r="L11" i="6"/>
  <c r="L12" i="6"/>
  <c r="L13" i="6"/>
  <c r="L14" i="6"/>
  <c r="L15" i="6"/>
  <c r="L16" i="6"/>
  <c r="L17" i="6"/>
  <c r="L18" i="6"/>
  <c r="L19" i="6"/>
  <c r="L21" i="6"/>
  <c r="L22" i="6"/>
  <c r="L23" i="6"/>
  <c r="L24" i="6"/>
  <c r="L25" i="6"/>
  <c r="L27" i="6"/>
  <c r="L28" i="6"/>
  <c r="L29" i="6"/>
  <c r="L30" i="6"/>
  <c r="L31" i="6"/>
  <c r="L32" i="6"/>
  <c r="L34" i="6"/>
  <c r="L35" i="6"/>
  <c r="L36" i="6"/>
  <c r="L37" i="6"/>
  <c r="L38" i="6"/>
  <c r="L39" i="6"/>
  <c r="L40" i="6"/>
  <c r="L41" i="6"/>
  <c r="L42" i="6"/>
  <c r="L43" i="6"/>
  <c r="L45" i="6"/>
  <c r="L46" i="6"/>
  <c r="L47" i="6"/>
  <c r="L48" i="6"/>
  <c r="L49" i="6"/>
  <c r="L50" i="6"/>
  <c r="L51" i="6"/>
  <c r="L52" i="6"/>
  <c r="L53" i="6"/>
  <c r="L54" i="6"/>
  <c r="L55" i="6"/>
  <c r="L57" i="6"/>
  <c r="L58" i="6"/>
  <c r="L59" i="6"/>
  <c r="L60" i="6"/>
  <c r="L61" i="6"/>
  <c r="L62" i="6"/>
  <c r="L63" i="6"/>
  <c r="L65" i="6"/>
  <c r="L66" i="6"/>
  <c r="L8" i="7"/>
  <c r="L8" i="8"/>
  <c r="L8" i="10"/>
  <c r="L8" i="12"/>
  <c r="L8" i="6"/>
  <c r="H9" i="11"/>
  <c r="H10" i="11"/>
  <c r="H11" i="11"/>
  <c r="H12" i="11"/>
  <c r="H13" i="11"/>
  <c r="H14" i="11"/>
  <c r="H15" i="11"/>
  <c r="I15" i="11" s="1"/>
  <c r="K15" i="11" s="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I31" i="11" s="1"/>
  <c r="K31" i="11" s="1"/>
  <c r="H32" i="11"/>
  <c r="H33" i="11"/>
  <c r="H34" i="11"/>
  <c r="H35" i="11"/>
  <c r="I35" i="11" s="1"/>
  <c r="K35" i="11" s="1"/>
  <c r="H36" i="11"/>
  <c r="H37" i="11"/>
  <c r="H38" i="11"/>
  <c r="H39" i="11"/>
  <c r="H40" i="11"/>
  <c r="H41" i="11"/>
  <c r="H42" i="11"/>
  <c r="H43" i="11"/>
  <c r="I43" i="11" s="1"/>
  <c r="K43" i="11" s="1"/>
  <c r="H44" i="11"/>
  <c r="H45" i="11"/>
  <c r="H46" i="11"/>
  <c r="H47" i="11"/>
  <c r="I47" i="11" s="1"/>
  <c r="K47" i="11" s="1"/>
  <c r="H48" i="11"/>
  <c r="H49" i="11"/>
  <c r="H50" i="11"/>
  <c r="H51" i="11"/>
  <c r="I51" i="11" s="1"/>
  <c r="K51" i="11" s="1"/>
  <c r="H52" i="11"/>
  <c r="H53" i="11"/>
  <c r="H54" i="11"/>
  <c r="H55" i="11"/>
  <c r="I55" i="11" s="1"/>
  <c r="K55" i="11" s="1"/>
  <c r="H56" i="11"/>
  <c r="H57" i="11"/>
  <c r="H58" i="11"/>
  <c r="H59" i="11"/>
  <c r="I59" i="11" s="1"/>
  <c r="K59" i="11" s="1"/>
  <c r="H60" i="11"/>
  <c r="H61" i="11"/>
  <c r="H62" i="11"/>
  <c r="H63" i="11"/>
  <c r="I63" i="11" s="1"/>
  <c r="K63" i="11" s="1"/>
  <c r="H64" i="11"/>
  <c r="H65" i="11"/>
  <c r="H66" i="11"/>
  <c r="H67" i="11"/>
  <c r="I67" i="11" s="1"/>
  <c r="K67" i="11" s="1"/>
  <c r="H68" i="11"/>
  <c r="H69" i="11"/>
  <c r="H70" i="11"/>
  <c r="H71" i="11"/>
  <c r="H72" i="11"/>
  <c r="H9" i="12"/>
  <c r="H11" i="12"/>
  <c r="H10" i="12"/>
  <c r="H12" i="12"/>
  <c r="H13" i="12"/>
  <c r="H14" i="12"/>
  <c r="H16" i="12"/>
  <c r="H15" i="12"/>
  <c r="H17" i="12"/>
  <c r="H18" i="12"/>
  <c r="H19" i="12"/>
  <c r="H20" i="12"/>
  <c r="H21" i="12"/>
  <c r="H22" i="12"/>
  <c r="H23" i="12"/>
  <c r="H25" i="12"/>
  <c r="H24" i="12"/>
  <c r="H27" i="12"/>
  <c r="H26" i="12"/>
  <c r="I26" i="12" s="1"/>
  <c r="K26" i="12" s="1"/>
  <c r="H30" i="12"/>
  <c r="H29" i="12"/>
  <c r="H28" i="12"/>
  <c r="H31" i="12"/>
  <c r="H32" i="12"/>
  <c r="H33" i="12"/>
  <c r="H34" i="12"/>
  <c r="H35" i="12"/>
  <c r="H36" i="12"/>
  <c r="H37" i="12"/>
  <c r="H39" i="12"/>
  <c r="H38" i="12"/>
  <c r="H41" i="12"/>
  <c r="H40" i="12"/>
  <c r="H42" i="12"/>
  <c r="H43" i="12"/>
  <c r="H44" i="12"/>
  <c r="H45" i="12"/>
  <c r="H46" i="12"/>
  <c r="H47" i="12"/>
  <c r="H48" i="12"/>
  <c r="H49" i="12"/>
  <c r="H50" i="12"/>
  <c r="H51" i="12"/>
  <c r="H52" i="12"/>
  <c r="H54" i="12"/>
  <c r="H53" i="12"/>
  <c r="H55" i="12"/>
  <c r="H56" i="12"/>
  <c r="H57" i="12"/>
  <c r="H58" i="12"/>
  <c r="H59" i="12"/>
  <c r="H60" i="12"/>
  <c r="H61" i="12"/>
  <c r="H62" i="12"/>
  <c r="H63" i="12"/>
  <c r="H64" i="12"/>
  <c r="H65" i="12"/>
  <c r="H67" i="12"/>
  <c r="H66" i="12"/>
  <c r="H68" i="12"/>
  <c r="H69" i="12"/>
  <c r="H70" i="12"/>
  <c r="H71" i="12"/>
  <c r="H72" i="12"/>
  <c r="H73" i="12"/>
  <c r="H76" i="12"/>
  <c r="H75" i="12"/>
  <c r="H74" i="12"/>
  <c r="H9" i="13"/>
  <c r="H10" i="13"/>
  <c r="H11" i="13"/>
  <c r="I11" i="13" s="1"/>
  <c r="K11" i="13" s="1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I24" i="13" s="1"/>
  <c r="K24" i="13" s="1"/>
  <c r="H25" i="13"/>
  <c r="H26" i="13"/>
  <c r="H27" i="13"/>
  <c r="H28" i="13"/>
  <c r="H29" i="13"/>
  <c r="H30" i="13"/>
  <c r="H31" i="13"/>
  <c r="H32" i="13"/>
  <c r="H33" i="13"/>
  <c r="H34" i="13"/>
  <c r="H35" i="13"/>
  <c r="H36" i="13"/>
  <c r="I36" i="13" s="1"/>
  <c r="K36" i="13" s="1"/>
  <c r="H37" i="13"/>
  <c r="H38" i="13"/>
  <c r="H39" i="13"/>
  <c r="I39" i="13" s="1"/>
  <c r="K39" i="13" s="1"/>
  <c r="H40" i="13"/>
  <c r="H41" i="13"/>
  <c r="H42" i="13"/>
  <c r="H43" i="13"/>
  <c r="H44" i="13"/>
  <c r="I44" i="13" s="1"/>
  <c r="K44" i="13" s="1"/>
  <c r="H45" i="13"/>
  <c r="H46" i="13"/>
  <c r="H47" i="13"/>
  <c r="I47" i="13" s="1"/>
  <c r="K47" i="13" s="1"/>
  <c r="H48" i="13"/>
  <c r="H49" i="13"/>
  <c r="H50" i="13"/>
  <c r="H51" i="13"/>
  <c r="I51" i="13" s="1"/>
  <c r="K51" i="13" s="1"/>
  <c r="H52" i="13"/>
  <c r="H53" i="13"/>
  <c r="H54" i="13"/>
  <c r="H55" i="13"/>
  <c r="H56" i="13"/>
  <c r="H57" i="13"/>
  <c r="H58" i="13"/>
  <c r="H59" i="13"/>
  <c r="H60" i="13"/>
  <c r="I60" i="13" s="1"/>
  <c r="K60" i="13" s="1"/>
  <c r="H61" i="13"/>
  <c r="H62" i="13"/>
  <c r="H63" i="13"/>
  <c r="H64" i="13"/>
  <c r="H65" i="13"/>
  <c r="H66" i="13"/>
  <c r="H67" i="13"/>
  <c r="I67" i="13" s="1"/>
  <c r="K67" i="13" s="1"/>
  <c r="H68" i="13"/>
  <c r="I68" i="13" s="1"/>
  <c r="K68" i="13" s="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9" i="9"/>
  <c r="H10" i="9"/>
  <c r="H11" i="9"/>
  <c r="H13" i="9"/>
  <c r="H12" i="9"/>
  <c r="H14" i="9"/>
  <c r="H15" i="9"/>
  <c r="H16" i="9"/>
  <c r="H17" i="9"/>
  <c r="H18" i="9"/>
  <c r="H19" i="9"/>
  <c r="I19" i="9" s="1"/>
  <c r="K19" i="9" s="1"/>
  <c r="H20" i="9"/>
  <c r="H21" i="9"/>
  <c r="H23" i="9"/>
  <c r="H22" i="9"/>
  <c r="I22" i="9" s="1"/>
  <c r="K22" i="9" s="1"/>
  <c r="H24" i="9"/>
  <c r="H25" i="9"/>
  <c r="H27" i="9"/>
  <c r="H26" i="9"/>
  <c r="I26" i="9" s="1"/>
  <c r="K26" i="9" s="1"/>
  <c r="H29" i="9"/>
  <c r="H28" i="9"/>
  <c r="H30" i="9"/>
  <c r="H31" i="9"/>
  <c r="I31" i="9" s="1"/>
  <c r="K31" i="9" s="1"/>
  <c r="H32" i="9"/>
  <c r="H33" i="9"/>
  <c r="H34" i="9"/>
  <c r="H35" i="9"/>
  <c r="H36" i="9"/>
  <c r="H37" i="9"/>
  <c r="H38" i="9"/>
  <c r="H39" i="9"/>
  <c r="I39" i="9" s="1"/>
  <c r="K39" i="9" s="1"/>
  <c r="H40" i="9"/>
  <c r="H41" i="9"/>
  <c r="H42" i="9"/>
  <c r="H43" i="9"/>
  <c r="H44" i="9"/>
  <c r="H45" i="9"/>
  <c r="H46" i="9"/>
  <c r="H47" i="9"/>
  <c r="H48" i="9"/>
  <c r="H49" i="9"/>
  <c r="H50" i="9"/>
  <c r="H51" i="9"/>
  <c r="I51" i="9" s="1"/>
  <c r="K51" i="9" s="1"/>
  <c r="H52" i="9"/>
  <c r="H53" i="9"/>
  <c r="H54" i="9"/>
  <c r="H55" i="9"/>
  <c r="I55" i="9" s="1"/>
  <c r="K55" i="9" s="1"/>
  <c r="H56" i="9"/>
  <c r="H57" i="9"/>
  <c r="H58" i="9"/>
  <c r="H59" i="9"/>
  <c r="I59" i="9" s="1"/>
  <c r="K59" i="9" s="1"/>
  <c r="H60" i="9"/>
  <c r="H61" i="9"/>
  <c r="H62" i="9"/>
  <c r="H63" i="9"/>
  <c r="H64" i="9"/>
  <c r="H65" i="9"/>
  <c r="H66" i="9"/>
  <c r="H9" i="8"/>
  <c r="H10" i="8"/>
  <c r="H11" i="8"/>
  <c r="H12" i="8"/>
  <c r="H13" i="8"/>
  <c r="H14" i="8"/>
  <c r="H15" i="8"/>
  <c r="I15" i="8" s="1"/>
  <c r="K15" i="8" s="1"/>
  <c r="H16" i="8"/>
  <c r="H17" i="8"/>
  <c r="H18" i="8"/>
  <c r="H19" i="8"/>
  <c r="H20" i="8"/>
  <c r="H21" i="8"/>
  <c r="H22" i="8"/>
  <c r="H23" i="8"/>
  <c r="H24" i="8"/>
  <c r="H25" i="8"/>
  <c r="H26" i="8"/>
  <c r="H27" i="8"/>
  <c r="I27" i="8" s="1"/>
  <c r="K27" i="8" s="1"/>
  <c r="H28" i="8"/>
  <c r="H29" i="8"/>
  <c r="H30" i="8"/>
  <c r="H31" i="8"/>
  <c r="H32" i="8"/>
  <c r="H33" i="8"/>
  <c r="H34" i="8"/>
  <c r="H35" i="8"/>
  <c r="H36" i="8"/>
  <c r="H37" i="8"/>
  <c r="H38" i="8"/>
  <c r="H39" i="8"/>
  <c r="I39" i="8" s="1"/>
  <c r="K39" i="8" s="1"/>
  <c r="H40" i="8"/>
  <c r="H41" i="8"/>
  <c r="H42" i="8"/>
  <c r="H43" i="8"/>
  <c r="I43" i="8" s="1"/>
  <c r="K43" i="8" s="1"/>
  <c r="H44" i="8"/>
  <c r="H45" i="8"/>
  <c r="H46" i="8"/>
  <c r="H47" i="8"/>
  <c r="H48" i="8"/>
  <c r="H49" i="8"/>
  <c r="H50" i="8"/>
  <c r="H51" i="8"/>
  <c r="H52" i="8"/>
  <c r="H53" i="8"/>
  <c r="H54" i="8"/>
  <c r="H55" i="8"/>
  <c r="I55" i="8" s="1"/>
  <c r="K55" i="8" s="1"/>
  <c r="H56" i="8"/>
  <c r="H57" i="8"/>
  <c r="H58" i="8"/>
  <c r="H59" i="8"/>
  <c r="I59" i="8" s="1"/>
  <c r="K59" i="8" s="1"/>
  <c r="H60" i="8"/>
  <c r="H61" i="8"/>
  <c r="H62" i="8"/>
  <c r="H63" i="8"/>
  <c r="I63" i="8" s="1"/>
  <c r="K63" i="8" s="1"/>
  <c r="H64" i="8"/>
  <c r="H65" i="8"/>
  <c r="H66" i="8"/>
  <c r="H67" i="8"/>
  <c r="H68" i="8"/>
  <c r="H69" i="8"/>
  <c r="H70" i="8"/>
  <c r="H71" i="8"/>
  <c r="I71" i="8" s="1"/>
  <c r="K71" i="8" s="1"/>
  <c r="H27" i="7"/>
  <c r="I27" i="7" s="1"/>
  <c r="K27" i="7" s="1"/>
  <c r="H28" i="7"/>
  <c r="H29" i="7"/>
  <c r="H30" i="7"/>
  <c r="H31" i="7"/>
  <c r="H32" i="7"/>
  <c r="H33" i="7"/>
  <c r="I33" i="7" s="1"/>
  <c r="K33" i="7" s="1"/>
  <c r="H34" i="7"/>
  <c r="H35" i="7"/>
  <c r="I35" i="7" s="1"/>
  <c r="K35" i="7" s="1"/>
  <c r="H36" i="7"/>
  <c r="H37" i="7"/>
  <c r="H38" i="7"/>
  <c r="H39" i="7"/>
  <c r="I39" i="7" s="1"/>
  <c r="K39" i="7" s="1"/>
  <c r="H40" i="7"/>
  <c r="H41" i="7"/>
  <c r="H42" i="7"/>
  <c r="H43" i="7"/>
  <c r="I43" i="7" s="1"/>
  <c r="K43" i="7" s="1"/>
  <c r="H44" i="7"/>
  <c r="H45" i="7"/>
  <c r="H46" i="7"/>
  <c r="H47" i="7"/>
  <c r="I47" i="7" s="1"/>
  <c r="K47" i="7" s="1"/>
  <c r="H48" i="7"/>
  <c r="H49" i="7"/>
  <c r="I49" i="7" s="1"/>
  <c r="K49" i="7" s="1"/>
  <c r="H50" i="7"/>
  <c r="H51" i="7"/>
  <c r="I51" i="7" s="1"/>
  <c r="K51" i="7" s="1"/>
  <c r="H52" i="7"/>
  <c r="H53" i="7"/>
  <c r="I53" i="7" s="1"/>
  <c r="K53" i="7" s="1"/>
  <c r="H54" i="7"/>
  <c r="H55" i="7"/>
  <c r="H56" i="7"/>
  <c r="H57" i="7"/>
  <c r="I57" i="7" s="1"/>
  <c r="K57" i="7" s="1"/>
  <c r="H58" i="7"/>
  <c r="H59" i="7"/>
  <c r="I59" i="7" s="1"/>
  <c r="K59" i="7" s="1"/>
  <c r="H60" i="7"/>
  <c r="H61" i="7"/>
  <c r="I61" i="7" s="1"/>
  <c r="K61" i="7" s="1"/>
  <c r="H62" i="7"/>
  <c r="H63" i="7"/>
  <c r="I63" i="7" s="1"/>
  <c r="K63" i="7" s="1"/>
  <c r="H64" i="7"/>
  <c r="H65" i="7"/>
  <c r="I65" i="7" s="1"/>
  <c r="K65" i="7" s="1"/>
  <c r="H66" i="7"/>
  <c r="H9" i="6"/>
  <c r="H10" i="6"/>
  <c r="H11" i="6"/>
  <c r="H12" i="6"/>
  <c r="H13" i="6"/>
  <c r="H14" i="6"/>
  <c r="H15" i="6"/>
  <c r="I15" i="6" s="1"/>
  <c r="H16" i="6"/>
  <c r="H17" i="6"/>
  <c r="H18" i="6"/>
  <c r="H19" i="6"/>
  <c r="I19" i="6" s="1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I39" i="6" s="1"/>
  <c r="H40" i="6"/>
  <c r="H41" i="6"/>
  <c r="H42" i="6"/>
  <c r="H43" i="6"/>
  <c r="I43" i="6" s="1"/>
  <c r="H44" i="6"/>
  <c r="H45" i="6"/>
  <c r="H46" i="6"/>
  <c r="H47" i="6"/>
  <c r="I47" i="6" s="1"/>
  <c r="H48" i="6"/>
  <c r="H49" i="6"/>
  <c r="H50" i="6"/>
  <c r="H51" i="6"/>
  <c r="I51" i="6" s="1"/>
  <c r="H52" i="6"/>
  <c r="H53" i="6"/>
  <c r="H54" i="6"/>
  <c r="H55" i="6"/>
  <c r="I55" i="6" s="1"/>
  <c r="H56" i="6"/>
  <c r="H57" i="6"/>
  <c r="H58" i="6"/>
  <c r="H59" i="6"/>
  <c r="I59" i="6" s="1"/>
  <c r="H60" i="6"/>
  <c r="H61" i="6"/>
  <c r="H62" i="6"/>
  <c r="H63" i="6"/>
  <c r="I63" i="6" s="1"/>
  <c r="H64" i="6"/>
  <c r="H65" i="6"/>
  <c r="H66" i="6"/>
  <c r="I27" i="11"/>
  <c r="K27" i="11" s="1"/>
  <c r="I19" i="11"/>
  <c r="K19" i="11" s="1"/>
  <c r="H8" i="11"/>
  <c r="I47" i="12"/>
  <c r="K47" i="12" s="1"/>
  <c r="I31" i="12"/>
  <c r="K31" i="12" s="1"/>
  <c r="I16" i="12"/>
  <c r="K16" i="12" s="1"/>
  <c r="H8" i="12"/>
  <c r="I67" i="8"/>
  <c r="K67" i="8" s="1"/>
  <c r="I51" i="8"/>
  <c r="K51" i="8" s="1"/>
  <c r="I35" i="8"/>
  <c r="K35" i="8" s="1"/>
  <c r="H8" i="8"/>
  <c r="I55" i="7"/>
  <c r="K55" i="7" s="1"/>
  <c r="I45" i="7"/>
  <c r="K45" i="7" s="1"/>
  <c r="I31" i="7"/>
  <c r="K31" i="7" s="1"/>
  <c r="I29" i="7"/>
  <c r="K29" i="7" s="1"/>
  <c r="H26" i="7"/>
  <c r="H25" i="7"/>
  <c r="I25" i="7" s="1"/>
  <c r="K25" i="7" s="1"/>
  <c r="H24" i="7"/>
  <c r="H23" i="7"/>
  <c r="I23" i="7" s="1"/>
  <c r="K23" i="7" s="1"/>
  <c r="H22" i="7"/>
  <c r="H21" i="7"/>
  <c r="I21" i="7" s="1"/>
  <c r="K21" i="7" s="1"/>
  <c r="H20" i="7"/>
  <c r="H19" i="7"/>
  <c r="I19" i="7" s="1"/>
  <c r="K19" i="7" s="1"/>
  <c r="H18" i="7"/>
  <c r="H17" i="7"/>
  <c r="I17" i="7" s="1"/>
  <c r="K17" i="7" s="1"/>
  <c r="H16" i="7"/>
  <c r="H15" i="7"/>
  <c r="I15" i="7" s="1"/>
  <c r="K15" i="7" s="1"/>
  <c r="H14" i="7"/>
  <c r="H13" i="7"/>
  <c r="I13" i="7" s="1"/>
  <c r="K13" i="7" s="1"/>
  <c r="H12" i="7"/>
  <c r="H11" i="7"/>
  <c r="I11" i="7" s="1"/>
  <c r="K11" i="7" s="1"/>
  <c r="H10" i="7"/>
  <c r="H9" i="7"/>
  <c r="I9" i="7" s="1"/>
  <c r="K9" i="7" s="1"/>
  <c r="H8" i="7"/>
  <c r="H8" i="6"/>
  <c r="I48" i="13"/>
  <c r="K48" i="13" s="1"/>
  <c r="I31" i="13"/>
  <c r="K31" i="13" s="1"/>
  <c r="I19" i="13"/>
  <c r="K19" i="13" s="1"/>
  <c r="H8" i="13"/>
  <c r="I8" i="13" s="1"/>
  <c r="K8" i="13" s="1"/>
  <c r="H8" i="9"/>
  <c r="H8" i="10"/>
  <c r="K55" i="6" l="1"/>
  <c r="N55" i="6"/>
  <c r="K39" i="6"/>
  <c r="N39" i="6"/>
  <c r="K51" i="6"/>
  <c r="N51" i="6"/>
  <c r="K19" i="6"/>
  <c r="N19" i="6"/>
  <c r="K63" i="6"/>
  <c r="N63" i="6"/>
  <c r="K47" i="6"/>
  <c r="N47" i="6"/>
  <c r="K15" i="6"/>
  <c r="N15" i="6"/>
  <c r="K59" i="6"/>
  <c r="N59" i="6"/>
  <c r="K43" i="6"/>
  <c r="N43" i="6"/>
  <c r="J8" i="12"/>
  <c r="J53" i="12"/>
  <c r="J39" i="12"/>
  <c r="J22" i="12"/>
  <c r="J69" i="12"/>
  <c r="J54" i="12"/>
  <c r="J37" i="12"/>
  <c r="J21" i="12"/>
  <c r="J68" i="12"/>
  <c r="J52" i="12"/>
  <c r="J36" i="12"/>
  <c r="J20" i="12"/>
  <c r="I66" i="12"/>
  <c r="K66" i="12" s="1"/>
  <c r="J66" i="12"/>
  <c r="I51" i="12"/>
  <c r="K51" i="12" s="1"/>
  <c r="J51" i="12"/>
  <c r="I35" i="12"/>
  <c r="K35" i="12" s="1"/>
  <c r="J35" i="12"/>
  <c r="I19" i="12"/>
  <c r="K19" i="12" s="1"/>
  <c r="J19" i="12"/>
  <c r="J67" i="12"/>
  <c r="J50" i="12"/>
  <c r="J34" i="12"/>
  <c r="J18" i="12"/>
  <c r="J65" i="12"/>
  <c r="J49" i="12"/>
  <c r="J33" i="12"/>
  <c r="J17" i="12"/>
  <c r="J64" i="12"/>
  <c r="J48" i="12"/>
  <c r="J32" i="12"/>
  <c r="J15" i="12"/>
  <c r="I63" i="12"/>
  <c r="K63" i="12" s="1"/>
  <c r="J63" i="12"/>
  <c r="J47" i="12"/>
  <c r="J31" i="12"/>
  <c r="J16" i="12"/>
  <c r="J62" i="12"/>
  <c r="J46" i="12"/>
  <c r="J28" i="12"/>
  <c r="J14" i="12"/>
  <c r="J61" i="12"/>
  <c r="J45" i="12"/>
  <c r="J29" i="12"/>
  <c r="J13" i="12"/>
  <c r="J74" i="12"/>
  <c r="J60" i="12"/>
  <c r="J44" i="12"/>
  <c r="J30" i="12"/>
  <c r="J12" i="12"/>
  <c r="I75" i="12"/>
  <c r="K75" i="12" s="1"/>
  <c r="J75" i="12"/>
  <c r="I59" i="12"/>
  <c r="K59" i="12" s="1"/>
  <c r="J59" i="12"/>
  <c r="I43" i="12"/>
  <c r="K43" i="12" s="1"/>
  <c r="J43" i="12"/>
  <c r="I10" i="12"/>
  <c r="K10" i="12" s="1"/>
  <c r="J10" i="12"/>
  <c r="J76" i="12"/>
  <c r="J58" i="12"/>
  <c r="J42" i="12"/>
  <c r="J27" i="12"/>
  <c r="J11" i="12"/>
  <c r="J73" i="12"/>
  <c r="J57" i="12"/>
  <c r="J40" i="12"/>
  <c r="J24" i="12"/>
  <c r="J9" i="12"/>
  <c r="J72" i="12"/>
  <c r="J56" i="12"/>
  <c r="J41" i="12"/>
  <c r="J25" i="12"/>
  <c r="I71" i="12"/>
  <c r="K71" i="12" s="1"/>
  <c r="J71" i="12"/>
  <c r="J55" i="12"/>
  <c r="I38" i="12"/>
  <c r="K38" i="12" s="1"/>
  <c r="J38" i="12"/>
  <c r="I23" i="12"/>
  <c r="K23" i="12" s="1"/>
  <c r="J23" i="12"/>
  <c r="J23" i="8"/>
  <c r="J69" i="13"/>
  <c r="J56" i="11"/>
  <c r="J72" i="11"/>
  <c r="J38" i="11"/>
  <c r="J70" i="11"/>
  <c r="J16" i="11"/>
  <c r="J66" i="8"/>
  <c r="J52" i="7"/>
  <c r="J56" i="6"/>
  <c r="J61" i="6"/>
  <c r="J38" i="8"/>
  <c r="J53" i="8"/>
  <c r="J53" i="13"/>
  <c r="J43" i="11"/>
  <c r="J71" i="11"/>
  <c r="J39" i="11"/>
  <c r="J68" i="11"/>
  <c r="J48" i="11"/>
  <c r="J32" i="11"/>
  <c r="J53" i="11"/>
  <c r="J34" i="11"/>
  <c r="J36" i="11"/>
  <c r="J46" i="11"/>
  <c r="J24" i="11"/>
  <c r="J66" i="11"/>
  <c r="I55" i="12"/>
  <c r="K55" i="12" s="1"/>
  <c r="J21" i="13"/>
  <c r="J56" i="13"/>
  <c r="J55" i="13"/>
  <c r="J35" i="13"/>
  <c r="J37" i="13"/>
  <c r="J56" i="9"/>
  <c r="J40" i="9"/>
  <c r="J35" i="9"/>
  <c r="J52" i="9"/>
  <c r="J23" i="9"/>
  <c r="J21" i="9"/>
  <c r="J38" i="9"/>
  <c r="J53" i="9"/>
  <c r="J37" i="9"/>
  <c r="J54" i="9"/>
  <c r="J54" i="8"/>
  <c r="J67" i="8"/>
  <c r="J19" i="8"/>
  <c r="J22" i="8"/>
  <c r="J70" i="8"/>
  <c r="J36" i="8"/>
  <c r="J37" i="8"/>
  <c r="J21" i="8"/>
  <c r="J52" i="8"/>
  <c r="J65" i="8"/>
  <c r="J36" i="7"/>
  <c r="J48" i="7"/>
  <c r="J50" i="7"/>
  <c r="I37" i="7"/>
  <c r="K37" i="7" s="1"/>
  <c r="J63" i="7"/>
  <c r="J58" i="7"/>
  <c r="J56" i="7"/>
  <c r="J30" i="7"/>
  <c r="J66" i="6"/>
  <c r="J33" i="6"/>
  <c r="J17" i="6"/>
  <c r="J48" i="6"/>
  <c r="J47" i="6"/>
  <c r="J27" i="11"/>
  <c r="J37" i="11"/>
  <c r="J59" i="11"/>
  <c r="J69" i="11"/>
  <c r="J28" i="11"/>
  <c r="I39" i="11"/>
  <c r="K39" i="11" s="1"/>
  <c r="J50" i="11"/>
  <c r="J60" i="11"/>
  <c r="I71" i="11"/>
  <c r="K71" i="11" s="1"/>
  <c r="J19" i="11"/>
  <c r="J29" i="11"/>
  <c r="J51" i="11"/>
  <c r="J61" i="11"/>
  <c r="J49" i="11"/>
  <c r="J30" i="11"/>
  <c r="J40" i="11"/>
  <c r="J62" i="11"/>
  <c r="J31" i="11"/>
  <c r="J41" i="11"/>
  <c r="J63" i="11"/>
  <c r="J18" i="11"/>
  <c r="J8" i="11"/>
  <c r="J20" i="11"/>
  <c r="J42" i="11"/>
  <c r="J52" i="11"/>
  <c r="J9" i="11"/>
  <c r="J21" i="11"/>
  <c r="J22" i="11"/>
  <c r="J54" i="11"/>
  <c r="J64" i="11"/>
  <c r="J33" i="11"/>
  <c r="J65" i="11"/>
  <c r="J17" i="11"/>
  <c r="J55" i="11"/>
  <c r="J12" i="11"/>
  <c r="I23" i="11"/>
  <c r="K23" i="11" s="1"/>
  <c r="J44" i="11"/>
  <c r="J13" i="11"/>
  <c r="J35" i="11"/>
  <c r="J45" i="11"/>
  <c r="J67" i="11"/>
  <c r="J10" i="11"/>
  <c r="J23" i="11"/>
  <c r="J14" i="11"/>
  <c r="J11" i="11"/>
  <c r="J15" i="11"/>
  <c r="J25" i="11"/>
  <c r="J47" i="11"/>
  <c r="J57" i="11"/>
  <c r="J26" i="11"/>
  <c r="J58" i="11"/>
  <c r="J20" i="13"/>
  <c r="J52" i="13"/>
  <c r="I23" i="13"/>
  <c r="K23" i="13" s="1"/>
  <c r="J40" i="13"/>
  <c r="J54" i="13"/>
  <c r="J9" i="13"/>
  <c r="J25" i="13"/>
  <c r="J41" i="13"/>
  <c r="J57" i="13"/>
  <c r="J10" i="13"/>
  <c r="J26" i="13"/>
  <c r="J42" i="13"/>
  <c r="J58" i="13"/>
  <c r="J27" i="13"/>
  <c r="J43" i="13"/>
  <c r="J59" i="13"/>
  <c r="J22" i="13"/>
  <c r="J12" i="13"/>
  <c r="J28" i="13"/>
  <c r="J38" i="13"/>
  <c r="J13" i="13"/>
  <c r="J29" i="13"/>
  <c r="J45" i="13"/>
  <c r="J61" i="13"/>
  <c r="J14" i="13"/>
  <c r="J30" i="13"/>
  <c r="J46" i="13"/>
  <c r="J62" i="13"/>
  <c r="J63" i="13"/>
  <c r="J16" i="13"/>
  <c r="J32" i="13"/>
  <c r="J64" i="13"/>
  <c r="J15" i="13"/>
  <c r="J17" i="13"/>
  <c r="J33" i="13"/>
  <c r="J49" i="13"/>
  <c r="J65" i="13"/>
  <c r="J18" i="13"/>
  <c r="J34" i="13"/>
  <c r="J50" i="13"/>
  <c r="J66" i="13"/>
  <c r="J27" i="9"/>
  <c r="J9" i="9"/>
  <c r="J8" i="9"/>
  <c r="J58" i="9"/>
  <c r="J43" i="9"/>
  <c r="J13" i="9"/>
  <c r="J44" i="9"/>
  <c r="J60" i="9"/>
  <c r="J41" i="9"/>
  <c r="J29" i="9"/>
  <c r="J12" i="9"/>
  <c r="J28" i="9"/>
  <c r="J45" i="9"/>
  <c r="J61" i="9"/>
  <c r="J10" i="9"/>
  <c r="J14" i="9"/>
  <c r="J46" i="9"/>
  <c r="J30" i="9"/>
  <c r="J62" i="9"/>
  <c r="J15" i="9"/>
  <c r="J47" i="9"/>
  <c r="J63" i="9"/>
  <c r="J42" i="9"/>
  <c r="J11" i="9"/>
  <c r="J16" i="9"/>
  <c r="J32" i="9"/>
  <c r="J48" i="9"/>
  <c r="J64" i="9"/>
  <c r="J33" i="9"/>
  <c r="J65" i="9"/>
  <c r="J50" i="9"/>
  <c r="J17" i="9"/>
  <c r="J18" i="9"/>
  <c r="J36" i="9"/>
  <c r="J25" i="9"/>
  <c r="J20" i="9"/>
  <c r="J24" i="9"/>
  <c r="J57" i="9"/>
  <c r="J49" i="9"/>
  <c r="J34" i="9"/>
  <c r="J66" i="9"/>
  <c r="J8" i="8"/>
  <c r="J24" i="8"/>
  <c r="J40" i="8"/>
  <c r="J55" i="8"/>
  <c r="J9" i="8"/>
  <c r="J25" i="8"/>
  <c r="J41" i="8"/>
  <c r="J68" i="8"/>
  <c r="J10" i="8"/>
  <c r="J26" i="8"/>
  <c r="J42" i="8"/>
  <c r="J56" i="8"/>
  <c r="J69" i="8"/>
  <c r="J11" i="8"/>
  <c r="J57" i="8"/>
  <c r="J12" i="8"/>
  <c r="J28" i="8"/>
  <c r="J44" i="8"/>
  <c r="J58" i="8"/>
  <c r="J71" i="8"/>
  <c r="J13" i="8"/>
  <c r="J29" i="8"/>
  <c r="J45" i="8"/>
  <c r="J59" i="8"/>
  <c r="J14" i="8"/>
  <c r="J30" i="8"/>
  <c r="J46" i="8"/>
  <c r="J31" i="8"/>
  <c r="J47" i="8"/>
  <c r="J60" i="8"/>
  <c r="J16" i="8"/>
  <c r="J32" i="8"/>
  <c r="J48" i="8"/>
  <c r="J61" i="8"/>
  <c r="J17" i="8"/>
  <c r="J33" i="8"/>
  <c r="J49" i="8"/>
  <c r="J62" i="8"/>
  <c r="J18" i="8"/>
  <c r="J34" i="8"/>
  <c r="J50" i="8"/>
  <c r="J63" i="8"/>
  <c r="J51" i="8"/>
  <c r="J20" i="8"/>
  <c r="J64" i="8"/>
  <c r="J22" i="7"/>
  <c r="J38" i="7"/>
  <c r="J64" i="7"/>
  <c r="J66" i="7"/>
  <c r="J10" i="7"/>
  <c r="J26" i="7"/>
  <c r="J42" i="7"/>
  <c r="J55" i="7"/>
  <c r="J40" i="7"/>
  <c r="J43" i="7"/>
  <c r="J24" i="7"/>
  <c r="J12" i="7"/>
  <c r="J28" i="7"/>
  <c r="J33" i="7"/>
  <c r="J44" i="7"/>
  <c r="I41" i="7"/>
  <c r="K41" i="7" s="1"/>
  <c r="J14" i="7"/>
  <c r="J54" i="7"/>
  <c r="J46" i="7"/>
  <c r="J59" i="7"/>
  <c r="J32" i="7"/>
  <c r="J60" i="7"/>
  <c r="J16" i="7"/>
  <c r="J18" i="7"/>
  <c r="J34" i="7"/>
  <c r="J62" i="7"/>
  <c r="J20" i="7"/>
  <c r="J47" i="7"/>
  <c r="J51" i="7"/>
  <c r="J16" i="6"/>
  <c r="J32" i="6"/>
  <c r="J60" i="6"/>
  <c r="J18" i="6"/>
  <c r="J34" i="6"/>
  <c r="J49" i="6"/>
  <c r="J62" i="6"/>
  <c r="J35" i="6"/>
  <c r="J50" i="6"/>
  <c r="J63" i="6"/>
  <c r="J20" i="6"/>
  <c r="J36" i="6"/>
  <c r="J51" i="6"/>
  <c r="J21" i="6"/>
  <c r="J37" i="6"/>
  <c r="J64" i="6"/>
  <c r="J65" i="6"/>
  <c r="J23" i="6"/>
  <c r="J53" i="6"/>
  <c r="J38" i="6"/>
  <c r="J8" i="6"/>
  <c r="J24" i="6"/>
  <c r="J40" i="6"/>
  <c r="J54" i="6"/>
  <c r="J52" i="6"/>
  <c r="J9" i="6"/>
  <c r="J25" i="6"/>
  <c r="J41" i="6"/>
  <c r="J55" i="6"/>
  <c r="J10" i="6"/>
  <c r="J26" i="6"/>
  <c r="J42" i="6"/>
  <c r="J27" i="6"/>
  <c r="J12" i="6"/>
  <c r="J28" i="6"/>
  <c r="J44" i="6"/>
  <c r="J57" i="6"/>
  <c r="J13" i="6"/>
  <c r="J29" i="6"/>
  <c r="J45" i="6"/>
  <c r="J58" i="6"/>
  <c r="J22" i="6"/>
  <c r="J14" i="6"/>
  <c r="J30" i="6"/>
  <c r="J46" i="6"/>
  <c r="J59" i="6"/>
  <c r="J31" i="6"/>
  <c r="I11" i="11"/>
  <c r="K11" i="11" s="1"/>
  <c r="I8" i="11"/>
  <c r="K8" i="11" s="1"/>
  <c r="I12" i="11"/>
  <c r="K12" i="11" s="1"/>
  <c r="I16" i="11"/>
  <c r="K16" i="11" s="1"/>
  <c r="I20" i="11"/>
  <c r="K20" i="11" s="1"/>
  <c r="I24" i="11"/>
  <c r="K24" i="11" s="1"/>
  <c r="I28" i="11"/>
  <c r="K28" i="11" s="1"/>
  <c r="I32" i="11"/>
  <c r="K32" i="11" s="1"/>
  <c r="I36" i="11"/>
  <c r="K36" i="11" s="1"/>
  <c r="I40" i="11"/>
  <c r="K40" i="11" s="1"/>
  <c r="I44" i="11"/>
  <c r="K44" i="11" s="1"/>
  <c r="I48" i="11"/>
  <c r="K48" i="11" s="1"/>
  <c r="I52" i="11"/>
  <c r="K52" i="11" s="1"/>
  <c r="I56" i="11"/>
  <c r="K56" i="11" s="1"/>
  <c r="I60" i="11"/>
  <c r="K60" i="11" s="1"/>
  <c r="I64" i="11"/>
  <c r="K64" i="11" s="1"/>
  <c r="I68" i="11"/>
  <c r="K68" i="11" s="1"/>
  <c r="I72" i="11"/>
  <c r="K72" i="11" s="1"/>
  <c r="I9" i="11"/>
  <c r="K9" i="11" s="1"/>
  <c r="I13" i="11"/>
  <c r="K13" i="11" s="1"/>
  <c r="I17" i="11"/>
  <c r="K17" i="11" s="1"/>
  <c r="I21" i="11"/>
  <c r="K21" i="11" s="1"/>
  <c r="I25" i="11"/>
  <c r="K25" i="11" s="1"/>
  <c r="I29" i="11"/>
  <c r="K29" i="11" s="1"/>
  <c r="I33" i="11"/>
  <c r="K33" i="11" s="1"/>
  <c r="I37" i="11"/>
  <c r="K37" i="11" s="1"/>
  <c r="I41" i="11"/>
  <c r="K41" i="11" s="1"/>
  <c r="I45" i="11"/>
  <c r="K45" i="11" s="1"/>
  <c r="I49" i="11"/>
  <c r="K49" i="11" s="1"/>
  <c r="I53" i="11"/>
  <c r="K53" i="11" s="1"/>
  <c r="I57" i="11"/>
  <c r="K57" i="11" s="1"/>
  <c r="I61" i="11"/>
  <c r="K61" i="11" s="1"/>
  <c r="I65" i="11"/>
  <c r="K65" i="11" s="1"/>
  <c r="I69" i="11"/>
  <c r="K69" i="11" s="1"/>
  <c r="I10" i="11"/>
  <c r="K10" i="11" s="1"/>
  <c r="I14" i="11"/>
  <c r="K14" i="11" s="1"/>
  <c r="I18" i="11"/>
  <c r="K18" i="11" s="1"/>
  <c r="I22" i="11"/>
  <c r="K22" i="11" s="1"/>
  <c r="I26" i="11"/>
  <c r="K26" i="11" s="1"/>
  <c r="I30" i="11"/>
  <c r="K30" i="11" s="1"/>
  <c r="I34" i="11"/>
  <c r="K34" i="11" s="1"/>
  <c r="I38" i="11"/>
  <c r="K38" i="11" s="1"/>
  <c r="I42" i="11"/>
  <c r="K42" i="11" s="1"/>
  <c r="I46" i="11"/>
  <c r="K46" i="11" s="1"/>
  <c r="I50" i="11"/>
  <c r="K50" i="11" s="1"/>
  <c r="I54" i="11"/>
  <c r="K54" i="11" s="1"/>
  <c r="I58" i="11"/>
  <c r="K58" i="11" s="1"/>
  <c r="I62" i="11"/>
  <c r="K62" i="11" s="1"/>
  <c r="I66" i="11"/>
  <c r="K66" i="11" s="1"/>
  <c r="I70" i="11"/>
  <c r="K70" i="11" s="1"/>
  <c r="J26" i="12"/>
  <c r="I8" i="12"/>
  <c r="K8" i="12" s="1"/>
  <c r="I12" i="12"/>
  <c r="K12" i="12" s="1"/>
  <c r="I15" i="12"/>
  <c r="K15" i="12" s="1"/>
  <c r="I20" i="12"/>
  <c r="K20" i="12" s="1"/>
  <c r="I25" i="12"/>
  <c r="K25" i="12" s="1"/>
  <c r="I30" i="12"/>
  <c r="K30" i="12" s="1"/>
  <c r="I32" i="12"/>
  <c r="K32" i="12" s="1"/>
  <c r="I36" i="12"/>
  <c r="K36" i="12" s="1"/>
  <c r="I41" i="12"/>
  <c r="K41" i="12" s="1"/>
  <c r="I44" i="12"/>
  <c r="K44" i="12" s="1"/>
  <c r="I48" i="12"/>
  <c r="K48" i="12" s="1"/>
  <c r="I52" i="12"/>
  <c r="K52" i="12" s="1"/>
  <c r="I56" i="12"/>
  <c r="K56" i="12" s="1"/>
  <c r="I60" i="12"/>
  <c r="K60" i="12" s="1"/>
  <c r="I64" i="12"/>
  <c r="K64" i="12" s="1"/>
  <c r="I68" i="12"/>
  <c r="K68" i="12" s="1"/>
  <c r="I72" i="12"/>
  <c r="K72" i="12" s="1"/>
  <c r="I74" i="12"/>
  <c r="K74" i="12" s="1"/>
  <c r="I9" i="12"/>
  <c r="K9" i="12" s="1"/>
  <c r="I13" i="12"/>
  <c r="K13" i="12" s="1"/>
  <c r="I17" i="12"/>
  <c r="K17" i="12" s="1"/>
  <c r="I21" i="12"/>
  <c r="K21" i="12" s="1"/>
  <c r="I24" i="12"/>
  <c r="K24" i="12" s="1"/>
  <c r="I29" i="12"/>
  <c r="K29" i="12" s="1"/>
  <c r="I33" i="12"/>
  <c r="K33" i="12" s="1"/>
  <c r="I37" i="12"/>
  <c r="K37" i="12" s="1"/>
  <c r="I40" i="12"/>
  <c r="K40" i="12" s="1"/>
  <c r="I45" i="12"/>
  <c r="K45" i="12" s="1"/>
  <c r="I49" i="12"/>
  <c r="K49" i="12" s="1"/>
  <c r="I54" i="12"/>
  <c r="K54" i="12" s="1"/>
  <c r="I57" i="12"/>
  <c r="K57" i="12" s="1"/>
  <c r="I61" i="12"/>
  <c r="K61" i="12" s="1"/>
  <c r="I65" i="12"/>
  <c r="K65" i="12" s="1"/>
  <c r="I69" i="12"/>
  <c r="K69" i="12" s="1"/>
  <c r="I73" i="12"/>
  <c r="K73" i="12" s="1"/>
  <c r="I11" i="12"/>
  <c r="K11" i="12" s="1"/>
  <c r="I14" i="12"/>
  <c r="K14" i="12" s="1"/>
  <c r="I18" i="12"/>
  <c r="K18" i="12" s="1"/>
  <c r="I22" i="12"/>
  <c r="K22" i="12" s="1"/>
  <c r="I27" i="12"/>
  <c r="K27" i="12" s="1"/>
  <c r="I28" i="12"/>
  <c r="K28" i="12" s="1"/>
  <c r="I34" i="12"/>
  <c r="K34" i="12" s="1"/>
  <c r="I39" i="12"/>
  <c r="K39" i="12" s="1"/>
  <c r="I42" i="12"/>
  <c r="K42" i="12" s="1"/>
  <c r="I46" i="12"/>
  <c r="K46" i="12" s="1"/>
  <c r="I50" i="12"/>
  <c r="K50" i="12" s="1"/>
  <c r="I53" i="12"/>
  <c r="K53" i="12" s="1"/>
  <c r="I58" i="12"/>
  <c r="K58" i="12" s="1"/>
  <c r="I62" i="12"/>
  <c r="K62" i="12" s="1"/>
  <c r="I67" i="12"/>
  <c r="K67" i="12" s="1"/>
  <c r="I70" i="12"/>
  <c r="K70" i="12" s="1"/>
  <c r="I76" i="12"/>
  <c r="K76" i="12" s="1"/>
  <c r="I11" i="8"/>
  <c r="K11" i="8" s="1"/>
  <c r="I19" i="8"/>
  <c r="K19" i="8" s="1"/>
  <c r="I23" i="8"/>
  <c r="K23" i="8" s="1"/>
  <c r="I31" i="8"/>
  <c r="K31" i="8" s="1"/>
  <c r="I47" i="8"/>
  <c r="K47" i="8" s="1"/>
  <c r="J15" i="8"/>
  <c r="J27" i="8"/>
  <c r="J35" i="8"/>
  <c r="J39" i="8"/>
  <c r="J43" i="8"/>
  <c r="I8" i="8"/>
  <c r="K8" i="8" s="1"/>
  <c r="I12" i="8"/>
  <c r="K12" i="8" s="1"/>
  <c r="I16" i="8"/>
  <c r="K16" i="8" s="1"/>
  <c r="I20" i="8"/>
  <c r="K20" i="8" s="1"/>
  <c r="I24" i="8"/>
  <c r="K24" i="8" s="1"/>
  <c r="I28" i="8"/>
  <c r="K28" i="8" s="1"/>
  <c r="I32" i="8"/>
  <c r="K32" i="8" s="1"/>
  <c r="I36" i="8"/>
  <c r="K36" i="8" s="1"/>
  <c r="I40" i="8"/>
  <c r="K40" i="8" s="1"/>
  <c r="I44" i="8"/>
  <c r="K44" i="8" s="1"/>
  <c r="I48" i="8"/>
  <c r="K48" i="8" s="1"/>
  <c r="I52" i="8"/>
  <c r="K52" i="8" s="1"/>
  <c r="I56" i="8"/>
  <c r="K56" i="8" s="1"/>
  <c r="I60" i="8"/>
  <c r="K60" i="8" s="1"/>
  <c r="I64" i="8"/>
  <c r="K64" i="8" s="1"/>
  <c r="I68" i="8"/>
  <c r="K68" i="8" s="1"/>
  <c r="I9" i="8"/>
  <c r="K9" i="8" s="1"/>
  <c r="I13" i="8"/>
  <c r="K13" i="8" s="1"/>
  <c r="I17" i="8"/>
  <c r="K17" i="8" s="1"/>
  <c r="I21" i="8"/>
  <c r="K21" i="8" s="1"/>
  <c r="I25" i="8"/>
  <c r="K25" i="8" s="1"/>
  <c r="I29" i="8"/>
  <c r="K29" i="8" s="1"/>
  <c r="I33" i="8"/>
  <c r="K33" i="8" s="1"/>
  <c r="I37" i="8"/>
  <c r="K37" i="8" s="1"/>
  <c r="I41" i="8"/>
  <c r="K41" i="8" s="1"/>
  <c r="I45" i="8"/>
  <c r="K45" i="8" s="1"/>
  <c r="I49" i="8"/>
  <c r="K49" i="8" s="1"/>
  <c r="I53" i="8"/>
  <c r="K53" i="8" s="1"/>
  <c r="I57" i="8"/>
  <c r="K57" i="8" s="1"/>
  <c r="I61" i="8"/>
  <c r="K61" i="8" s="1"/>
  <c r="I65" i="8"/>
  <c r="K65" i="8" s="1"/>
  <c r="I69" i="8"/>
  <c r="K69" i="8" s="1"/>
  <c r="I10" i="8"/>
  <c r="K10" i="8" s="1"/>
  <c r="I14" i="8"/>
  <c r="K14" i="8" s="1"/>
  <c r="I18" i="8"/>
  <c r="K18" i="8" s="1"/>
  <c r="I22" i="8"/>
  <c r="K22" i="8" s="1"/>
  <c r="I26" i="8"/>
  <c r="K26" i="8" s="1"/>
  <c r="I30" i="8"/>
  <c r="K30" i="8" s="1"/>
  <c r="I34" i="8"/>
  <c r="K34" i="8" s="1"/>
  <c r="I38" i="8"/>
  <c r="K38" i="8" s="1"/>
  <c r="I42" i="8"/>
  <c r="K42" i="8" s="1"/>
  <c r="I46" i="8"/>
  <c r="K46" i="8" s="1"/>
  <c r="I50" i="8"/>
  <c r="K50" i="8" s="1"/>
  <c r="I54" i="8"/>
  <c r="K54" i="8" s="1"/>
  <c r="I58" i="8"/>
  <c r="K58" i="8" s="1"/>
  <c r="I62" i="8"/>
  <c r="K62" i="8" s="1"/>
  <c r="I66" i="8"/>
  <c r="K66" i="8" s="1"/>
  <c r="I70" i="8"/>
  <c r="K70" i="8" s="1"/>
  <c r="J11" i="7"/>
  <c r="J15" i="7"/>
  <c r="J19" i="7"/>
  <c r="J23" i="7"/>
  <c r="J27" i="7"/>
  <c r="J31" i="7"/>
  <c r="J35" i="7"/>
  <c r="J39" i="7"/>
  <c r="I12" i="7"/>
  <c r="K12" i="7" s="1"/>
  <c r="I16" i="7"/>
  <c r="K16" i="7" s="1"/>
  <c r="I20" i="7"/>
  <c r="K20" i="7" s="1"/>
  <c r="I24" i="7"/>
  <c r="K24" i="7" s="1"/>
  <c r="I28" i="7"/>
  <c r="K28" i="7" s="1"/>
  <c r="I32" i="7"/>
  <c r="K32" i="7" s="1"/>
  <c r="I36" i="7"/>
  <c r="K36" i="7" s="1"/>
  <c r="I40" i="7"/>
  <c r="K40" i="7" s="1"/>
  <c r="I44" i="7"/>
  <c r="K44" i="7" s="1"/>
  <c r="I48" i="7"/>
  <c r="K48" i="7" s="1"/>
  <c r="I52" i="7"/>
  <c r="K52" i="7" s="1"/>
  <c r="I56" i="7"/>
  <c r="K56" i="7" s="1"/>
  <c r="I64" i="7"/>
  <c r="K64" i="7" s="1"/>
  <c r="I8" i="7"/>
  <c r="K8" i="7" s="1"/>
  <c r="I60" i="7"/>
  <c r="K60" i="7" s="1"/>
  <c r="J8" i="7"/>
  <c r="J9" i="7"/>
  <c r="J17" i="7"/>
  <c r="J25" i="7"/>
  <c r="J37" i="7"/>
  <c r="J41" i="7"/>
  <c r="J45" i="7"/>
  <c r="J49" i="7"/>
  <c r="J53" i="7"/>
  <c r="J57" i="7"/>
  <c r="J61" i="7"/>
  <c r="J65" i="7"/>
  <c r="J29" i="7"/>
  <c r="J13" i="7"/>
  <c r="I10" i="7"/>
  <c r="K10" i="7" s="1"/>
  <c r="I14" i="7"/>
  <c r="K14" i="7" s="1"/>
  <c r="I18" i="7"/>
  <c r="K18" i="7" s="1"/>
  <c r="I22" i="7"/>
  <c r="K22" i="7" s="1"/>
  <c r="I26" i="7"/>
  <c r="K26" i="7" s="1"/>
  <c r="I30" i="7"/>
  <c r="K30" i="7" s="1"/>
  <c r="I34" i="7"/>
  <c r="K34" i="7" s="1"/>
  <c r="I38" i="7"/>
  <c r="K38" i="7" s="1"/>
  <c r="I42" i="7"/>
  <c r="K42" i="7" s="1"/>
  <c r="I46" i="7"/>
  <c r="K46" i="7" s="1"/>
  <c r="I50" i="7"/>
  <c r="K50" i="7" s="1"/>
  <c r="I54" i="7"/>
  <c r="K54" i="7" s="1"/>
  <c r="I58" i="7"/>
  <c r="K58" i="7" s="1"/>
  <c r="I62" i="7"/>
  <c r="K62" i="7" s="1"/>
  <c r="I66" i="7"/>
  <c r="K66" i="7" s="1"/>
  <c r="J21" i="7"/>
  <c r="I35" i="6"/>
  <c r="J19" i="6"/>
  <c r="I8" i="6"/>
  <c r="I12" i="6"/>
  <c r="I16" i="6"/>
  <c r="I20" i="6"/>
  <c r="I24" i="6"/>
  <c r="I28" i="6"/>
  <c r="I32" i="6"/>
  <c r="I36" i="6"/>
  <c r="I40" i="6"/>
  <c r="I44" i="6"/>
  <c r="I48" i="6"/>
  <c r="I52" i="6"/>
  <c r="I56" i="6"/>
  <c r="I60" i="6"/>
  <c r="I64" i="6"/>
  <c r="I23" i="6"/>
  <c r="J11" i="6"/>
  <c r="I31" i="6"/>
  <c r="J15" i="6"/>
  <c r="J39" i="6"/>
  <c r="I9" i="6"/>
  <c r="I13" i="6"/>
  <c r="I17" i="6"/>
  <c r="I21" i="6"/>
  <c r="I25" i="6"/>
  <c r="I29" i="6"/>
  <c r="I33" i="6"/>
  <c r="I37" i="6"/>
  <c r="I41" i="6"/>
  <c r="I45" i="6"/>
  <c r="I49" i="6"/>
  <c r="I53" i="6"/>
  <c r="I57" i="6"/>
  <c r="I61" i="6"/>
  <c r="I65" i="6"/>
  <c r="I27" i="6"/>
  <c r="J43" i="6"/>
  <c r="I11" i="6"/>
  <c r="I10" i="6"/>
  <c r="I14" i="6"/>
  <c r="I18" i="6"/>
  <c r="I22" i="6"/>
  <c r="I26" i="6"/>
  <c r="I30" i="6"/>
  <c r="I34" i="6"/>
  <c r="I38" i="6"/>
  <c r="I42" i="6"/>
  <c r="I46" i="6"/>
  <c r="I50" i="6"/>
  <c r="I54" i="6"/>
  <c r="I58" i="6"/>
  <c r="I62" i="6"/>
  <c r="I66" i="6"/>
  <c r="I43" i="13"/>
  <c r="K43" i="13" s="1"/>
  <c r="J23" i="13"/>
  <c r="J39" i="13"/>
  <c r="J47" i="13"/>
  <c r="J67" i="13"/>
  <c r="I15" i="13"/>
  <c r="K15" i="13" s="1"/>
  <c r="I59" i="13"/>
  <c r="K59" i="13" s="1"/>
  <c r="J51" i="13"/>
  <c r="I63" i="13"/>
  <c r="K63" i="13" s="1"/>
  <c r="I12" i="13"/>
  <c r="K12" i="13" s="1"/>
  <c r="I20" i="13"/>
  <c r="K20" i="13" s="1"/>
  <c r="I40" i="13"/>
  <c r="K40" i="13" s="1"/>
  <c r="I56" i="13"/>
  <c r="K56" i="13" s="1"/>
  <c r="I64" i="13"/>
  <c r="K64" i="13" s="1"/>
  <c r="I55" i="13"/>
  <c r="K55" i="13" s="1"/>
  <c r="J11" i="13"/>
  <c r="I52" i="13"/>
  <c r="K52" i="13" s="1"/>
  <c r="J8" i="13"/>
  <c r="J48" i="13"/>
  <c r="I35" i="13"/>
  <c r="K35" i="13" s="1"/>
  <c r="I28" i="13"/>
  <c r="K28" i="13" s="1"/>
  <c r="J31" i="13"/>
  <c r="I32" i="13"/>
  <c r="K32" i="13" s="1"/>
  <c r="J36" i="13"/>
  <c r="J60" i="13"/>
  <c r="I9" i="13"/>
  <c r="K9" i="13" s="1"/>
  <c r="I13" i="13"/>
  <c r="K13" i="13" s="1"/>
  <c r="I17" i="13"/>
  <c r="K17" i="13" s="1"/>
  <c r="I21" i="13"/>
  <c r="K21" i="13" s="1"/>
  <c r="I25" i="13"/>
  <c r="K25" i="13" s="1"/>
  <c r="I29" i="13"/>
  <c r="K29" i="13" s="1"/>
  <c r="I33" i="13"/>
  <c r="K33" i="13" s="1"/>
  <c r="I37" i="13"/>
  <c r="K37" i="13" s="1"/>
  <c r="I41" i="13"/>
  <c r="K41" i="13" s="1"/>
  <c r="I45" i="13"/>
  <c r="K45" i="13" s="1"/>
  <c r="I49" i="13"/>
  <c r="K49" i="13" s="1"/>
  <c r="I53" i="13"/>
  <c r="K53" i="13" s="1"/>
  <c r="I57" i="13"/>
  <c r="K57" i="13" s="1"/>
  <c r="I61" i="13"/>
  <c r="K61" i="13" s="1"/>
  <c r="I65" i="13"/>
  <c r="K65" i="13" s="1"/>
  <c r="J19" i="13"/>
  <c r="J24" i="13"/>
  <c r="I27" i="13"/>
  <c r="K27" i="13" s="1"/>
  <c r="J44" i="13"/>
  <c r="J68" i="13"/>
  <c r="I10" i="13"/>
  <c r="K10" i="13" s="1"/>
  <c r="I14" i="13"/>
  <c r="K14" i="13" s="1"/>
  <c r="I18" i="13"/>
  <c r="K18" i="13" s="1"/>
  <c r="I22" i="13"/>
  <c r="K22" i="13" s="1"/>
  <c r="I26" i="13"/>
  <c r="K26" i="13" s="1"/>
  <c r="I30" i="13"/>
  <c r="K30" i="13" s="1"/>
  <c r="I34" i="13"/>
  <c r="K34" i="13" s="1"/>
  <c r="I38" i="13"/>
  <c r="K38" i="13" s="1"/>
  <c r="I42" i="13"/>
  <c r="K42" i="13" s="1"/>
  <c r="I46" i="13"/>
  <c r="K46" i="13" s="1"/>
  <c r="I50" i="13"/>
  <c r="K50" i="13" s="1"/>
  <c r="I54" i="13"/>
  <c r="K54" i="13" s="1"/>
  <c r="I58" i="13"/>
  <c r="K58" i="13" s="1"/>
  <c r="I62" i="13"/>
  <c r="K62" i="13" s="1"/>
  <c r="I66" i="13"/>
  <c r="K66" i="13" s="1"/>
  <c r="I16" i="13"/>
  <c r="K16" i="13" s="1"/>
  <c r="I11" i="9"/>
  <c r="K11" i="9" s="1"/>
  <c r="I43" i="9"/>
  <c r="K43" i="9" s="1"/>
  <c r="I63" i="9"/>
  <c r="K63" i="9" s="1"/>
  <c r="J22" i="9"/>
  <c r="J39" i="9"/>
  <c r="J51" i="9"/>
  <c r="J59" i="9"/>
  <c r="J55" i="9"/>
  <c r="I8" i="9"/>
  <c r="K8" i="9" s="1"/>
  <c r="I13" i="9"/>
  <c r="K13" i="9" s="1"/>
  <c r="I16" i="9"/>
  <c r="K16" i="9" s="1"/>
  <c r="I20" i="9"/>
  <c r="K20" i="9" s="1"/>
  <c r="I24" i="9"/>
  <c r="K24" i="9" s="1"/>
  <c r="I29" i="9"/>
  <c r="K29" i="9" s="1"/>
  <c r="I32" i="9"/>
  <c r="K32" i="9" s="1"/>
  <c r="I36" i="9"/>
  <c r="K36" i="9" s="1"/>
  <c r="I40" i="9"/>
  <c r="K40" i="9" s="1"/>
  <c r="I44" i="9"/>
  <c r="K44" i="9" s="1"/>
  <c r="I48" i="9"/>
  <c r="K48" i="9" s="1"/>
  <c r="I52" i="9"/>
  <c r="K52" i="9" s="1"/>
  <c r="I56" i="9"/>
  <c r="K56" i="9" s="1"/>
  <c r="I60" i="9"/>
  <c r="K60" i="9" s="1"/>
  <c r="I64" i="9"/>
  <c r="K64" i="9" s="1"/>
  <c r="I47" i="9"/>
  <c r="K47" i="9" s="1"/>
  <c r="I35" i="9"/>
  <c r="K35" i="9" s="1"/>
  <c r="I15" i="9"/>
  <c r="K15" i="9" s="1"/>
  <c r="J31" i="9"/>
  <c r="I9" i="9"/>
  <c r="K9" i="9" s="1"/>
  <c r="I12" i="9"/>
  <c r="K12" i="9" s="1"/>
  <c r="I17" i="9"/>
  <c r="K17" i="9" s="1"/>
  <c r="I21" i="9"/>
  <c r="K21" i="9" s="1"/>
  <c r="I25" i="9"/>
  <c r="K25" i="9" s="1"/>
  <c r="I28" i="9"/>
  <c r="K28" i="9" s="1"/>
  <c r="I33" i="9"/>
  <c r="K33" i="9" s="1"/>
  <c r="I37" i="9"/>
  <c r="K37" i="9" s="1"/>
  <c r="I41" i="9"/>
  <c r="K41" i="9" s="1"/>
  <c r="I45" i="9"/>
  <c r="K45" i="9" s="1"/>
  <c r="I49" i="9"/>
  <c r="K49" i="9" s="1"/>
  <c r="I53" i="9"/>
  <c r="K53" i="9" s="1"/>
  <c r="I57" i="9"/>
  <c r="K57" i="9" s="1"/>
  <c r="I61" i="9"/>
  <c r="K61" i="9" s="1"/>
  <c r="I65" i="9"/>
  <c r="K65" i="9" s="1"/>
  <c r="J26" i="9"/>
  <c r="J19" i="9"/>
  <c r="I18" i="9"/>
  <c r="K18" i="9" s="1"/>
  <c r="I30" i="9"/>
  <c r="K30" i="9" s="1"/>
  <c r="I38" i="9"/>
  <c r="K38" i="9" s="1"/>
  <c r="I46" i="9"/>
  <c r="K46" i="9" s="1"/>
  <c r="I54" i="9"/>
  <c r="K54" i="9" s="1"/>
  <c r="I62" i="9"/>
  <c r="K62" i="9" s="1"/>
  <c r="I66" i="9"/>
  <c r="K66" i="9" s="1"/>
  <c r="I10" i="9"/>
  <c r="K10" i="9" s="1"/>
  <c r="I14" i="9"/>
  <c r="K14" i="9" s="1"/>
  <c r="I23" i="9"/>
  <c r="K23" i="9" s="1"/>
  <c r="I27" i="9"/>
  <c r="K27" i="9" s="1"/>
  <c r="I34" i="9"/>
  <c r="K34" i="9" s="1"/>
  <c r="I42" i="9"/>
  <c r="K42" i="9" s="1"/>
  <c r="I50" i="9"/>
  <c r="K50" i="9" s="1"/>
  <c r="I58" i="9"/>
  <c r="K58" i="9" s="1"/>
  <c r="K14" i="6" l="1"/>
  <c r="N14" i="6"/>
  <c r="K21" i="6"/>
  <c r="N21" i="6"/>
  <c r="K36" i="6"/>
  <c r="N36" i="6"/>
  <c r="K17" i="6"/>
  <c r="N17" i="6"/>
  <c r="K32" i="6"/>
  <c r="N32" i="6"/>
  <c r="K11" i="6"/>
  <c r="N11" i="6"/>
  <c r="K13" i="6"/>
  <c r="N13" i="6"/>
  <c r="K28" i="6"/>
  <c r="N28" i="6"/>
  <c r="K66" i="6"/>
  <c r="N66" i="6"/>
  <c r="K9" i="6"/>
  <c r="N9" i="6"/>
  <c r="K24" i="6"/>
  <c r="N24" i="6"/>
  <c r="K62" i="6"/>
  <c r="N62" i="6"/>
  <c r="K27" i="6"/>
  <c r="N27" i="6"/>
  <c r="K20" i="6"/>
  <c r="N20" i="6"/>
  <c r="K58" i="6"/>
  <c r="N58" i="6"/>
  <c r="K65" i="6"/>
  <c r="N65" i="6"/>
  <c r="K16" i="6"/>
  <c r="N16" i="6"/>
  <c r="K54" i="6"/>
  <c r="N54" i="6"/>
  <c r="K61" i="6"/>
  <c r="N61" i="6"/>
  <c r="K31" i="6"/>
  <c r="N31" i="6"/>
  <c r="K12" i="6"/>
  <c r="N12" i="6"/>
  <c r="K10" i="6"/>
  <c r="N10" i="6"/>
  <c r="K50" i="6"/>
  <c r="N50" i="6"/>
  <c r="K57" i="6"/>
  <c r="N57" i="6"/>
  <c r="K8" i="6"/>
  <c r="N8" i="6"/>
  <c r="K46" i="6"/>
  <c r="N46" i="6"/>
  <c r="K53" i="6"/>
  <c r="N53" i="6"/>
  <c r="K23" i="6"/>
  <c r="N23" i="6"/>
  <c r="K42" i="6"/>
  <c r="N42" i="6"/>
  <c r="K49" i="6"/>
  <c r="N49" i="6"/>
  <c r="K64" i="6"/>
  <c r="N64" i="6"/>
  <c r="K35" i="6"/>
  <c r="N35" i="6"/>
  <c r="K38" i="6"/>
  <c r="N38" i="6"/>
  <c r="K45" i="6"/>
  <c r="N45" i="6"/>
  <c r="K60" i="6"/>
  <c r="N60" i="6"/>
  <c r="K34" i="6"/>
  <c r="N34" i="6"/>
  <c r="K41" i="6"/>
  <c r="N41" i="6"/>
  <c r="K56" i="6"/>
  <c r="N56" i="6"/>
  <c r="K30" i="6"/>
  <c r="N30" i="6"/>
  <c r="K37" i="6"/>
  <c r="N37" i="6"/>
  <c r="K52" i="6"/>
  <c r="N52" i="6"/>
  <c r="K26" i="6"/>
  <c r="N26" i="6"/>
  <c r="K33" i="6"/>
  <c r="N33" i="6"/>
  <c r="K48" i="6"/>
  <c r="N48" i="6"/>
  <c r="K22" i="6"/>
  <c r="N22" i="6"/>
  <c r="K29" i="6"/>
  <c r="N29" i="6"/>
  <c r="K44" i="6"/>
  <c r="N44" i="6"/>
  <c r="K18" i="6"/>
  <c r="N18" i="6"/>
  <c r="K25" i="6"/>
  <c r="N25" i="6"/>
  <c r="K40" i="6"/>
  <c r="N40" i="6"/>
  <c r="Q92" i="5"/>
  <c r="P92" i="5"/>
  <c r="L92" i="5"/>
  <c r="M92" i="5" s="1"/>
  <c r="I92" i="5"/>
  <c r="H92" i="5"/>
  <c r="P91" i="5"/>
  <c r="Q91" i="5" s="1"/>
  <c r="L91" i="5"/>
  <c r="M91" i="5" s="1"/>
  <c r="H91" i="5"/>
  <c r="I91" i="5" s="1"/>
  <c r="P90" i="5"/>
  <c r="Q90" i="5" s="1"/>
  <c r="L90" i="5"/>
  <c r="M90" i="5" s="1"/>
  <c r="H90" i="5"/>
  <c r="I90" i="5" s="1"/>
  <c r="Q89" i="5"/>
  <c r="P89" i="5"/>
  <c r="L89" i="5"/>
  <c r="M89" i="5" s="1"/>
  <c r="H89" i="5"/>
  <c r="I89" i="5" s="1"/>
  <c r="Q88" i="5"/>
  <c r="P88" i="5"/>
  <c r="L88" i="5"/>
  <c r="M88" i="5" s="1"/>
  <c r="H88" i="5"/>
  <c r="I88" i="5" s="1"/>
  <c r="Q87" i="5"/>
  <c r="P87" i="5"/>
  <c r="L87" i="5"/>
  <c r="M87" i="5" s="1"/>
  <c r="H87" i="5"/>
  <c r="I87" i="5" s="1"/>
  <c r="P86" i="5"/>
  <c r="Q86" i="5" s="1"/>
  <c r="L86" i="5"/>
  <c r="M86" i="5" s="1"/>
  <c r="H86" i="5"/>
  <c r="I86" i="5" s="1"/>
  <c r="P85" i="5"/>
  <c r="Q85" i="5" s="1"/>
  <c r="L85" i="5"/>
  <c r="M85" i="5" s="1"/>
  <c r="H85" i="5"/>
  <c r="I85" i="5" s="1"/>
  <c r="P84" i="5"/>
  <c r="Q84" i="5" s="1"/>
  <c r="L84" i="5"/>
  <c r="M84" i="5" s="1"/>
  <c r="I84" i="5"/>
  <c r="H84" i="5"/>
  <c r="P83" i="5"/>
  <c r="Q83" i="5" s="1"/>
  <c r="L83" i="5"/>
  <c r="M83" i="5" s="1"/>
  <c r="H83" i="5"/>
  <c r="I83" i="5" s="1"/>
  <c r="R83" i="5" s="1"/>
  <c r="P82" i="5"/>
  <c r="Q82" i="5" s="1"/>
  <c r="L82" i="5"/>
  <c r="M82" i="5" s="1"/>
  <c r="H82" i="5"/>
  <c r="I82" i="5" s="1"/>
  <c r="P81" i="5"/>
  <c r="Q81" i="5" s="1"/>
  <c r="L81" i="5"/>
  <c r="M81" i="5" s="1"/>
  <c r="I81" i="5"/>
  <c r="H81" i="5"/>
  <c r="P80" i="5"/>
  <c r="Q80" i="5" s="1"/>
  <c r="M80" i="5"/>
  <c r="L80" i="5"/>
  <c r="I80" i="5"/>
  <c r="H80" i="5"/>
  <c r="P79" i="5"/>
  <c r="Q79" i="5" s="1"/>
  <c r="M79" i="5"/>
  <c r="L79" i="5"/>
  <c r="I79" i="5"/>
  <c r="H79" i="5"/>
  <c r="P78" i="5"/>
  <c r="Q78" i="5" s="1"/>
  <c r="M78" i="5"/>
  <c r="L78" i="5"/>
  <c r="I78" i="5"/>
  <c r="H78" i="5"/>
  <c r="Q77" i="5"/>
  <c r="P77" i="5"/>
  <c r="M77" i="5"/>
  <c r="L77" i="5"/>
  <c r="H77" i="5"/>
  <c r="I77" i="5" s="1"/>
  <c r="P76" i="5"/>
  <c r="Q76" i="5" s="1"/>
  <c r="L76" i="5"/>
  <c r="M76" i="5" s="1"/>
  <c r="I76" i="5"/>
  <c r="H76" i="5"/>
  <c r="P75" i="5"/>
  <c r="Q75" i="5" s="1"/>
  <c r="M75" i="5"/>
  <c r="L75" i="5"/>
  <c r="I75" i="5"/>
  <c r="H75" i="5"/>
  <c r="P74" i="5"/>
  <c r="Q74" i="5" s="1"/>
  <c r="M74" i="5"/>
  <c r="L74" i="5"/>
  <c r="H74" i="5"/>
  <c r="I74" i="5" s="1"/>
  <c r="P73" i="5"/>
  <c r="Q73" i="5" s="1"/>
  <c r="M73" i="5"/>
  <c r="L73" i="5"/>
  <c r="H73" i="5"/>
  <c r="I73" i="5" s="1"/>
  <c r="P72" i="5"/>
  <c r="Q72" i="5" s="1"/>
  <c r="L72" i="5"/>
  <c r="M72" i="5" s="1"/>
  <c r="H72" i="5"/>
  <c r="I72" i="5" s="1"/>
  <c r="Q71" i="5"/>
  <c r="P71" i="5"/>
  <c r="L71" i="5"/>
  <c r="M71" i="5" s="1"/>
  <c r="H71" i="5"/>
  <c r="I71" i="5" s="1"/>
  <c r="R71" i="5" s="1"/>
  <c r="P70" i="5"/>
  <c r="Q70" i="5" s="1"/>
  <c r="L70" i="5"/>
  <c r="M70" i="5" s="1"/>
  <c r="H70" i="5"/>
  <c r="I70" i="5" s="1"/>
  <c r="P69" i="5"/>
  <c r="Q69" i="5" s="1"/>
  <c r="L69" i="5"/>
  <c r="M69" i="5" s="1"/>
  <c r="H69" i="5"/>
  <c r="I69" i="5" s="1"/>
  <c r="R69" i="5" s="1"/>
  <c r="P68" i="5"/>
  <c r="Q68" i="5" s="1"/>
  <c r="L68" i="5"/>
  <c r="M68" i="5" s="1"/>
  <c r="H68" i="5"/>
  <c r="I68" i="5" s="1"/>
  <c r="P67" i="5"/>
  <c r="Q67" i="5" s="1"/>
  <c r="L67" i="5"/>
  <c r="M67" i="5" s="1"/>
  <c r="H67" i="5"/>
  <c r="I67" i="5" s="1"/>
  <c r="R67" i="5" s="1"/>
  <c r="P66" i="5"/>
  <c r="Q66" i="5" s="1"/>
  <c r="M66" i="5"/>
  <c r="L66" i="5"/>
  <c r="I66" i="5"/>
  <c r="R66" i="5" s="1"/>
  <c r="H66" i="5"/>
  <c r="P65" i="5"/>
  <c r="Q65" i="5" s="1"/>
  <c r="L65" i="5"/>
  <c r="M65" i="5" s="1"/>
  <c r="H65" i="5"/>
  <c r="I65" i="5" s="1"/>
  <c r="P64" i="5"/>
  <c r="Q64" i="5" s="1"/>
  <c r="L64" i="5"/>
  <c r="M64" i="5" s="1"/>
  <c r="H64" i="5"/>
  <c r="I64" i="5" s="1"/>
  <c r="R64" i="5" s="1"/>
  <c r="P63" i="5"/>
  <c r="Q63" i="5" s="1"/>
  <c r="M63" i="5"/>
  <c r="L63" i="5"/>
  <c r="I63" i="5"/>
  <c r="H63" i="5"/>
  <c r="R62" i="5"/>
  <c r="S62" i="5" s="1"/>
  <c r="Q62" i="5"/>
  <c r="P62" i="5"/>
  <c r="M62" i="5"/>
  <c r="L62" i="5"/>
  <c r="H62" i="5"/>
  <c r="I62" i="5" s="1"/>
  <c r="Q61" i="5"/>
  <c r="P61" i="5"/>
  <c r="L61" i="5"/>
  <c r="M61" i="5" s="1"/>
  <c r="H61" i="5"/>
  <c r="I61" i="5" s="1"/>
  <c r="P60" i="5"/>
  <c r="Q60" i="5" s="1"/>
  <c r="L60" i="5"/>
  <c r="M60" i="5" s="1"/>
  <c r="I60" i="5"/>
  <c r="H60" i="5"/>
  <c r="Q59" i="5"/>
  <c r="P59" i="5"/>
  <c r="L59" i="5"/>
  <c r="M59" i="5" s="1"/>
  <c r="I59" i="5"/>
  <c r="H59" i="5"/>
  <c r="P58" i="5"/>
  <c r="Q58" i="5" s="1"/>
  <c r="M58" i="5"/>
  <c r="L58" i="5"/>
  <c r="H58" i="5"/>
  <c r="I58" i="5" s="1"/>
  <c r="P57" i="5"/>
  <c r="Q57" i="5" s="1"/>
  <c r="L57" i="5"/>
  <c r="M57" i="5" s="1"/>
  <c r="H57" i="5"/>
  <c r="I57" i="5" s="1"/>
  <c r="Q56" i="5"/>
  <c r="P56" i="5"/>
  <c r="L56" i="5"/>
  <c r="M56" i="5" s="1"/>
  <c r="H56" i="5"/>
  <c r="I56" i="5" s="1"/>
  <c r="Q55" i="5"/>
  <c r="P55" i="5"/>
  <c r="L55" i="5"/>
  <c r="M55" i="5" s="1"/>
  <c r="H55" i="5"/>
  <c r="I55" i="5" s="1"/>
  <c r="P54" i="5"/>
  <c r="Q54" i="5" s="1"/>
  <c r="L54" i="5"/>
  <c r="M54" i="5" s="1"/>
  <c r="H54" i="5"/>
  <c r="I54" i="5" s="1"/>
  <c r="P53" i="5"/>
  <c r="Q53" i="5" s="1"/>
  <c r="L53" i="5"/>
  <c r="M53" i="5" s="1"/>
  <c r="H53" i="5"/>
  <c r="I53" i="5" s="1"/>
  <c r="P52" i="5"/>
  <c r="Q52" i="5" s="1"/>
  <c r="L52" i="5"/>
  <c r="M52" i="5" s="1"/>
  <c r="H52" i="5"/>
  <c r="I52" i="5" s="1"/>
  <c r="P51" i="5"/>
  <c r="Q51" i="5" s="1"/>
  <c r="L51" i="5"/>
  <c r="M51" i="5" s="1"/>
  <c r="H51" i="5"/>
  <c r="I51" i="5" s="1"/>
  <c r="R51" i="5" s="1"/>
  <c r="P50" i="5"/>
  <c r="Q50" i="5" s="1"/>
  <c r="M50" i="5"/>
  <c r="L50" i="5"/>
  <c r="H50" i="5"/>
  <c r="I50" i="5" s="1"/>
  <c r="R50" i="5" s="1"/>
  <c r="S50" i="5" s="1"/>
  <c r="P49" i="5"/>
  <c r="Q49" i="5" s="1"/>
  <c r="L49" i="5"/>
  <c r="M49" i="5" s="1"/>
  <c r="H49" i="5"/>
  <c r="I49" i="5" s="1"/>
  <c r="R49" i="5" s="1"/>
  <c r="S49" i="5" s="1"/>
  <c r="P48" i="5"/>
  <c r="Q48" i="5" s="1"/>
  <c r="L48" i="5"/>
  <c r="M48" i="5" s="1"/>
  <c r="I48" i="5"/>
  <c r="H48" i="5"/>
  <c r="P47" i="5"/>
  <c r="Q47" i="5" s="1"/>
  <c r="L47" i="5"/>
  <c r="M47" i="5" s="1"/>
  <c r="I47" i="5"/>
  <c r="H47" i="5"/>
  <c r="P46" i="5"/>
  <c r="Q46" i="5" s="1"/>
  <c r="L46" i="5"/>
  <c r="M46" i="5" s="1"/>
  <c r="H46" i="5"/>
  <c r="I46" i="5" s="1"/>
  <c r="P45" i="5"/>
  <c r="Q45" i="5" s="1"/>
  <c r="L45" i="5"/>
  <c r="M45" i="5" s="1"/>
  <c r="H45" i="5"/>
  <c r="I45" i="5" s="1"/>
  <c r="Q44" i="5"/>
  <c r="P44" i="5"/>
  <c r="L44" i="5"/>
  <c r="M44" i="5" s="1"/>
  <c r="H44" i="5"/>
  <c r="I44" i="5" s="1"/>
  <c r="Q43" i="5"/>
  <c r="P43" i="5"/>
  <c r="L43" i="5"/>
  <c r="M43" i="5" s="1"/>
  <c r="H43" i="5"/>
  <c r="I43" i="5" s="1"/>
  <c r="P42" i="5"/>
  <c r="Q42" i="5" s="1"/>
  <c r="L42" i="5"/>
  <c r="M42" i="5" s="1"/>
  <c r="H42" i="5"/>
  <c r="I42" i="5" s="1"/>
  <c r="P41" i="5"/>
  <c r="Q41" i="5" s="1"/>
  <c r="L41" i="5"/>
  <c r="M41" i="5" s="1"/>
  <c r="H41" i="5"/>
  <c r="I41" i="5" s="1"/>
  <c r="R41" i="5" s="1"/>
  <c r="Q40" i="5"/>
  <c r="P40" i="5"/>
  <c r="L40" i="5"/>
  <c r="M40" i="5" s="1"/>
  <c r="H40" i="5"/>
  <c r="I40" i="5" s="1"/>
  <c r="Q39" i="5"/>
  <c r="P39" i="5"/>
  <c r="L39" i="5"/>
  <c r="M39" i="5" s="1"/>
  <c r="H39" i="5"/>
  <c r="I39" i="5" s="1"/>
  <c r="P38" i="5"/>
  <c r="Q38" i="5" s="1"/>
  <c r="L38" i="5"/>
  <c r="M38" i="5" s="1"/>
  <c r="H38" i="5"/>
  <c r="I38" i="5" s="1"/>
  <c r="P37" i="5"/>
  <c r="Q37" i="5" s="1"/>
  <c r="L37" i="5"/>
  <c r="M37" i="5" s="1"/>
  <c r="H37" i="5"/>
  <c r="I37" i="5" s="1"/>
  <c r="P36" i="5"/>
  <c r="Q36" i="5" s="1"/>
  <c r="L36" i="5"/>
  <c r="M36" i="5" s="1"/>
  <c r="H36" i="5"/>
  <c r="I36" i="5" s="1"/>
  <c r="P35" i="5"/>
  <c r="Q35" i="5" s="1"/>
  <c r="L35" i="5"/>
  <c r="M35" i="5" s="1"/>
  <c r="H35" i="5"/>
  <c r="I35" i="5" s="1"/>
  <c r="P34" i="5"/>
  <c r="Q34" i="5" s="1"/>
  <c r="L34" i="5"/>
  <c r="M34" i="5" s="1"/>
  <c r="H34" i="5"/>
  <c r="I34" i="5" s="1"/>
  <c r="P33" i="5"/>
  <c r="Q33" i="5" s="1"/>
  <c r="L33" i="5"/>
  <c r="M33" i="5" s="1"/>
  <c r="I33" i="5"/>
  <c r="H33" i="5"/>
  <c r="P32" i="5"/>
  <c r="Q32" i="5" s="1"/>
  <c r="L32" i="5"/>
  <c r="M32" i="5" s="1"/>
  <c r="H32" i="5"/>
  <c r="I32" i="5" s="1"/>
  <c r="P31" i="5"/>
  <c r="Q31" i="5" s="1"/>
  <c r="M31" i="5"/>
  <c r="L31" i="5"/>
  <c r="I31" i="5"/>
  <c r="H31" i="5"/>
  <c r="P30" i="5"/>
  <c r="Q30" i="5" s="1"/>
  <c r="R30" i="5" s="1"/>
  <c r="M30" i="5"/>
  <c r="L30" i="5"/>
  <c r="H30" i="5"/>
  <c r="I30" i="5" s="1"/>
  <c r="Q29" i="5"/>
  <c r="P29" i="5"/>
  <c r="M29" i="5"/>
  <c r="L29" i="5"/>
  <c r="H29" i="5"/>
  <c r="I29" i="5" s="1"/>
  <c r="Q28" i="5"/>
  <c r="P28" i="5"/>
  <c r="L28" i="5"/>
  <c r="M28" i="5" s="1"/>
  <c r="H28" i="5"/>
  <c r="I28" i="5" s="1"/>
  <c r="R28" i="5" s="1"/>
  <c r="S28" i="5" s="1"/>
  <c r="Q27" i="5"/>
  <c r="P27" i="5"/>
  <c r="M27" i="5"/>
  <c r="L27" i="5"/>
  <c r="H27" i="5"/>
  <c r="I27" i="5" s="1"/>
  <c r="R27" i="5" s="1"/>
  <c r="P26" i="5"/>
  <c r="Q26" i="5" s="1"/>
  <c r="M26" i="5"/>
  <c r="L26" i="5"/>
  <c r="H26" i="5"/>
  <c r="I26" i="5" s="1"/>
  <c r="P25" i="5"/>
  <c r="Q25" i="5" s="1"/>
  <c r="M25" i="5"/>
  <c r="L25" i="5"/>
  <c r="I25" i="5"/>
  <c r="H25" i="5"/>
  <c r="Q24" i="5"/>
  <c r="P24" i="5"/>
  <c r="L24" i="5"/>
  <c r="M24" i="5" s="1"/>
  <c r="H24" i="5"/>
  <c r="I24" i="5" s="1"/>
  <c r="P23" i="5"/>
  <c r="Q23" i="5" s="1"/>
  <c r="M23" i="5"/>
  <c r="L23" i="5"/>
  <c r="H23" i="5"/>
  <c r="I23" i="5" s="1"/>
  <c r="P22" i="5"/>
  <c r="Q22" i="5" s="1"/>
  <c r="L22" i="5"/>
  <c r="M22" i="5" s="1"/>
  <c r="H22" i="5"/>
  <c r="I22" i="5" s="1"/>
  <c r="R22" i="5" s="1"/>
  <c r="P21" i="5"/>
  <c r="Q21" i="5" s="1"/>
  <c r="L21" i="5"/>
  <c r="M21" i="5" s="1"/>
  <c r="H21" i="5"/>
  <c r="I21" i="5" s="1"/>
  <c r="P20" i="5"/>
  <c r="Q20" i="5" s="1"/>
  <c r="L20" i="5"/>
  <c r="M20" i="5" s="1"/>
  <c r="H20" i="5"/>
  <c r="I20" i="5" s="1"/>
  <c r="P19" i="5"/>
  <c r="Q19" i="5" s="1"/>
  <c r="L19" i="5"/>
  <c r="M19" i="5" s="1"/>
  <c r="H19" i="5"/>
  <c r="I19" i="5" s="1"/>
  <c r="P18" i="5"/>
  <c r="Q18" i="5" s="1"/>
  <c r="L18" i="5"/>
  <c r="M18" i="5" s="1"/>
  <c r="H18" i="5"/>
  <c r="I18" i="5" s="1"/>
  <c r="P17" i="5"/>
  <c r="Q17" i="5" s="1"/>
  <c r="L17" i="5"/>
  <c r="M17" i="5" s="1"/>
  <c r="H17" i="5"/>
  <c r="I17" i="5" s="1"/>
  <c r="R17" i="5" s="1"/>
  <c r="P16" i="5"/>
  <c r="Q16" i="5" s="1"/>
  <c r="L16" i="5"/>
  <c r="M16" i="5" s="1"/>
  <c r="I16" i="5"/>
  <c r="H16" i="5"/>
  <c r="P15" i="5"/>
  <c r="Q15" i="5" s="1"/>
  <c r="M15" i="5"/>
  <c r="L15" i="5"/>
  <c r="I15" i="5"/>
  <c r="H15" i="5"/>
  <c r="P14" i="5"/>
  <c r="Q14" i="5" s="1"/>
  <c r="M14" i="5"/>
  <c r="L14" i="5"/>
  <c r="I14" i="5"/>
  <c r="H14" i="5"/>
  <c r="P13" i="5"/>
  <c r="Q13" i="5" s="1"/>
  <c r="M13" i="5"/>
  <c r="L13" i="5"/>
  <c r="H13" i="5"/>
  <c r="I13" i="5" s="1"/>
  <c r="P12" i="5"/>
  <c r="Q12" i="5" s="1"/>
  <c r="M12" i="5"/>
  <c r="L12" i="5"/>
  <c r="I12" i="5"/>
  <c r="H12" i="5"/>
  <c r="P11" i="5"/>
  <c r="Q11" i="5" s="1"/>
  <c r="L11" i="5"/>
  <c r="M11" i="5" s="1"/>
  <c r="I11" i="5"/>
  <c r="H11" i="5"/>
  <c r="P10" i="5"/>
  <c r="Q10" i="5" s="1"/>
  <c r="M10" i="5"/>
  <c r="L10" i="5"/>
  <c r="H10" i="5"/>
  <c r="I10" i="5" s="1"/>
  <c r="P9" i="5"/>
  <c r="Q9" i="5" s="1"/>
  <c r="M9" i="5"/>
  <c r="L9" i="5"/>
  <c r="H9" i="5"/>
  <c r="I9" i="5" s="1"/>
  <c r="Q8" i="5"/>
  <c r="P8" i="5"/>
  <c r="L8" i="5"/>
  <c r="M8" i="5" s="1"/>
  <c r="H8" i="5"/>
  <c r="I8" i="5" s="1"/>
  <c r="P7" i="5"/>
  <c r="Q7" i="5" s="1"/>
  <c r="L7" i="5"/>
  <c r="M7" i="5" s="1"/>
  <c r="H7" i="5"/>
  <c r="I7" i="5" s="1"/>
  <c r="P6" i="5"/>
  <c r="Q6" i="5" s="1"/>
  <c r="L6" i="5"/>
  <c r="M6" i="5" s="1"/>
  <c r="H6" i="5"/>
  <c r="I6" i="5" s="1"/>
  <c r="P5" i="5"/>
  <c r="Q5" i="5" s="1"/>
  <c r="L5" i="5"/>
  <c r="M5" i="5" s="1"/>
  <c r="H5" i="5"/>
  <c r="I5" i="5" s="1"/>
  <c r="R5" i="5" s="1"/>
  <c r="R45" i="5" l="1"/>
  <c r="R37" i="5"/>
  <c r="R8" i="5"/>
  <c r="T22" i="5" s="1"/>
  <c r="R23" i="5"/>
  <c r="S23" i="5" s="1"/>
  <c r="R88" i="5"/>
  <c r="R77" i="5"/>
  <c r="R12" i="5"/>
  <c r="R15" i="5"/>
  <c r="R24" i="5"/>
  <c r="R46" i="5"/>
  <c r="R55" i="5"/>
  <c r="R74" i="5"/>
  <c r="R80" i="5"/>
  <c r="R9" i="5"/>
  <c r="R84" i="5"/>
  <c r="R92" i="5"/>
  <c r="S92" i="5" s="1"/>
  <c r="I22" i="10"/>
  <c r="K22" i="10" s="1"/>
  <c r="R20" i="5"/>
  <c r="R35" i="5"/>
  <c r="R85" i="5"/>
  <c r="R10" i="5"/>
  <c r="R13" i="5"/>
  <c r="R16" i="5"/>
  <c r="S16" i="5" s="1"/>
  <c r="R21" i="5"/>
  <c r="S21" i="5" s="1"/>
  <c r="R36" i="5"/>
  <c r="S36" i="5" s="1"/>
  <c r="R44" i="5"/>
  <c r="S44" i="5" s="1"/>
  <c r="R52" i="5"/>
  <c r="R90" i="5"/>
  <c r="R7" i="5"/>
  <c r="R29" i="5"/>
  <c r="R53" i="5"/>
  <c r="R61" i="5"/>
  <c r="R78" i="5"/>
  <c r="R42" i="5"/>
  <c r="S42" i="5" s="1"/>
  <c r="R68" i="5"/>
  <c r="R87" i="5"/>
  <c r="S87" i="5" s="1"/>
  <c r="R91" i="5"/>
  <c r="R58" i="5"/>
  <c r="S58" i="5" s="1"/>
  <c r="R73" i="5"/>
  <c r="S73" i="5" s="1"/>
  <c r="R79" i="5"/>
  <c r="R14" i="5"/>
  <c r="R11" i="5"/>
  <c r="R76" i="5"/>
  <c r="S76" i="5" s="1"/>
  <c r="S55" i="5"/>
  <c r="S80" i="5"/>
  <c r="S9" i="5"/>
  <c r="S30" i="5"/>
  <c r="S12" i="5"/>
  <c r="S85" i="5"/>
  <c r="S51" i="5"/>
  <c r="R6" i="5"/>
  <c r="T49" i="5" s="1"/>
  <c r="S52" i="5"/>
  <c r="S15" i="5"/>
  <c r="S35" i="5"/>
  <c r="S10" i="5"/>
  <c r="S78" i="5"/>
  <c r="R32" i="5"/>
  <c r="S37" i="5"/>
  <c r="S45" i="5"/>
  <c r="R48" i="5"/>
  <c r="R57" i="5"/>
  <c r="S67" i="5"/>
  <c r="S7" i="5"/>
  <c r="S61" i="5"/>
  <c r="S64" i="5"/>
  <c r="S68" i="5"/>
  <c r="S91" i="5"/>
  <c r="S71" i="5"/>
  <c r="S29" i="5"/>
  <c r="S53" i="5"/>
  <c r="S11" i="5"/>
  <c r="R18" i="5"/>
  <c r="S46" i="5"/>
  <c r="S5" i="5"/>
  <c r="S17" i="5"/>
  <c r="S20" i="5"/>
  <c r="S13" i="5"/>
  <c r="S41" i="5"/>
  <c r="S14" i="5"/>
  <c r="S69" i="5"/>
  <c r="S83" i="5"/>
  <c r="R19" i="5"/>
  <c r="R34" i="5"/>
  <c r="R39" i="5"/>
  <c r="S77" i="5"/>
  <c r="R26" i="5"/>
  <c r="R60" i="5"/>
  <c r="R65" i="5"/>
  <c r="R75" i="5"/>
  <c r="R33" i="5"/>
  <c r="R72" i="5"/>
  <c r="R31" i="5"/>
  <c r="R63" i="5"/>
  <c r="S90" i="5"/>
  <c r="S66" i="5"/>
  <c r="R47" i="5"/>
  <c r="S88" i="5"/>
  <c r="S84" i="5"/>
  <c r="R40" i="5"/>
  <c r="R56" i="5"/>
  <c r="R70" i="5"/>
  <c r="R81" i="5"/>
  <c r="R43" i="5"/>
  <c r="R59" i="5"/>
  <c r="R89" i="5"/>
  <c r="R25" i="5"/>
  <c r="T27" i="5" s="1"/>
  <c r="S79" i="5"/>
  <c r="S22" i="5"/>
  <c r="R82" i="5"/>
  <c r="R38" i="5"/>
  <c r="S74" i="5"/>
  <c r="S24" i="5"/>
  <c r="S27" i="5"/>
  <c r="R54" i="5"/>
  <c r="R86" i="5"/>
  <c r="I62" i="10"/>
  <c r="K62" i="10" s="1"/>
  <c r="I61" i="10"/>
  <c r="K61" i="10" s="1"/>
  <c r="I60" i="10"/>
  <c r="K60" i="10" s="1"/>
  <c r="I59" i="10"/>
  <c r="K59" i="10" s="1"/>
  <c r="I58" i="10"/>
  <c r="K58" i="10" s="1"/>
  <c r="I42" i="10"/>
  <c r="K42" i="10" s="1"/>
  <c r="I41" i="10"/>
  <c r="K41" i="10" s="1"/>
  <c r="I40" i="10"/>
  <c r="K40" i="10" s="1"/>
  <c r="I39" i="10"/>
  <c r="K39" i="10" s="1"/>
  <c r="I38" i="10"/>
  <c r="K38" i="10" s="1"/>
  <c r="I32" i="10"/>
  <c r="K32" i="10" s="1"/>
  <c r="I31" i="10"/>
  <c r="K31" i="10" s="1"/>
  <c r="I30" i="10"/>
  <c r="K30" i="10" s="1"/>
  <c r="I29" i="10"/>
  <c r="K29" i="10" s="1"/>
  <c r="I28" i="10"/>
  <c r="K28" i="10" s="1"/>
  <c r="I21" i="10"/>
  <c r="K21" i="10" s="1"/>
  <c r="I20" i="10"/>
  <c r="K20" i="10" s="1"/>
  <c r="I19" i="10"/>
  <c r="K19" i="10" s="1"/>
  <c r="I18" i="10"/>
  <c r="K18" i="10" s="1"/>
  <c r="I57" i="10"/>
  <c r="K57" i="10" s="1"/>
  <c r="I56" i="10"/>
  <c r="K56" i="10" s="1"/>
  <c r="I55" i="10"/>
  <c r="K55" i="10" s="1"/>
  <c r="I54" i="10"/>
  <c r="K54" i="10" s="1"/>
  <c r="I53" i="10"/>
  <c r="K53" i="10" s="1"/>
  <c r="I52" i="10"/>
  <c r="K52" i="10" s="1"/>
  <c r="I51" i="10"/>
  <c r="K51" i="10" s="1"/>
  <c r="I50" i="10"/>
  <c r="K50" i="10" s="1"/>
  <c r="I49" i="10"/>
  <c r="K49" i="10" s="1"/>
  <c r="I48" i="10"/>
  <c r="K48" i="10" s="1"/>
  <c r="I17" i="10"/>
  <c r="K17" i="10" s="1"/>
  <c r="I16" i="10"/>
  <c r="K16" i="10" s="1"/>
  <c r="I15" i="10"/>
  <c r="K15" i="10" s="1"/>
  <c r="I14" i="10"/>
  <c r="K14" i="10" s="1"/>
  <c r="I13" i="10"/>
  <c r="K13" i="10" s="1"/>
  <c r="I47" i="10"/>
  <c r="K47" i="10" s="1"/>
  <c r="I46" i="10"/>
  <c r="K46" i="10" s="1"/>
  <c r="I45" i="10"/>
  <c r="K45" i="10" s="1"/>
  <c r="I44" i="10"/>
  <c r="K44" i="10" s="1"/>
  <c r="I43" i="10"/>
  <c r="K43" i="10" s="1"/>
  <c r="I69" i="10"/>
  <c r="K69" i="10" s="1"/>
  <c r="I68" i="10"/>
  <c r="K68" i="10" s="1"/>
  <c r="I37" i="10"/>
  <c r="K37" i="10" s="1"/>
  <c r="I36" i="10"/>
  <c r="K36" i="10" s="1"/>
  <c r="I35" i="10"/>
  <c r="K35" i="10" s="1"/>
  <c r="I34" i="10"/>
  <c r="K34" i="10" s="1"/>
  <c r="I33" i="10"/>
  <c r="K33" i="10" s="1"/>
  <c r="I12" i="10"/>
  <c r="K12" i="10" s="1"/>
  <c r="I11" i="10"/>
  <c r="K11" i="10" s="1"/>
  <c r="I10" i="10"/>
  <c r="K10" i="10" s="1"/>
  <c r="I9" i="10"/>
  <c r="K9" i="10" s="1"/>
  <c r="I8" i="10"/>
  <c r="K8" i="10" s="1"/>
  <c r="I27" i="10"/>
  <c r="K27" i="10" s="1"/>
  <c r="I26" i="10"/>
  <c r="K26" i="10" s="1"/>
  <c r="I25" i="10"/>
  <c r="K25" i="10" s="1"/>
  <c r="I24" i="10"/>
  <c r="K24" i="10" s="1"/>
  <c r="I23" i="10"/>
  <c r="K23" i="10" s="1"/>
  <c r="I67" i="10"/>
  <c r="K67" i="10" s="1"/>
  <c r="I66" i="10"/>
  <c r="K66" i="10" s="1"/>
  <c r="I65" i="10"/>
  <c r="K65" i="10" s="1"/>
  <c r="I64" i="10"/>
  <c r="K64" i="10" s="1"/>
  <c r="I63" i="10"/>
  <c r="K63" i="10" s="1"/>
  <c r="T9" i="5" l="1"/>
  <c r="T14" i="5"/>
  <c r="S8" i="5"/>
  <c r="T10" i="5"/>
  <c r="T67" i="5"/>
  <c r="T85" i="5"/>
  <c r="T50" i="5"/>
  <c r="S33" i="5"/>
  <c r="T33" i="5"/>
  <c r="T23" i="5"/>
  <c r="T17" i="5"/>
  <c r="T29" i="5"/>
  <c r="T74" i="5"/>
  <c r="T84" i="5"/>
  <c r="T88" i="5"/>
  <c r="T47" i="5"/>
  <c r="S47" i="5"/>
  <c r="T90" i="5"/>
  <c r="T44" i="5"/>
  <c r="T16" i="5"/>
  <c r="T78" i="5"/>
  <c r="T54" i="5"/>
  <c r="S54" i="5"/>
  <c r="T73" i="5"/>
  <c r="S60" i="5"/>
  <c r="T60" i="5"/>
  <c r="T41" i="5"/>
  <c r="T62" i="5"/>
  <c r="T71" i="5"/>
  <c r="T12" i="5"/>
  <c r="T82" i="5"/>
  <c r="S82" i="5"/>
  <c r="T26" i="5"/>
  <c r="S26" i="5"/>
  <c r="T35" i="5"/>
  <c r="T38" i="5"/>
  <c r="S38" i="5"/>
  <c r="T66" i="5"/>
  <c r="T21" i="5"/>
  <c r="T5" i="5"/>
  <c r="T91" i="5"/>
  <c r="T36" i="5"/>
  <c r="T30" i="5"/>
  <c r="T86" i="5"/>
  <c r="S86" i="5"/>
  <c r="T24" i="5"/>
  <c r="T63" i="5"/>
  <c r="S63" i="5"/>
  <c r="T77" i="5"/>
  <c r="T8" i="5"/>
  <c r="T46" i="5"/>
  <c r="T15" i="5"/>
  <c r="T92" i="5"/>
  <c r="T31" i="5"/>
  <c r="S31" i="5"/>
  <c r="T39" i="5"/>
  <c r="S39" i="5"/>
  <c r="T68" i="5"/>
  <c r="T87" i="5"/>
  <c r="T28" i="5"/>
  <c r="S34" i="5"/>
  <c r="T34" i="5"/>
  <c r="T18" i="5"/>
  <c r="S18" i="5"/>
  <c r="T57" i="5"/>
  <c r="S57" i="5"/>
  <c r="S19" i="5"/>
  <c r="T19" i="5"/>
  <c r="T13" i="5"/>
  <c r="T11" i="5"/>
  <c r="T64" i="5"/>
  <c r="T48" i="5"/>
  <c r="S48" i="5"/>
  <c r="S65" i="5"/>
  <c r="T65" i="5"/>
  <c r="T79" i="5"/>
  <c r="T59" i="5"/>
  <c r="S59" i="5"/>
  <c r="T83" i="5"/>
  <c r="T20" i="5"/>
  <c r="T42" i="5"/>
  <c r="T52" i="5"/>
  <c r="T25" i="5"/>
  <c r="S25" i="5"/>
  <c r="T43" i="5"/>
  <c r="S43" i="5"/>
  <c r="S81" i="5"/>
  <c r="T81" i="5"/>
  <c r="T58" i="5"/>
  <c r="T45" i="5"/>
  <c r="S6" i="5"/>
  <c r="T6" i="5"/>
  <c r="T70" i="5"/>
  <c r="S70" i="5"/>
  <c r="T61" i="5"/>
  <c r="T80" i="5"/>
  <c r="T75" i="5"/>
  <c r="S75" i="5"/>
  <c r="T89" i="5"/>
  <c r="S89" i="5"/>
  <c r="T56" i="5"/>
  <c r="S56" i="5"/>
  <c r="T69" i="5"/>
  <c r="T53" i="5"/>
  <c r="T37" i="5"/>
  <c r="T51" i="5"/>
  <c r="T76" i="5"/>
  <c r="T40" i="5"/>
  <c r="S40" i="5"/>
  <c r="T72" i="5"/>
  <c r="S72" i="5"/>
  <c r="T7" i="5"/>
  <c r="S32" i="5"/>
  <c r="T32" i="5"/>
  <c r="T55" i="5"/>
  <c r="J69" i="10"/>
  <c r="J61" i="10"/>
  <c r="J19" i="10"/>
  <c r="J18" i="10"/>
  <c r="J16" i="10"/>
  <c r="J55" i="10"/>
  <c r="J62" i="10"/>
  <c r="J60" i="10"/>
  <c r="J47" i="10"/>
  <c r="J58" i="10"/>
  <c r="J41" i="10"/>
  <c r="J54" i="10"/>
  <c r="J21" i="10"/>
  <c r="J44" i="10"/>
  <c r="J27" i="10"/>
  <c r="J26" i="10"/>
  <c r="J25" i="10"/>
  <c r="J40" i="10"/>
  <c r="J11" i="10"/>
  <c r="J22" i="10"/>
  <c r="J29" i="10"/>
  <c r="J64" i="10"/>
  <c r="J24" i="10"/>
  <c r="J31" i="10"/>
  <c r="J50" i="10"/>
  <c r="J10" i="10"/>
  <c r="J57" i="10"/>
  <c r="J17" i="10"/>
  <c r="J38" i="10"/>
  <c r="J53" i="10"/>
  <c r="J56" i="10"/>
  <c r="J32" i="10"/>
  <c r="J12" i="10"/>
  <c r="J63" i="10"/>
  <c r="J43" i="10"/>
  <c r="J23" i="10"/>
  <c r="J42" i="10"/>
  <c r="J49" i="10"/>
  <c r="J13" i="10"/>
  <c r="J30" i="10"/>
  <c r="J37" i="10"/>
  <c r="J48" i="10"/>
  <c r="J28" i="10"/>
  <c r="J8" i="10"/>
  <c r="J59" i="10"/>
  <c r="J39" i="10"/>
  <c r="J15" i="10"/>
  <c r="J66" i="10"/>
  <c r="J34" i="10"/>
  <c r="J65" i="10"/>
  <c r="J33" i="10"/>
  <c r="J46" i="10"/>
  <c r="J14" i="10"/>
  <c r="J45" i="10"/>
  <c r="J9" i="10"/>
  <c r="J68" i="10"/>
  <c r="J52" i="10"/>
  <c r="J36" i="10"/>
  <c r="J20" i="10"/>
  <c r="J67" i="10"/>
  <c r="J51" i="10"/>
  <c r="J35" i="10"/>
</calcChain>
</file>

<file path=xl/sharedStrings.xml><?xml version="1.0" encoding="utf-8"?>
<sst xmlns="http://schemas.openxmlformats.org/spreadsheetml/2006/main" count="1727" uniqueCount="1158">
  <si>
    <t>NO</t>
  </si>
  <si>
    <t>NOPES</t>
  </si>
  <si>
    <t>NIS</t>
  </si>
  <si>
    <t xml:space="preserve">NAMA </t>
  </si>
  <si>
    <t>ASR</t>
  </si>
  <si>
    <t>ASPEK PENILAIAN</t>
  </si>
  <si>
    <t>JML</t>
  </si>
  <si>
    <t>RT</t>
  </si>
  <si>
    <t>RANK</t>
  </si>
  <si>
    <t>S. QIRA'AH</t>
  </si>
  <si>
    <t>Makna Mufrodat</t>
  </si>
  <si>
    <t>Makna Murad</t>
  </si>
  <si>
    <t>MAX 30</t>
  </si>
  <si>
    <t>DIL</t>
  </si>
  <si>
    <t>MAX 5</t>
  </si>
  <si>
    <t>KKM</t>
  </si>
  <si>
    <t>07001</t>
  </si>
  <si>
    <t>A 01</t>
  </si>
  <si>
    <t>07002</t>
  </si>
  <si>
    <t>A 03</t>
  </si>
  <si>
    <t>07003</t>
  </si>
  <si>
    <t>Syahrul Wahid Muksin</t>
  </si>
  <si>
    <t>07004</t>
  </si>
  <si>
    <t>07005</t>
  </si>
  <si>
    <t>M. Hepni</t>
  </si>
  <si>
    <t>A 05</t>
  </si>
  <si>
    <t>07006</t>
  </si>
  <si>
    <t>Rizky Maulana</t>
  </si>
  <si>
    <t>07007</t>
  </si>
  <si>
    <t>A 06</t>
  </si>
  <si>
    <t>07008</t>
  </si>
  <si>
    <t>A 07</t>
  </si>
  <si>
    <t>07009</t>
  </si>
  <si>
    <t>Irfan</t>
  </si>
  <si>
    <t>07010</t>
  </si>
  <si>
    <t>Ahmad Fajri Ramadani</t>
  </si>
  <si>
    <t>A 10</t>
  </si>
  <si>
    <t>07011</t>
  </si>
  <si>
    <t>Rizky Adi Romansyah</t>
  </si>
  <si>
    <t>07012</t>
  </si>
  <si>
    <t>Moch Fiqih Aziz</t>
  </si>
  <si>
    <t>A 12</t>
  </si>
  <si>
    <t>07013</t>
  </si>
  <si>
    <t>Wildan Ardiansyah</t>
  </si>
  <si>
    <t>A 15</t>
  </si>
  <si>
    <t>07014</t>
  </si>
  <si>
    <t>Muhammad Luqman</t>
  </si>
  <si>
    <t>A 16</t>
  </si>
  <si>
    <t>07015</t>
  </si>
  <si>
    <t>B 01</t>
  </si>
  <si>
    <t>07016</t>
  </si>
  <si>
    <t>Fariqul Haqiqi</t>
  </si>
  <si>
    <t>B 04</t>
  </si>
  <si>
    <t>07017</t>
  </si>
  <si>
    <t>Nuril Hamdani Akbar</t>
  </si>
  <si>
    <t>B 05</t>
  </si>
  <si>
    <t>07018</t>
  </si>
  <si>
    <t>B 09</t>
  </si>
  <si>
    <t>07019</t>
  </si>
  <si>
    <t>B 12</t>
  </si>
  <si>
    <t>07020</t>
  </si>
  <si>
    <t>Dilbar Hilmy Mubarok</t>
  </si>
  <si>
    <t>07021</t>
  </si>
  <si>
    <t>B 13</t>
  </si>
  <si>
    <t>07022</t>
  </si>
  <si>
    <t>Maufir Mahfud</t>
  </si>
  <si>
    <t>C 01</t>
  </si>
  <si>
    <t>07023</t>
  </si>
  <si>
    <t>Achmad Dhani Junaidi</t>
  </si>
  <si>
    <t>C 02</t>
  </si>
  <si>
    <t>07024</t>
  </si>
  <si>
    <t>C 05</t>
  </si>
  <si>
    <t>07025</t>
  </si>
  <si>
    <t>Ahmad Ibnur Qoyyim Al Jauzi</t>
  </si>
  <si>
    <t>C 08</t>
  </si>
  <si>
    <t>07026</t>
  </si>
  <si>
    <t>M. Syamsul Arifin</t>
  </si>
  <si>
    <t>C 10</t>
  </si>
  <si>
    <t>07027</t>
  </si>
  <si>
    <t>Moh Syamsul Anam</t>
  </si>
  <si>
    <t>C 11</t>
  </si>
  <si>
    <t>07028</t>
  </si>
  <si>
    <t>07029</t>
  </si>
  <si>
    <t>Muhammad Farel</t>
  </si>
  <si>
    <t>C 12</t>
  </si>
  <si>
    <t>07030</t>
  </si>
  <si>
    <t>Aidil Risqi</t>
  </si>
  <si>
    <t>07031</t>
  </si>
  <si>
    <t>Fuad Amin Mahfud</t>
  </si>
  <si>
    <t>C 13</t>
  </si>
  <si>
    <t>07032</t>
  </si>
  <si>
    <t>C 14</t>
  </si>
  <si>
    <t>07033</t>
  </si>
  <si>
    <t>C 15</t>
  </si>
  <si>
    <t>07034</t>
  </si>
  <si>
    <t>Muhamad Riyadi</t>
  </si>
  <si>
    <t>C 16</t>
  </si>
  <si>
    <t>07035</t>
  </si>
  <si>
    <t>C 17</t>
  </si>
  <si>
    <t>07036</t>
  </si>
  <si>
    <t>C 18</t>
  </si>
  <si>
    <t>07037</t>
  </si>
  <si>
    <t>D 01</t>
  </si>
  <si>
    <t>07038</t>
  </si>
  <si>
    <t>D 03</t>
  </si>
  <si>
    <t>07039</t>
  </si>
  <si>
    <t>M Zainuddin</t>
  </si>
  <si>
    <t>D 06</t>
  </si>
  <si>
    <t>07040</t>
  </si>
  <si>
    <t>07041</t>
  </si>
  <si>
    <t>Ali Yusron</t>
  </si>
  <si>
    <t>D 07</t>
  </si>
  <si>
    <t>07042</t>
  </si>
  <si>
    <t>07043</t>
  </si>
  <si>
    <t>Khoirul Anwar</t>
  </si>
  <si>
    <t>D 09</t>
  </si>
  <si>
    <t>07044</t>
  </si>
  <si>
    <t>Masaril Harom</t>
  </si>
  <si>
    <t>07045</t>
  </si>
  <si>
    <t>D 12</t>
  </si>
  <si>
    <t>07046</t>
  </si>
  <si>
    <t>Haris</t>
  </si>
  <si>
    <t>D 14</t>
  </si>
  <si>
    <t>07047</t>
  </si>
  <si>
    <t>Moh. Hoiri</t>
  </si>
  <si>
    <t>D 17</t>
  </si>
  <si>
    <t>07048</t>
  </si>
  <si>
    <t>Muhammad Andi</t>
  </si>
  <si>
    <t>D 18</t>
  </si>
  <si>
    <t>07049</t>
  </si>
  <si>
    <t>Iqbal Maulana Fatoni</t>
  </si>
  <si>
    <t>D 19</t>
  </si>
  <si>
    <t>07050</t>
  </si>
  <si>
    <t>D 21</t>
  </si>
  <si>
    <t>07051</t>
  </si>
  <si>
    <t>D 25</t>
  </si>
  <si>
    <t>07052</t>
  </si>
  <si>
    <t>07053</t>
  </si>
  <si>
    <t>D 26</t>
  </si>
  <si>
    <t>07054</t>
  </si>
  <si>
    <t>Muhammad Alif</t>
  </si>
  <si>
    <t>D 27</t>
  </si>
  <si>
    <t>07055</t>
  </si>
  <si>
    <t>07056</t>
  </si>
  <si>
    <t>E 03</t>
  </si>
  <si>
    <t>07057</t>
  </si>
  <si>
    <t>E 05</t>
  </si>
  <si>
    <t>07058</t>
  </si>
  <si>
    <t>Alif Durrahman</t>
  </si>
  <si>
    <t>07059</t>
  </si>
  <si>
    <t>Solahuddin</t>
  </si>
  <si>
    <t>E 07</t>
  </si>
  <si>
    <t>07060</t>
  </si>
  <si>
    <t>E 09</t>
  </si>
  <si>
    <t>07061</t>
  </si>
  <si>
    <t>E 10</t>
  </si>
  <si>
    <t>07062</t>
  </si>
  <si>
    <t>Mochamad Shirotohol M.</t>
  </si>
  <si>
    <t>07063</t>
  </si>
  <si>
    <t>Badrus</t>
  </si>
  <si>
    <t>E 11</t>
  </si>
  <si>
    <t>07064</t>
  </si>
  <si>
    <t>07065</t>
  </si>
  <si>
    <t>Muhamad Badrus Shodik</t>
  </si>
  <si>
    <t>E 12</t>
  </si>
  <si>
    <t>07066</t>
  </si>
  <si>
    <t>Mahesa Niko Febrianzah</t>
  </si>
  <si>
    <t>07067</t>
  </si>
  <si>
    <t>F 06</t>
  </si>
  <si>
    <t>07068</t>
  </si>
  <si>
    <t>Muhammad Alfan Siraj</t>
  </si>
  <si>
    <t>F 08</t>
  </si>
  <si>
    <t>07069</t>
  </si>
  <si>
    <t>F 09</t>
  </si>
  <si>
    <t>07070</t>
  </si>
  <si>
    <t>Ali Furqon Rabbany</t>
  </si>
  <si>
    <t>F 11</t>
  </si>
  <si>
    <t>07071</t>
  </si>
  <si>
    <t>M. Sholihin</t>
  </si>
  <si>
    <t>F 14</t>
  </si>
  <si>
    <t>07072</t>
  </si>
  <si>
    <t>Bustomi Asyiroful Anam</t>
  </si>
  <si>
    <t>F 16</t>
  </si>
  <si>
    <t>07073</t>
  </si>
  <si>
    <t>07074</t>
  </si>
  <si>
    <t>Moh. Afifudin</t>
  </si>
  <si>
    <t>G 04</t>
  </si>
  <si>
    <t>07075</t>
  </si>
  <si>
    <t>Ahmad Rofi</t>
  </si>
  <si>
    <t>G 07</t>
  </si>
  <si>
    <t>07076</t>
  </si>
  <si>
    <t>07077</t>
  </si>
  <si>
    <t>G 08</t>
  </si>
  <si>
    <t>07078</t>
  </si>
  <si>
    <t>07079</t>
  </si>
  <si>
    <t>Fahril Ali Abdillah</t>
  </si>
  <si>
    <t>G 11</t>
  </si>
  <si>
    <t>07080</t>
  </si>
  <si>
    <t>M. Zuhri</t>
  </si>
  <si>
    <t>G 13</t>
  </si>
  <si>
    <t>07081</t>
  </si>
  <si>
    <t>G 14</t>
  </si>
  <si>
    <t>07082</t>
  </si>
  <si>
    <t>Muhammad Qoyyum</t>
  </si>
  <si>
    <t>G 17</t>
  </si>
  <si>
    <t>07083</t>
  </si>
  <si>
    <t>Fadhoilul Muqorrobin</t>
  </si>
  <si>
    <t>G 18</t>
  </si>
  <si>
    <t>07084</t>
  </si>
  <si>
    <t>G 19</t>
  </si>
  <si>
    <t>07085</t>
  </si>
  <si>
    <t>Rizal Basri</t>
  </si>
  <si>
    <t>LPBA</t>
  </si>
  <si>
    <t>07086</t>
  </si>
  <si>
    <t>Lucken Roy Firmansyah</t>
  </si>
  <si>
    <t>07087</t>
  </si>
  <si>
    <t>Fahmi Azizi</t>
  </si>
  <si>
    <t>07088</t>
  </si>
  <si>
    <t>07089</t>
  </si>
  <si>
    <t>Hasyim Hamdani</t>
  </si>
  <si>
    <t>07090</t>
  </si>
  <si>
    <t>07091</t>
  </si>
  <si>
    <t>Syahdani Hasan</t>
  </si>
  <si>
    <t>07092</t>
  </si>
  <si>
    <t>Leffi Rian Felani</t>
  </si>
  <si>
    <t>07093</t>
  </si>
  <si>
    <t>07094</t>
  </si>
  <si>
    <t>Yesyatika Ferdiansyah</t>
  </si>
  <si>
    <t>07095</t>
  </si>
  <si>
    <t>07096</t>
  </si>
  <si>
    <t>Sri Widiyanto</t>
  </si>
  <si>
    <t>07097</t>
  </si>
  <si>
    <t>A 13</t>
  </si>
  <si>
    <t>07098</t>
  </si>
  <si>
    <t>07099</t>
  </si>
  <si>
    <t>Royhan Amrullah</t>
  </si>
  <si>
    <t>B 02</t>
  </si>
  <si>
    <t>07100</t>
  </si>
  <si>
    <t>Rizal Maulana</t>
  </si>
  <si>
    <t>07101</t>
  </si>
  <si>
    <t>Ahmad Abdul Mu'id</t>
  </si>
  <si>
    <t>B 06</t>
  </si>
  <si>
    <t>07102</t>
  </si>
  <si>
    <t>B 07</t>
  </si>
  <si>
    <t>07103</t>
  </si>
  <si>
    <t>M. Basori</t>
  </si>
  <si>
    <t>07104</t>
  </si>
  <si>
    <t>Ahmad Zamroni Sholeh</t>
  </si>
  <si>
    <t>07105</t>
  </si>
  <si>
    <t>07106</t>
  </si>
  <si>
    <t>Moch. Bahrul</t>
  </si>
  <si>
    <t>07107</t>
  </si>
  <si>
    <t>Aby Yusuf Al-Baihaqi</t>
  </si>
  <si>
    <t>C 06</t>
  </si>
  <si>
    <t>07108</t>
  </si>
  <si>
    <t>Ahmad Abdul Lutfi</t>
  </si>
  <si>
    <t>07109</t>
  </si>
  <si>
    <t>Abdul Goffar</t>
  </si>
  <si>
    <t>07110</t>
  </si>
  <si>
    <t>Muhammad Lukmanul Hakim</t>
  </si>
  <si>
    <t>07111</t>
  </si>
  <si>
    <t>Ali Imron</t>
  </si>
  <si>
    <t>07112</t>
  </si>
  <si>
    <t>Ach. Fikril Fawaid</t>
  </si>
  <si>
    <t>07113</t>
  </si>
  <si>
    <t>Sofil Muberrod</t>
  </si>
  <si>
    <t>07114</t>
  </si>
  <si>
    <t>Achmad Wildan Mulidi</t>
  </si>
  <si>
    <t>07115</t>
  </si>
  <si>
    <t>Mohammad Rehan Abdullah</t>
  </si>
  <si>
    <t>07116</t>
  </si>
  <si>
    <t>07117</t>
  </si>
  <si>
    <t>Ahmad Luthfi Nabil Syarif</t>
  </si>
  <si>
    <t>07118</t>
  </si>
  <si>
    <t>07119</t>
  </si>
  <si>
    <t>Moch. Alifa Nur Royyin</t>
  </si>
  <si>
    <t>07120</t>
  </si>
  <si>
    <t>Hafidurohman</t>
  </si>
  <si>
    <t>D 05</t>
  </si>
  <si>
    <t>07121</t>
  </si>
  <si>
    <t>07122</t>
  </si>
  <si>
    <t>M Haris</t>
  </si>
  <si>
    <t>07123</t>
  </si>
  <si>
    <t>07124</t>
  </si>
  <si>
    <t>07125</t>
  </si>
  <si>
    <t>D 10</t>
  </si>
  <si>
    <t>07126</t>
  </si>
  <si>
    <t>Arya Ayatullah Khomaini</t>
  </si>
  <si>
    <t>D 16</t>
  </si>
  <si>
    <t>07127</t>
  </si>
  <si>
    <t>Zahrol Fuadi</t>
  </si>
  <si>
    <t>07128</t>
  </si>
  <si>
    <t>Husni Ali Ghufron</t>
  </si>
  <si>
    <t>07129</t>
  </si>
  <si>
    <t>Imam Zuhdi</t>
  </si>
  <si>
    <t>07130</t>
  </si>
  <si>
    <t>D 20</t>
  </si>
  <si>
    <t>07131</t>
  </si>
  <si>
    <t>Yazid Khoiron</t>
  </si>
  <si>
    <t>07132</t>
  </si>
  <si>
    <t>Achmad Zainal Arifin</t>
  </si>
  <si>
    <t>D 22</t>
  </si>
  <si>
    <t>07133</t>
  </si>
  <si>
    <t>Ahmad Chusayri</t>
  </si>
  <si>
    <t>07134</t>
  </si>
  <si>
    <t>07135</t>
  </si>
  <si>
    <t>Roil Putra Ramadhan</t>
  </si>
  <si>
    <t>07136</t>
  </si>
  <si>
    <t>Achmad Syarifuddin</t>
  </si>
  <si>
    <t>E 02</t>
  </si>
  <si>
    <t>07137</t>
  </si>
  <si>
    <t>E 04</t>
  </si>
  <si>
    <t>07138</t>
  </si>
  <si>
    <t>Mohammad Lutfi Murtado</t>
  </si>
  <si>
    <t>07139</t>
  </si>
  <si>
    <t>Maulana Ainul Yakin</t>
  </si>
  <si>
    <t>07140</t>
  </si>
  <si>
    <t>Muhammad Fathur Rozi</t>
  </si>
  <si>
    <t>07141</t>
  </si>
  <si>
    <t>Muhammad Franky Ramadhan</t>
  </si>
  <si>
    <t>07142</t>
  </si>
  <si>
    <t>07143</t>
  </si>
  <si>
    <t>07144</t>
  </si>
  <si>
    <t>07145</t>
  </si>
  <si>
    <t>Muhammad Farhan Al Katiri</t>
  </si>
  <si>
    <t>07146</t>
  </si>
  <si>
    <t>F 01</t>
  </si>
  <si>
    <t>07147</t>
  </si>
  <si>
    <t>07148</t>
  </si>
  <si>
    <t>Ikbal Maulana Malik Ibrohim</t>
  </si>
  <si>
    <t>F 05</t>
  </si>
  <si>
    <t>07149</t>
  </si>
  <si>
    <t>F 07</t>
  </si>
  <si>
    <t>07150</t>
  </si>
  <si>
    <t>Hasyim Muzadi</t>
  </si>
  <si>
    <t>07151</t>
  </si>
  <si>
    <t>07152</t>
  </si>
  <si>
    <t>07153</t>
  </si>
  <si>
    <t>Abdan Fariq Muslim</t>
  </si>
  <si>
    <t>07154</t>
  </si>
  <si>
    <t>M. Ilyas Maulana</t>
  </si>
  <si>
    <t>F 15</t>
  </si>
  <si>
    <t>07155</t>
  </si>
  <si>
    <t>Shohibul Fahmi</t>
  </si>
  <si>
    <t>07156</t>
  </si>
  <si>
    <t>Muhammad Fajri Holilizen</t>
  </si>
  <si>
    <t>F 17</t>
  </si>
  <si>
    <t>07157</t>
  </si>
  <si>
    <t>G 01</t>
  </si>
  <si>
    <t>07158</t>
  </si>
  <si>
    <t>G 02</t>
  </si>
  <si>
    <t>07159</t>
  </si>
  <si>
    <t>Mochammad Faisol</t>
  </si>
  <si>
    <t>07160</t>
  </si>
  <si>
    <t>Danang Dwi Ferdiansyah</t>
  </si>
  <si>
    <t>G 06</t>
  </si>
  <si>
    <t>07161</t>
  </si>
  <si>
    <t>07162</t>
  </si>
  <si>
    <t>Hoirul Anam</t>
  </si>
  <si>
    <t>07163</t>
  </si>
  <si>
    <t>G 09</t>
  </si>
  <si>
    <t>07164</t>
  </si>
  <si>
    <t xml:space="preserve">Saiful Rizal </t>
  </si>
  <si>
    <t>G 10</t>
  </si>
  <si>
    <t>07165</t>
  </si>
  <si>
    <t>07166</t>
  </si>
  <si>
    <t>Muhammad Nur Hidayah Fahmi</t>
  </si>
  <si>
    <t>07167</t>
  </si>
  <si>
    <t>G 15</t>
  </si>
  <si>
    <t>07168</t>
  </si>
  <si>
    <t>Ahmad Sholehudin</t>
  </si>
  <si>
    <t>07169</t>
  </si>
  <si>
    <t>G 16</t>
  </si>
  <si>
    <t>07170</t>
  </si>
  <si>
    <t>Muhammad Fajar Yusuf</t>
  </si>
  <si>
    <t>07171</t>
  </si>
  <si>
    <t>Ahamad Hadi Karim Amrullah</t>
  </si>
  <si>
    <t>G 22</t>
  </si>
  <si>
    <t>07172</t>
  </si>
  <si>
    <t>Moch. Ma'dhum Ibrahim</t>
  </si>
  <si>
    <t>PM</t>
  </si>
  <si>
    <t>07173</t>
  </si>
  <si>
    <t>Andra Ahmad Kusnandhani</t>
  </si>
  <si>
    <t>07174</t>
  </si>
  <si>
    <t>Adbur Rohman</t>
  </si>
  <si>
    <t>07175</t>
  </si>
  <si>
    <t>M. Farhan</t>
  </si>
  <si>
    <t>07176</t>
  </si>
  <si>
    <t>Moh.Fajri Aminulloh</t>
  </si>
  <si>
    <t>07177</t>
  </si>
  <si>
    <t>07178</t>
  </si>
  <si>
    <t>Muhammad Riski Sahrian</t>
  </si>
  <si>
    <t>07179</t>
  </si>
  <si>
    <t>Abdul Kodir</t>
  </si>
  <si>
    <t>A 09</t>
  </si>
  <si>
    <t>07180</t>
  </si>
  <si>
    <t>Didid Wicaksono</t>
  </si>
  <si>
    <t>07181</t>
  </si>
  <si>
    <t>07182</t>
  </si>
  <si>
    <t>Mohammad Nur Fathoni</t>
  </si>
  <si>
    <t>Fathur Rohman</t>
  </si>
  <si>
    <t>Ahmat Dikri</t>
  </si>
  <si>
    <t>Prabaswara</t>
  </si>
  <si>
    <t>Muhammad Zainul Arifin</t>
  </si>
  <si>
    <t>B 11</t>
  </si>
  <si>
    <t>Faisal Ramdhani</t>
  </si>
  <si>
    <t>Radit Dwi Satrio Wibowo</t>
  </si>
  <si>
    <t>Adli Isrof Maulana</t>
  </si>
  <si>
    <t>Ahmad Jailani</t>
  </si>
  <si>
    <t>Izzul Fuad Maulana Hasby</t>
  </si>
  <si>
    <t>Dardir Abi Firdaus</t>
  </si>
  <si>
    <t>Muhammad Ma'ruf Ali</t>
  </si>
  <si>
    <t>Hoirul Anwar</t>
  </si>
  <si>
    <t>Zainal Arif</t>
  </si>
  <si>
    <t>Zainal Alim</t>
  </si>
  <si>
    <t>Moh. Arif</t>
  </si>
  <si>
    <t>Moh. Farhan Bahri</t>
  </si>
  <si>
    <t>Royhan</t>
  </si>
  <si>
    <t>Alexander Al Zamany</t>
  </si>
  <si>
    <t>Desta Refaldion</t>
  </si>
  <si>
    <t>Muhammad Nazirul</t>
  </si>
  <si>
    <t>Fajar Lukman Ainur R.</t>
  </si>
  <si>
    <t>Azmi Amrullah</t>
  </si>
  <si>
    <t>D 04</t>
  </si>
  <si>
    <t>Iklil Maris</t>
  </si>
  <si>
    <t>Mohamad Busyron Aril</t>
  </si>
  <si>
    <t>D 08</t>
  </si>
  <si>
    <t>Muhammad Irwansah</t>
  </si>
  <si>
    <t>M. Rofiq</t>
  </si>
  <si>
    <t>D 11</t>
  </si>
  <si>
    <t>Khothibul Faridh</t>
  </si>
  <si>
    <t>Ilham Maulana</t>
  </si>
  <si>
    <t>Muhedi</t>
  </si>
  <si>
    <t>Farid</t>
  </si>
  <si>
    <t>Abdul Rofik</t>
  </si>
  <si>
    <t>Ahmad Maulid Rehansyah</t>
  </si>
  <si>
    <t>D 24</t>
  </si>
  <si>
    <t>Muhammad Farhan</t>
  </si>
  <si>
    <t>Ahmad Baidowi</t>
  </si>
  <si>
    <t>M. Rizal Fikri Ramadani</t>
  </si>
  <si>
    <t>Muhammad Irwansyah</t>
  </si>
  <si>
    <t>Anand Liqo'Ul Hilal</t>
  </si>
  <si>
    <t>Ahmad Syaiful Rizal</t>
  </si>
  <si>
    <t>Muhammad Fasrul Falah Ridho</t>
  </si>
  <si>
    <t>Ahmad Sidiq</t>
  </si>
  <si>
    <t>F 02</t>
  </si>
  <si>
    <t>Faisal Umam</t>
  </si>
  <si>
    <t>F 03</t>
  </si>
  <si>
    <t>Abdullah Najib</t>
  </si>
  <si>
    <t>Ahmad Roifan Ardian Syah</t>
  </si>
  <si>
    <t>F 04</t>
  </si>
  <si>
    <t>Muhammad Fajar Shodiq</t>
  </si>
  <si>
    <t>M. Afif Haldan</t>
  </si>
  <si>
    <t>Nasrul Hadi Ramadan</t>
  </si>
  <si>
    <t>Abd. Rokib</t>
  </si>
  <si>
    <t>Moh. Aqil Fahrullah</t>
  </si>
  <si>
    <t>Ahmad Revando Rahmatullah</t>
  </si>
  <si>
    <t>Noval Ferianto</t>
  </si>
  <si>
    <t>Muhammad Roihan</t>
  </si>
  <si>
    <t>Misbahul Munir</t>
  </si>
  <si>
    <t>Muhammad Ariqussuhdi</t>
  </si>
  <si>
    <t>Achmad Roqi Mansur</t>
  </si>
  <si>
    <t>Khoiril Anam</t>
  </si>
  <si>
    <t>Shaumul Anfal</t>
  </si>
  <si>
    <t>Asrorul Hikam</t>
  </si>
  <si>
    <t>KET</t>
  </si>
  <si>
    <t>08001</t>
  </si>
  <si>
    <t>Fathur Rozi</t>
  </si>
  <si>
    <t>08002</t>
  </si>
  <si>
    <t>Syarif Hidayatullah</t>
  </si>
  <si>
    <t>08003</t>
  </si>
  <si>
    <t>Muhammad Waes Al Qorni</t>
  </si>
  <si>
    <t>A 04</t>
  </si>
  <si>
    <t>08004</t>
  </si>
  <si>
    <t>Muhammad Abd. Adhim</t>
  </si>
  <si>
    <t>08005</t>
  </si>
  <si>
    <t>Rifaldi</t>
  </si>
  <si>
    <t>08006</t>
  </si>
  <si>
    <t>Suadi</t>
  </si>
  <si>
    <t>08007</t>
  </si>
  <si>
    <t>Ahmad Afifur Rohman</t>
  </si>
  <si>
    <t>08008</t>
  </si>
  <si>
    <t>Muhammad Kumaruddin</t>
  </si>
  <si>
    <t>08009</t>
  </si>
  <si>
    <t>Muhammad Nofal</t>
  </si>
  <si>
    <t>A 11</t>
  </si>
  <si>
    <t>08010</t>
  </si>
  <si>
    <t>Ahmad Syahroni</t>
  </si>
  <si>
    <t>08011</t>
  </si>
  <si>
    <t>Ronal Robi Hermansyah</t>
  </si>
  <si>
    <t>A 14</t>
  </si>
  <si>
    <t>08012</t>
  </si>
  <si>
    <t>M. Ifan Kurniawan</t>
  </si>
  <si>
    <t>08013</t>
  </si>
  <si>
    <t>Bintang Ridwan Fathullah</t>
  </si>
  <si>
    <t>08014</t>
  </si>
  <si>
    <t>Rifki Adriansyah</t>
  </si>
  <si>
    <t>08015</t>
  </si>
  <si>
    <t>Nurul Arifin</t>
  </si>
  <si>
    <t>08016</t>
  </si>
  <si>
    <t>Moehammad Ryan Azis</t>
  </si>
  <si>
    <t>B 10</t>
  </si>
  <si>
    <t>08017</t>
  </si>
  <si>
    <t>Muhammad Choirul Anwar</t>
  </si>
  <si>
    <t>08018</t>
  </si>
  <si>
    <t xml:space="preserve">Muhadis </t>
  </si>
  <si>
    <t>08019</t>
  </si>
  <si>
    <t>Ahmad Rofiqi Hidayah</t>
  </si>
  <si>
    <t>C 04</t>
  </si>
  <si>
    <t>08020</t>
  </si>
  <si>
    <t>08021</t>
  </si>
  <si>
    <t>C 09</t>
  </si>
  <si>
    <t>08022</t>
  </si>
  <si>
    <t>08023</t>
  </si>
  <si>
    <t>Moh Rizal</t>
  </si>
  <si>
    <t>08024</t>
  </si>
  <si>
    <t>08025</t>
  </si>
  <si>
    <t>Hasani Lutfi</t>
  </si>
  <si>
    <t>08026</t>
  </si>
  <si>
    <t>Darus</t>
  </si>
  <si>
    <t>08027</t>
  </si>
  <si>
    <t>Ziyadul Ichsan</t>
  </si>
  <si>
    <t>08028</t>
  </si>
  <si>
    <t>Muhammad Alvin Firmansyah</t>
  </si>
  <si>
    <t>08029</t>
  </si>
  <si>
    <t>Moh. Sahrul Hosen</t>
  </si>
  <si>
    <t>08030</t>
  </si>
  <si>
    <t>Mohammad Kholilur Rohman</t>
  </si>
  <si>
    <t>08031</t>
  </si>
  <si>
    <t>Mochammad Hafid</t>
  </si>
  <si>
    <t>08032</t>
  </si>
  <si>
    <t>Hoiri Arif</t>
  </si>
  <si>
    <t>08033</t>
  </si>
  <si>
    <t>08034</t>
  </si>
  <si>
    <t>Nur Aziz Fahruji</t>
  </si>
  <si>
    <t>08035</t>
  </si>
  <si>
    <t>Fahrur Rozi</t>
  </si>
  <si>
    <t>D 02</t>
  </si>
  <si>
    <t>08036</t>
  </si>
  <si>
    <t>Fatir Rofi</t>
  </si>
  <si>
    <t>08037</t>
  </si>
  <si>
    <t>Hasbullah</t>
  </si>
  <si>
    <t>08038</t>
  </si>
  <si>
    <t>Mohammad Fathur Rozi</t>
  </si>
  <si>
    <t>08039</t>
  </si>
  <si>
    <t>Moch. Samsul Ma'Arif</t>
  </si>
  <si>
    <t>08040</t>
  </si>
  <si>
    <t>08041</t>
  </si>
  <si>
    <t>R. Mustajibillah</t>
  </si>
  <si>
    <t>08042</t>
  </si>
  <si>
    <t>Jekfar Sodik</t>
  </si>
  <si>
    <t>08043</t>
  </si>
  <si>
    <t>Firman Aulia</t>
  </si>
  <si>
    <t>08044</t>
  </si>
  <si>
    <t>Muhammad Arofiq</t>
  </si>
  <si>
    <t>08045</t>
  </si>
  <si>
    <t>Akbar Maulana Firdausi</t>
  </si>
  <si>
    <t>08046</t>
  </si>
  <si>
    <t>Muhammad Sholehuddin</t>
  </si>
  <si>
    <t>D 15</t>
  </si>
  <si>
    <t>08047</t>
  </si>
  <si>
    <t>Muhammad Abdul Wafi</t>
  </si>
  <si>
    <t>08048</t>
  </si>
  <si>
    <t>08049</t>
  </si>
  <si>
    <t>Ahmad Firdaus Hidayat</t>
  </si>
  <si>
    <t>08050</t>
  </si>
  <si>
    <t>Dimas Afrianto</t>
  </si>
  <si>
    <t>08051</t>
  </si>
  <si>
    <t>Ahmad Andriansyah</t>
  </si>
  <si>
    <t>08052</t>
  </si>
  <si>
    <t>Syifa'Uddin</t>
  </si>
  <si>
    <t>08053</t>
  </si>
  <si>
    <t>Bagas Zainullah</t>
  </si>
  <si>
    <t>08054</t>
  </si>
  <si>
    <t>E 06</t>
  </si>
  <si>
    <t>08055</t>
  </si>
  <si>
    <t>Muhammad Firman Rizqi A.</t>
  </si>
  <si>
    <t>08056</t>
  </si>
  <si>
    <t>Ach. Syaiful Iqbal</t>
  </si>
  <si>
    <t>E 08</t>
  </si>
  <si>
    <t>08057</t>
  </si>
  <si>
    <t>08058</t>
  </si>
  <si>
    <t>Ahmad Maulana Ishaq</t>
  </si>
  <si>
    <t>08059</t>
  </si>
  <si>
    <t>Ahmad Maktum</t>
  </si>
  <si>
    <t>08060</t>
  </si>
  <si>
    <t>Taufiq Qurandana</t>
  </si>
  <si>
    <t>08061</t>
  </si>
  <si>
    <t>Muhammad Misbahul Munir</t>
  </si>
  <si>
    <t>08062</t>
  </si>
  <si>
    <t>08063</t>
  </si>
  <si>
    <t>Akhmad Haikal Faqih F. K.</t>
  </si>
  <si>
    <t>08064</t>
  </si>
  <si>
    <t>Dayu Agustiyar</t>
  </si>
  <si>
    <t>08065</t>
  </si>
  <si>
    <t>Mohammad Fadili</t>
  </si>
  <si>
    <t>08066</t>
  </si>
  <si>
    <t>Moch Riyyan M. A.</t>
  </si>
  <si>
    <t>08067</t>
  </si>
  <si>
    <t>Achmad Muzaqqi</t>
  </si>
  <si>
    <t>08068</t>
  </si>
  <si>
    <t>08069</t>
  </si>
  <si>
    <t>08070</t>
  </si>
  <si>
    <t>Adit Yusrizal</t>
  </si>
  <si>
    <t>08071</t>
  </si>
  <si>
    <t>Moh Rofli Bahrullah</t>
  </si>
  <si>
    <t>08072</t>
  </si>
  <si>
    <t>Taufikur Rahman</t>
  </si>
  <si>
    <t>08073</t>
  </si>
  <si>
    <t>F 18</t>
  </si>
  <si>
    <t>08074</t>
  </si>
  <si>
    <t>G 03</t>
  </si>
  <si>
    <t>08075</t>
  </si>
  <si>
    <t>M. Roihanul Hudzaifi</t>
  </si>
  <si>
    <t>08076</t>
  </si>
  <si>
    <t>Ramdani Abdillah</t>
  </si>
  <si>
    <t>08077</t>
  </si>
  <si>
    <t>Amiruddin</t>
  </si>
  <si>
    <t>08078</t>
  </si>
  <si>
    <t>08079</t>
  </si>
  <si>
    <t>08080</t>
  </si>
  <si>
    <t>Muhammad Farhan Haqiqi</t>
  </si>
  <si>
    <t>08081</t>
  </si>
  <si>
    <t>Muhammad Nur Ahyar H.</t>
  </si>
  <si>
    <t>08082</t>
  </si>
  <si>
    <t>Ashfi Roihan Abdullah</t>
  </si>
  <si>
    <t>08083</t>
  </si>
  <si>
    <t>Ahmad Fauzi</t>
  </si>
  <si>
    <t>08084</t>
  </si>
  <si>
    <t>Mahrofi</t>
  </si>
  <si>
    <t>08085</t>
  </si>
  <si>
    <t>Firmansyah Rendiyanto</t>
  </si>
  <si>
    <t>08086</t>
  </si>
  <si>
    <t>08087</t>
  </si>
  <si>
    <t>Salman Alfarisi</t>
  </si>
  <si>
    <t>G 20</t>
  </si>
  <si>
    <t>08088</t>
  </si>
  <si>
    <t>Syaiful Rizal</t>
  </si>
  <si>
    <t>08089</t>
  </si>
  <si>
    <t>Danial Mazhad Falaqi</t>
  </si>
  <si>
    <t>08090</t>
  </si>
  <si>
    <t>Yusuf</t>
  </si>
  <si>
    <t>08091</t>
  </si>
  <si>
    <t>08092</t>
  </si>
  <si>
    <t>Hasan Basri</t>
  </si>
  <si>
    <t>08093</t>
  </si>
  <si>
    <t>Ahmad Royanul</t>
  </si>
  <si>
    <t>08094</t>
  </si>
  <si>
    <t>Rafli</t>
  </si>
  <si>
    <t>08095</t>
  </si>
  <si>
    <t>Moch. Hasbi</t>
  </si>
  <si>
    <t>08096</t>
  </si>
  <si>
    <t>Ivan Maulana Haqiqi</t>
  </si>
  <si>
    <t>08097</t>
  </si>
  <si>
    <t>Asrof Royhan</t>
  </si>
  <si>
    <t>08098</t>
  </si>
  <si>
    <t>08099</t>
  </si>
  <si>
    <t>Muhammad Yazid Anwar F.</t>
  </si>
  <si>
    <t>08100</t>
  </si>
  <si>
    <t>08101</t>
  </si>
  <si>
    <t>08102</t>
  </si>
  <si>
    <t>08103</t>
  </si>
  <si>
    <t>Dzikri Illallah</t>
  </si>
  <si>
    <t>08104</t>
  </si>
  <si>
    <t>Moh. Badri</t>
  </si>
  <si>
    <t>08105</t>
  </si>
  <si>
    <t>08106</t>
  </si>
  <si>
    <t>M. Zainal Fathoni</t>
  </si>
  <si>
    <t>08107</t>
  </si>
  <si>
    <t>08108</t>
  </si>
  <si>
    <t>B 08</t>
  </si>
  <si>
    <t>08109</t>
  </si>
  <si>
    <t>Husni Mubarok</t>
  </si>
  <si>
    <t>08110</t>
  </si>
  <si>
    <t>Firdan</t>
  </si>
  <si>
    <t>08111</t>
  </si>
  <si>
    <t>Riqki Hidayatulloh</t>
  </si>
  <si>
    <t>08112</t>
  </si>
  <si>
    <t>Achmad Rifai</t>
  </si>
  <si>
    <t>08113</t>
  </si>
  <si>
    <t>Mohammad Khosim</t>
  </si>
  <si>
    <t>08114</t>
  </si>
  <si>
    <t>Muhammad Ilyas Karomi</t>
  </si>
  <si>
    <t>08115</t>
  </si>
  <si>
    <t>Ilham Safari</t>
  </si>
  <si>
    <t>08116</t>
  </si>
  <si>
    <t>Imam Ali Mahsun Daisi</t>
  </si>
  <si>
    <t>08117</t>
  </si>
  <si>
    <t>Roiha Nurrohman</t>
  </si>
  <si>
    <t>08118</t>
  </si>
  <si>
    <t>Lukman Hakim</t>
  </si>
  <si>
    <t>08119</t>
  </si>
  <si>
    <t>Moh Roisul Wahton</t>
  </si>
  <si>
    <t>08120</t>
  </si>
  <si>
    <t>Muhammad Rizky M.</t>
  </si>
  <si>
    <t>08121</t>
  </si>
  <si>
    <t>Jakfar Sodik</t>
  </si>
  <si>
    <t>08122</t>
  </si>
  <si>
    <t>Abdullah Faqih</t>
  </si>
  <si>
    <t>08123</t>
  </si>
  <si>
    <t>08124</t>
  </si>
  <si>
    <t>Abdulloh</t>
  </si>
  <si>
    <t>08125</t>
  </si>
  <si>
    <t>Deni Azekki</t>
  </si>
  <si>
    <t>08126</t>
  </si>
  <si>
    <t>Mufasshollah</t>
  </si>
  <si>
    <t>08127</t>
  </si>
  <si>
    <t>Alfin Hidayat</t>
  </si>
  <si>
    <t>08128</t>
  </si>
  <si>
    <t>08129</t>
  </si>
  <si>
    <t>Mahrus Ali</t>
  </si>
  <si>
    <t>08130</t>
  </si>
  <si>
    <t>08131</t>
  </si>
  <si>
    <t>Ferdy</t>
  </si>
  <si>
    <t>08132</t>
  </si>
  <si>
    <t>Moh Khoirul Ikromy</t>
  </si>
  <si>
    <t>08133</t>
  </si>
  <si>
    <t>Muhammad Aldi F.</t>
  </si>
  <si>
    <t>08134</t>
  </si>
  <si>
    <t>08135</t>
  </si>
  <si>
    <t>Farhanuddin</t>
  </si>
  <si>
    <t>08136</t>
  </si>
  <si>
    <t>08137</t>
  </si>
  <si>
    <t>Irwan Sahril</t>
  </si>
  <si>
    <t>08138</t>
  </si>
  <si>
    <t>M Rofiq</t>
  </si>
  <si>
    <t>08139</t>
  </si>
  <si>
    <t>Mochamad Firdaus Assadili</t>
  </si>
  <si>
    <t>08140</t>
  </si>
  <si>
    <t>08141</t>
  </si>
  <si>
    <t>Mohammad Rifki</t>
  </si>
  <si>
    <t>08142</t>
  </si>
  <si>
    <t>Ahmad Mandala Zahiroh</t>
  </si>
  <si>
    <t>08143</t>
  </si>
  <si>
    <t>Gio Faril Mahadika R.</t>
  </si>
  <si>
    <t>08144</t>
  </si>
  <si>
    <t>Syahrul Adiyanto</t>
  </si>
  <si>
    <t>08145</t>
  </si>
  <si>
    <t>Muhammad Khalil Gibran</t>
  </si>
  <si>
    <t>08146</t>
  </si>
  <si>
    <t>Muhammad Ali Wafa Syarif</t>
  </si>
  <si>
    <t>08147</t>
  </si>
  <si>
    <t>Muhammad Sofyan</t>
  </si>
  <si>
    <t>08148</t>
  </si>
  <si>
    <t>Ahmad Rohmatulloh</t>
  </si>
  <si>
    <t>08149</t>
  </si>
  <si>
    <t xml:space="preserve">Muhammad Muzammil </t>
  </si>
  <si>
    <t>08150</t>
  </si>
  <si>
    <t>Qoidul Akbar</t>
  </si>
  <si>
    <t>08151</t>
  </si>
  <si>
    <t>Mohamad Mauluddin S. H.</t>
  </si>
  <si>
    <t>08152</t>
  </si>
  <si>
    <t>08153</t>
  </si>
  <si>
    <t>Muhammad Kholil</t>
  </si>
  <si>
    <t>08154</t>
  </si>
  <si>
    <t>Radinal Mukhtar</t>
  </si>
  <si>
    <t>08155</t>
  </si>
  <si>
    <t>Ahmad Syarifuddin</t>
  </si>
  <si>
    <t>E 13</t>
  </si>
  <si>
    <t>08156</t>
  </si>
  <si>
    <t>08157</t>
  </si>
  <si>
    <t>Ibnu Nadlir Hudhori</t>
  </si>
  <si>
    <t>08158</t>
  </si>
  <si>
    <t>Arif Maulana</t>
  </si>
  <si>
    <t>08159</t>
  </si>
  <si>
    <t>Sulaiman</t>
  </si>
  <si>
    <t>08160</t>
  </si>
  <si>
    <t>Muhammad Syarifuddin</t>
  </si>
  <si>
    <t>08161</t>
  </si>
  <si>
    <t>08162</t>
  </si>
  <si>
    <t>Moch Fahrur Rozi</t>
  </si>
  <si>
    <t>08163</t>
  </si>
  <si>
    <t>F 10</t>
  </si>
  <si>
    <t>08164</t>
  </si>
  <si>
    <t>08165</t>
  </si>
  <si>
    <t>Abdul Azis Ar Ridwani</t>
  </si>
  <si>
    <t>08166</t>
  </si>
  <si>
    <t>Kamiluddin</t>
  </si>
  <si>
    <t>08167</t>
  </si>
  <si>
    <t>08168</t>
  </si>
  <si>
    <t>Muhammad Iqbal Salim</t>
  </si>
  <si>
    <t>08169</t>
  </si>
  <si>
    <t>Muhammad Alex Hamdani</t>
  </si>
  <si>
    <t>08170</t>
  </si>
  <si>
    <t>Ahmad Fausi</t>
  </si>
  <si>
    <t>08171</t>
  </si>
  <si>
    <t>Arifin</t>
  </si>
  <si>
    <t>08172</t>
  </si>
  <si>
    <t>Muhammad Lutfi</t>
  </si>
  <si>
    <t>08173</t>
  </si>
  <si>
    <t>Mohamad Rofiki F.</t>
  </si>
  <si>
    <t>08174</t>
  </si>
  <si>
    <t>Ridwan Zainul Azhar</t>
  </si>
  <si>
    <t>08175</t>
  </si>
  <si>
    <t>Muhammad Ali Imron</t>
  </si>
  <si>
    <t>08176</t>
  </si>
  <si>
    <t>08177</t>
  </si>
  <si>
    <t>Moehamad Kholili Zainul H.</t>
  </si>
  <si>
    <t>08178</t>
  </si>
  <si>
    <t>Indra Pratama Saputra</t>
  </si>
  <si>
    <t>08179</t>
  </si>
  <si>
    <t>Firman Nuris Zain</t>
  </si>
  <si>
    <t>08180</t>
  </si>
  <si>
    <t>G 12</t>
  </si>
  <si>
    <t>08181</t>
  </si>
  <si>
    <t>Muhammad Roikhan A F.</t>
  </si>
  <si>
    <t>08182</t>
  </si>
  <si>
    <t>Mualik Fajar</t>
  </si>
  <si>
    <t>G 21</t>
  </si>
  <si>
    <t>Dimas Eko Prasetyo</t>
  </si>
  <si>
    <t>Muhammad Syamsuddin Sq</t>
  </si>
  <si>
    <t>Ubaydillah</t>
  </si>
  <si>
    <t>Masyhud</t>
  </si>
  <si>
    <t>09001</t>
  </si>
  <si>
    <t>09002</t>
  </si>
  <si>
    <t>A 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</si>
  <si>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</si>
  <si>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</si>
  <si>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</si>
  <si>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</si>
  <si>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</si>
  <si>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</si>
  <si>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</si>
  <si>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</si>
  <si>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</si>
  <si>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</si>
  <si>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Moh Ridwan</t>
  </si>
  <si>
    <t>09013</t>
  </si>
  <si>
    <t>09014</t>
  </si>
  <si>
    <t>Ahmad Afandi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</si>
  <si>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</si>
  <si>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</si>
  <si>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</si>
  <si>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</si>
  <si>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</si>
  <si>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</si>
  <si>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</si>
  <si>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</si>
  <si>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</si>
  <si>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Zainal Abidin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</si>
  <si>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</si>
  <si>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</si>
  <si>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</si>
  <si>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</si>
  <si>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</si>
  <si>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</si>
  <si>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</si>
  <si>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</si>
  <si>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</si>
  <si>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</si>
  <si>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</si>
  <si>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</si>
  <si>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</si>
  <si>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</si>
  <si>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</si>
  <si>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</si>
  <si>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</si>
  <si>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</si>
  <si>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</si>
  <si>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</si>
  <si>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</si>
  <si>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</si>
  <si>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</si>
  <si>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</si>
  <si>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</si>
  <si>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</si>
  <si>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</si>
  <si>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</si>
  <si>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</si>
  <si>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</si>
  <si>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</si>
  <si>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</si>
  <si>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</si>
  <si>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</si>
  <si>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</si>
  <si>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</si>
  <si>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</si>
  <si>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</si>
  <si>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</si>
  <si>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</si>
  <si>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</si>
  <si>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Muhammad Imam Ar-Rizki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</si>
  <si>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</si>
  <si>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</si>
  <si>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</si>
  <si>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</si>
  <si>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</si>
  <si>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</si>
  <si>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</si>
  <si>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</si>
  <si>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</si>
  <si>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</si>
  <si>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</si>
  <si>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</si>
  <si>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</si>
  <si>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</si>
  <si>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</si>
  <si>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</si>
  <si>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</si>
  <si>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</si>
  <si>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</si>
  <si>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</si>
  <si>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</si>
  <si>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</si>
  <si>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</si>
  <si>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</si>
  <si>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</si>
  <si>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</si>
  <si>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</si>
  <si>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Joni</t>
  </si>
  <si>
    <t>09092</t>
  </si>
  <si>
    <t>09093</t>
  </si>
  <si>
    <t>09094</t>
  </si>
  <si>
    <t>09095</t>
  </si>
  <si>
    <t>09096</t>
  </si>
  <si>
    <t>09097</t>
  </si>
  <si>
    <t>09098</t>
  </si>
  <si>
    <t>Iwan Fals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</si>
  <si>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</si>
  <si>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</si>
  <si>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</si>
  <si>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</si>
  <si>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</si>
  <si>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</si>
  <si>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</si>
  <si>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</si>
  <si>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</si>
  <si>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Samsul Arifin</t>
  </si>
  <si>
    <t>09108</t>
  </si>
  <si>
    <t>09109</t>
  </si>
  <si>
    <t>09110</t>
  </si>
  <si>
    <t>09111</t>
  </si>
  <si>
    <t>Indra Ahmad Dani</t>
  </si>
  <si>
    <t>09112</t>
  </si>
  <si>
    <t>09113</t>
  </si>
  <si>
    <t>09114</t>
  </si>
  <si>
    <t>09115</t>
  </si>
  <si>
    <t>09116</t>
  </si>
  <si>
    <t>09117</t>
  </si>
  <si>
    <t>Abdur Rohman</t>
  </si>
  <si>
    <t>PENILAIAN UJIAN BACA KITAB</t>
  </si>
  <si>
    <t>MADRASAH DINIYAH TAKMILIYAH MIFTAHUL ULUM</t>
  </si>
  <si>
    <t>Banyuputih Kidul Jatiroto Lumajang</t>
  </si>
  <si>
    <t>Sihhah Al-Qiro'ah</t>
  </si>
  <si>
    <t>M Khoironi Hasan</t>
  </si>
  <si>
    <t>Achmad Naufal</t>
  </si>
  <si>
    <t>M Alfan Khusaini</t>
  </si>
  <si>
    <t>Rama Afriyanto</t>
  </si>
  <si>
    <t>M Sadidul Afnan</t>
  </si>
  <si>
    <t>Vito Fabian Kristianto</t>
  </si>
  <si>
    <t>Moh. Azam Maulana</t>
  </si>
  <si>
    <t>Hamada Syahrullah</t>
  </si>
  <si>
    <t>Zainul Hasan</t>
  </si>
  <si>
    <t>Moh. Rifqi Hasin</t>
  </si>
  <si>
    <t>Bima Fairur Ilham</t>
  </si>
  <si>
    <t>Abd. Rohman</t>
  </si>
  <si>
    <t>M. Sukron Ramadhani</t>
  </si>
  <si>
    <t>Fahri Aziz Nasrullah</t>
  </si>
  <si>
    <t>Helmi</t>
  </si>
  <si>
    <t>Badrus Soleh</t>
  </si>
  <si>
    <t>Sudi Arman Andira</t>
  </si>
  <si>
    <t>M. Arifin Ilham</t>
  </si>
  <si>
    <t>Moch. Hafid Zainul Hasan</t>
  </si>
  <si>
    <t>Mashap Rafa Ali</t>
  </si>
  <si>
    <t>Muhammad Mujahid</t>
  </si>
  <si>
    <t>Achmad Fawaid</t>
  </si>
  <si>
    <t>Moh. Sulaiman Al Jazuli</t>
  </si>
  <si>
    <t>Muhamad Nur Afandi</t>
  </si>
  <si>
    <t>Kayyis Sholihin</t>
  </si>
  <si>
    <t>Muhammad Aril</t>
  </si>
  <si>
    <t>Putra Asad Abdillah</t>
  </si>
  <si>
    <t>Sulhan</t>
  </si>
  <si>
    <t>Faqi Hudin</t>
  </si>
  <si>
    <t>D 23</t>
  </si>
  <si>
    <t>Muhammad Khusni S.</t>
  </si>
  <si>
    <t>Narjul Ghufron</t>
  </si>
  <si>
    <t>Muhammad Fais</t>
  </si>
  <si>
    <t>Hamdan Karimulloh</t>
  </si>
  <si>
    <t>Moh. Mahzi Abi Ramadani</t>
  </si>
  <si>
    <t>Mochammad Fahmi Usaid A.</t>
  </si>
  <si>
    <t>Muhammad Sulaiman</t>
  </si>
  <si>
    <t>Muhammad Zuhri Ihsani</t>
  </si>
  <si>
    <t>Abdur Rohim</t>
  </si>
  <si>
    <t>Lucki Chandra Wiranata</t>
  </si>
  <si>
    <t>Abdul Muzahqy Wisnu H.</t>
  </si>
  <si>
    <t>Ahmad Madani Firdaus</t>
  </si>
  <si>
    <t>Ahmad Rozikin</t>
  </si>
  <si>
    <t>Farhan Ashapi Akbar</t>
  </si>
  <si>
    <t>Ahmad Daniel Kartawiguna</t>
  </si>
  <si>
    <t>Ubaidillah Hasby</t>
  </si>
  <si>
    <t>Syukron Maulana</t>
  </si>
  <si>
    <t>Muhamad Fauzi</t>
  </si>
  <si>
    <t>Dimas Fathur Rozi</t>
  </si>
  <si>
    <t>Muhammad Febrian Haqqi Afandi</t>
  </si>
  <si>
    <t>Farrohul Millah</t>
  </si>
  <si>
    <t>Mohammad Haical Husen</t>
  </si>
  <si>
    <t>Alvin Abrori</t>
  </si>
  <si>
    <t>Iqbal Nasywan Islahuddin</t>
  </si>
  <si>
    <t>Reza Fadillah Hasyim</t>
  </si>
  <si>
    <t>Eko Ramadhani</t>
  </si>
  <si>
    <t>Ahmad Zainal Abidin</t>
  </si>
  <si>
    <t>Muhammad Ilham Fathur R.</t>
  </si>
  <si>
    <t>Fahri Ramadani</t>
  </si>
  <si>
    <t>M.Zaki Mubarok</t>
  </si>
  <si>
    <t>Muhammad Noval R.</t>
  </si>
  <si>
    <t>Revan Adam Alamsyah</t>
  </si>
  <si>
    <t>Hamdan Nabil Fahrian Syah</t>
  </si>
  <si>
    <t>Nanang Khosim</t>
  </si>
  <si>
    <t>M. Alvin Nuruddin</t>
  </si>
  <si>
    <t>Hendra</t>
  </si>
  <si>
    <t>Ahmad Vian Assyiddieqy</t>
  </si>
  <si>
    <t>Muhammad Fawaz Ikromi</t>
  </si>
  <si>
    <t>Muhammat Febrianto</t>
  </si>
  <si>
    <t>Ahmad Maulana Abdullah</t>
  </si>
  <si>
    <t>C 07</t>
  </si>
  <si>
    <t>Irfan Saputra</t>
  </si>
  <si>
    <t>Busiri</t>
  </si>
  <si>
    <t>Moh Nabil Saputra</t>
  </si>
  <si>
    <t>Fahrur Hakiki</t>
  </si>
  <si>
    <t>Rehan</t>
  </si>
  <si>
    <t>Zulfan Firdaus Hasan</t>
  </si>
  <si>
    <t>Riyan Kasela</t>
  </si>
  <si>
    <t>Imam Buhori</t>
  </si>
  <si>
    <t>Muhammad Farel Alfan Huda</t>
  </si>
  <si>
    <t>Muhammad Rofiq</t>
  </si>
  <si>
    <t>Fathul Mu'in</t>
  </si>
  <si>
    <t>Muhammad Sholeh</t>
  </si>
  <si>
    <t>M Ghufron</t>
  </si>
  <si>
    <t>Fikri Ahmad Fahrezi</t>
  </si>
  <si>
    <t>Rizqon Haqiqi</t>
  </si>
  <si>
    <t>Muhammad Irfan  Alfarizi</t>
  </si>
  <si>
    <t>Andika Pratama</t>
  </si>
  <si>
    <t>Muchlasan</t>
  </si>
  <si>
    <t>Iqbal Abdul Ghofur</t>
  </si>
  <si>
    <t>Muhammad Zainul Ridho</t>
  </si>
  <si>
    <t>Sholihin</t>
  </si>
  <si>
    <t>Mohammad Helmi Hamdani</t>
  </si>
  <si>
    <t>Fahri Zainullah</t>
  </si>
  <si>
    <t>F 12</t>
  </si>
  <si>
    <t>Achmad Rizki Mubarok</t>
  </si>
  <si>
    <t>M Alwi Ardiansyah</t>
  </si>
  <si>
    <t>Arya Kusuma Dwi Setiawan</t>
  </si>
  <si>
    <t>Hendriansyah</t>
  </si>
  <si>
    <t>Akbar Agung Saputra</t>
  </si>
  <si>
    <t>Rohmatullah</t>
  </si>
  <si>
    <t>Gilang Ramadhani</t>
  </si>
  <si>
    <t>Isma'Il Hasan</t>
  </si>
  <si>
    <t>M. Zainuryski Azzuhri</t>
  </si>
  <si>
    <t>Muhammad Ihsan</t>
  </si>
  <si>
    <t>M. Rusli</t>
  </si>
  <si>
    <t>Moh Nizar</t>
  </si>
  <si>
    <t>Zakaria Ardiansyah</t>
  </si>
  <si>
    <t>Zainuril Davi</t>
  </si>
  <si>
    <t>Muhammad Rafi Maulana</t>
  </si>
  <si>
    <t>Muhammad Alif Farhan J.</t>
  </si>
  <si>
    <t>Aldo Maulana</t>
  </si>
  <si>
    <t>Satria Kamal</t>
  </si>
  <si>
    <t>Ubaidillah</t>
  </si>
  <si>
    <t>Isnan Maulana</t>
  </si>
  <si>
    <t>Muhammad Farhan Salim</t>
  </si>
  <si>
    <t>Saifur Rijal</t>
  </si>
  <si>
    <t>Yassir Arofadh</t>
  </si>
  <si>
    <t>Rian Hidayat</t>
  </si>
  <si>
    <t>Nur Ridwan Al Manshuri</t>
  </si>
  <si>
    <t>Ali Zainal Abidin</t>
  </si>
  <si>
    <t>Fahri Haidar Hilmi</t>
  </si>
  <si>
    <t>Achmad Fachrillah</t>
  </si>
  <si>
    <t>Ahmad Danil Kirom</t>
  </si>
  <si>
    <t>Syu'Aib Kurniawan</t>
  </si>
  <si>
    <t>Saifuddin</t>
  </si>
  <si>
    <t>Moh. Fahmi Imron</t>
  </si>
  <si>
    <t>Multazem</t>
  </si>
  <si>
    <t>Moch. Alim Ardiyansah</t>
  </si>
  <si>
    <t>Mohammad Idris Marjuki</t>
  </si>
  <si>
    <t>Moh. Alfanda</t>
  </si>
  <si>
    <t>Mohammad Rehan</t>
  </si>
  <si>
    <t>Alfan Riziq</t>
  </si>
  <si>
    <t>Sahrul Ramadani</t>
  </si>
  <si>
    <t>Fathur Rosi</t>
  </si>
  <si>
    <t>Muhammad Zaenul Alfin</t>
  </si>
  <si>
    <t>M Ali Hufron</t>
  </si>
  <si>
    <t>Romy Asy Syura'I</t>
  </si>
  <si>
    <t>Ahmad Sholeh</t>
  </si>
  <si>
    <t>Muhammad Aris Fairil Ilham</t>
  </si>
  <si>
    <t>Muhammd Sarifuddin</t>
  </si>
  <si>
    <t>Ahmad Thoriquddin</t>
  </si>
  <si>
    <t>E 01</t>
  </si>
  <si>
    <t>Muhammad Syahroni</t>
  </si>
  <si>
    <t>Moch Raihan Ibrahim</t>
  </si>
  <si>
    <t>Saldi Sandani</t>
  </si>
  <si>
    <t>M.Lutfi</t>
  </si>
  <si>
    <t>Muhammad Rifqi Mubarok</t>
  </si>
  <si>
    <t>Achmad Ramadani</t>
  </si>
  <si>
    <t>Faisol Amin</t>
  </si>
  <si>
    <t>Junaedi Abdillah</t>
  </si>
  <si>
    <t>M. Arifan Ramadan</t>
  </si>
  <si>
    <t>Achmad Gilban Sobri M.</t>
  </si>
  <si>
    <t>Muhammad Agung W.</t>
  </si>
  <si>
    <t>Zaky Ardan Maulana</t>
  </si>
  <si>
    <t>M. Khairuz Zaadit. T</t>
  </si>
  <si>
    <t>Muhammad Ibnu Farhan</t>
  </si>
  <si>
    <t>Riyadhos Adi Solihin</t>
  </si>
  <si>
    <t>Qautrun Nada Nofal Fazri</t>
  </si>
  <si>
    <t>Aswan Hamzah</t>
  </si>
  <si>
    <t>G 05</t>
  </si>
  <si>
    <t>Ahmad Faizal Pratama P.</t>
  </si>
  <si>
    <t>Maulana Malik</t>
  </si>
  <si>
    <t>Atho'Illah Shonhaji</t>
  </si>
  <si>
    <t>Muhammad Rifa Ramdani</t>
  </si>
  <si>
    <t>Muhammat Dafin Riskillah</t>
  </si>
  <si>
    <t>Mohammad Agil Siroth</t>
  </si>
  <si>
    <t>M Husni Hilal Mubarok</t>
  </si>
  <si>
    <t>M. Nuril Anwar</t>
  </si>
  <si>
    <t>Salman Farhan</t>
  </si>
  <si>
    <t>Muhammad Ghozi</t>
  </si>
  <si>
    <t>As'adus Sulahak</t>
  </si>
  <si>
    <t>Ma'sum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</si>
  <si>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</si>
  <si>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</si>
  <si>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</si>
  <si>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</si>
  <si>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</si>
  <si>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</si>
  <si>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</si>
  <si>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</si>
  <si>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</si>
  <si>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</si>
  <si>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</si>
  <si>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</si>
  <si>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</si>
  <si>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</si>
  <si>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</si>
  <si>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</si>
  <si>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</si>
  <si>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KELAS : I A</t>
  </si>
  <si>
    <t>KELAS : I B</t>
  </si>
  <si>
    <t>ASUHAN : UST. ALI MUHDOR</t>
  </si>
  <si>
    <t>ASUHAN : UST. FIRRUL AZIZ</t>
  </si>
  <si>
    <t>ASUHAN : UST. SYIFA'UDDIN</t>
  </si>
  <si>
    <t>ASUHAN : UST. MUHIBBULLAH</t>
  </si>
  <si>
    <t>ASUHAN : UST. AMINUDDIN SHOFI</t>
  </si>
  <si>
    <t>ASUHAN : UST.  AHMAD MUAYYANI</t>
  </si>
  <si>
    <t>ASUHAN : UST. SUFYAN HUDA</t>
  </si>
  <si>
    <t>PULANG</t>
  </si>
  <si>
    <t>BOYONG</t>
  </si>
  <si>
    <t>KELAS : III A</t>
  </si>
  <si>
    <t>KELAS : III B</t>
  </si>
  <si>
    <t>SAKIT</t>
  </si>
  <si>
    <t>IZIN</t>
  </si>
  <si>
    <t>KELAS : II B</t>
  </si>
  <si>
    <t>TM</t>
  </si>
  <si>
    <t>M. Ridail</t>
  </si>
  <si>
    <t>F 13</t>
  </si>
  <si>
    <t>ASUHAN : UST. AHMAD AMINUDDIN SHOFI</t>
  </si>
  <si>
    <t>KELAS : II A</t>
  </si>
  <si>
    <t>KELAS : II C</t>
  </si>
  <si>
    <t>KELAS : I C</t>
  </si>
  <si>
    <t>Maulana 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</si>
</sst>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17">
    <font>
      <sz val="11"/>
      <color theme="1"/>
      <name val="Calibri"/>
      <charset val="1"/>
      <scheme val="minor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name val="Arial Narrow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1"/>
      <color theme="1"/>
      <name val="Cambria"/>
      <family val="1"/>
      <scheme val="major"/>
    </font>
    <font>
      <sz val="11"/>
      <color theme="1"/>
      <name val="Arial Narrow"/>
      <family val="2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sz val="8"/>
      <name val="Calibri"/>
      <charset val="1"/>
      <scheme val="minor"/>
    </font>
    <font>
      <sz val="12"/>
      <color theme="1"/>
      <name val="Arial Narrow"/>
      <family val="2"/>
    </font>
    <font>
      <sz val="12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1" fontId="6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3" fillId="0" borderId="2" xfId="0" quotePrefix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2" applyFont="1" applyBorder="1" applyAlignment="1">
      <alignment horizontal="left" vertical="center"/>
    </xf>
    <xf numFmtId="0" fontId="13" fillId="0" borderId="2" xfId="2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textRotation="90"/>
    </xf>
    <xf numFmtId="0" fontId="11" fillId="2" borderId="4" xfId="0" applyFont="1" applyFill="1" applyBorder="1" applyAlignment="1">
      <alignment horizontal="center" vertical="center" textRotation="90"/>
    </xf>
    <xf numFmtId="0" fontId="11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Comma [0]" xfId="1" builtinId="6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</cellStyles>
  <dxfs count="81"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EE030A5-AB7F-4110-86DA-C4E8E6B03023}"/>
            </a:ext>
          </a:extLst>
        </xdr:cNvPr>
        <xdr:cNvSpPr/>
      </xdr:nvSpPr>
      <xdr:spPr>
        <a:xfrm>
          <a:off x="8124825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57B8A67-819B-49A7-B54D-D656BD10C702}"/>
            </a:ext>
          </a:extLst>
        </xdr:cNvPr>
        <xdr:cNvSpPr/>
      </xdr:nvSpPr>
      <xdr:spPr>
        <a:xfrm>
          <a:off x="8124825" y="85725"/>
          <a:ext cx="1181100" cy="45720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04A7F77-2EA5-4DDE-A0D3-B5908FF138A7}"/>
            </a:ext>
          </a:extLst>
        </xdr:cNvPr>
        <xdr:cNvSpPr/>
      </xdr:nvSpPr>
      <xdr:spPr>
        <a:xfrm>
          <a:off x="8124825" y="85725"/>
          <a:ext cx="1181100" cy="45720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B68B4D7-4AAB-45CC-8BF4-1450A08F6603}"/>
            </a:ext>
          </a:extLst>
        </xdr:cNvPr>
        <xdr:cNvSpPr/>
      </xdr:nvSpPr>
      <xdr:spPr>
        <a:xfrm>
          <a:off x="8124825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6E9C252-FD93-4AC0-8EFF-692FAF67D2EE}"/>
            </a:ext>
          </a:extLst>
        </xdr:cNvPr>
        <xdr:cNvSpPr/>
      </xdr:nvSpPr>
      <xdr:spPr>
        <a:xfrm>
          <a:off x="6724650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89F0E6-64D3-4928-AB8A-769C01CFB54D}"/>
            </a:ext>
          </a:extLst>
        </xdr:cNvPr>
        <xdr:cNvSpPr/>
      </xdr:nvSpPr>
      <xdr:spPr>
        <a:xfrm>
          <a:off x="8124825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58455CB-D38E-4A87-BDB7-FD6253FE6DB7}"/>
            </a:ext>
          </a:extLst>
        </xdr:cNvPr>
        <xdr:cNvSpPr/>
      </xdr:nvSpPr>
      <xdr:spPr>
        <a:xfrm>
          <a:off x="8124825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0</xdr:row>
      <xdr:rowOff>85725</xdr:rowOff>
    </xdr:from>
    <xdr:to>
      <xdr:col>11</xdr:col>
      <xdr:colOff>180975</xdr:colOff>
      <xdr:row>2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3E97DB-9173-40A3-A557-9E748188CF9D}"/>
            </a:ext>
          </a:extLst>
        </xdr:cNvPr>
        <xdr:cNvSpPr/>
      </xdr:nvSpPr>
      <xdr:spPr>
        <a:xfrm>
          <a:off x="8124825" y="85725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opLeftCell="B1" workbookViewId="0">
      <selection activeCell="R5" sqref="R5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8" style="2" customWidth="1"/>
    <col min="4" max="4" width="38.7109375" style="3" customWidth="1"/>
    <col min="5" max="5" width="7.140625" style="2" customWidth="1"/>
    <col min="6" max="7" width="7" style="2" customWidth="1"/>
    <col min="8" max="8" width="7.28515625" style="2" hidden="1" customWidth="1"/>
    <col min="9" max="9" width="0.42578125" style="2" customWidth="1"/>
    <col min="10" max="11" width="7" style="2" customWidth="1"/>
    <col min="12" max="12" width="2.140625" style="2" hidden="1" customWidth="1"/>
    <col min="13" max="13" width="0.42578125" style="2" customWidth="1"/>
    <col min="14" max="15" width="7" style="2" customWidth="1"/>
    <col min="16" max="16" width="2.140625" style="2" hidden="1" customWidth="1"/>
    <col min="17" max="17" width="0.28515625" style="2" customWidth="1"/>
    <col min="18" max="20" width="8" style="2" customWidth="1"/>
    <col min="21" max="16384" width="9.140625" style="2"/>
  </cols>
  <sheetData>
    <row r="1" spans="1:20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s="1" customFormat="1" ht="15.75" customHeight="1">
      <c r="A2" s="35" t="s">
        <v>0</v>
      </c>
      <c r="B2" s="39" t="s">
        <v>1</v>
      </c>
      <c r="C2" s="39" t="s">
        <v>2</v>
      </c>
      <c r="D2" s="39" t="s">
        <v>3</v>
      </c>
      <c r="E2" s="35" t="s">
        <v>4</v>
      </c>
      <c r="F2" s="35" t="s">
        <v>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7" t="s">
        <v>6</v>
      </c>
      <c r="S2" s="37" t="s">
        <v>7</v>
      </c>
      <c r="T2" s="37" t="s">
        <v>8</v>
      </c>
    </row>
    <row r="3" spans="1:20" s="1" customFormat="1" ht="27" customHeight="1">
      <c r="A3" s="35"/>
      <c r="B3" s="40"/>
      <c r="C3" s="40"/>
      <c r="D3" s="40"/>
      <c r="E3" s="35"/>
      <c r="F3" s="36" t="s">
        <v>9</v>
      </c>
      <c r="G3" s="36"/>
      <c r="H3" s="36"/>
      <c r="I3" s="36"/>
      <c r="J3" s="35" t="s">
        <v>10</v>
      </c>
      <c r="K3" s="35"/>
      <c r="L3" s="35"/>
      <c r="M3" s="35"/>
      <c r="N3" s="35" t="s">
        <v>11</v>
      </c>
      <c r="O3" s="35"/>
      <c r="P3" s="35"/>
      <c r="Q3" s="35"/>
      <c r="R3" s="38"/>
      <c r="S3" s="38"/>
      <c r="T3" s="38"/>
    </row>
    <row r="4" spans="1:20" s="1" customFormat="1" ht="15" customHeight="1">
      <c r="A4" s="35"/>
      <c r="B4" s="41"/>
      <c r="C4" s="41"/>
      <c r="D4" s="41"/>
      <c r="E4" s="35"/>
      <c r="F4" s="35" t="s">
        <v>12</v>
      </c>
      <c r="G4" s="35"/>
      <c r="H4" s="8"/>
      <c r="I4" s="8" t="s">
        <v>13</v>
      </c>
      <c r="J4" s="35" t="s">
        <v>12</v>
      </c>
      <c r="K4" s="35"/>
      <c r="L4" s="8"/>
      <c r="M4" s="8" t="s">
        <v>13</v>
      </c>
      <c r="N4" s="35" t="s">
        <v>14</v>
      </c>
      <c r="O4" s="35"/>
      <c r="P4" s="8"/>
      <c r="Q4" s="8" t="s">
        <v>13</v>
      </c>
      <c r="R4" s="38"/>
      <c r="S4" s="38"/>
      <c r="T4" s="38"/>
    </row>
    <row r="5" spans="1:20">
      <c r="A5" s="4">
        <v>1</v>
      </c>
      <c r="B5" s="4"/>
      <c r="C5" s="4"/>
      <c r="D5" s="9"/>
      <c r="E5" s="4"/>
      <c r="F5" s="4"/>
      <c r="G5" s="4"/>
      <c r="H5" s="4">
        <f t="shared" ref="H5:H68" si="0">F5+G5</f>
        <v>0</v>
      </c>
      <c r="I5" s="5">
        <f t="shared" ref="I5:I68" si="1">H5/2</f>
        <v>0</v>
      </c>
      <c r="J5" s="4"/>
      <c r="K5" s="4"/>
      <c r="L5" s="4">
        <f t="shared" ref="L5:L68" si="2">J5+K5</f>
        <v>0</v>
      </c>
      <c r="M5" s="6">
        <f t="shared" ref="M5:M68" si="3">L5/2</f>
        <v>0</v>
      </c>
      <c r="N5" s="4"/>
      <c r="O5" s="4"/>
      <c r="P5" s="4">
        <f t="shared" ref="P5:P68" si="4">N5+O5</f>
        <v>0</v>
      </c>
      <c r="Q5" s="6">
        <f t="shared" ref="Q5:Q68" si="5">P5/2</f>
        <v>0</v>
      </c>
      <c r="R5" s="11">
        <f>100-I5*3+100-M5*3+100-Q5*15</f>
        <v>300</v>
      </c>
      <c r="S5" s="6">
        <f t="shared" ref="S5:S68" si="6">R5/3</f>
        <v>100</v>
      </c>
      <c r="T5" s="4">
        <f t="shared" ref="T5:T68" si="7">RANK(R5,$R$5:$R$91)</f>
        <v>1</v>
      </c>
    </row>
    <row r="6" spans="1:20">
      <c r="A6" s="4">
        <v>2</v>
      </c>
      <c r="B6" s="4"/>
      <c r="C6" s="4"/>
      <c r="D6" s="9"/>
      <c r="E6" s="4"/>
      <c r="F6" s="4"/>
      <c r="G6" s="4"/>
      <c r="H6" s="4">
        <f t="shared" si="0"/>
        <v>0</v>
      </c>
      <c r="I6" s="5">
        <f t="shared" si="1"/>
        <v>0</v>
      </c>
      <c r="J6" s="4"/>
      <c r="K6" s="4"/>
      <c r="L6" s="4">
        <f t="shared" si="2"/>
        <v>0</v>
      </c>
      <c r="M6" s="6">
        <f t="shared" si="3"/>
        <v>0</v>
      </c>
      <c r="N6" s="4"/>
      <c r="O6" s="4"/>
      <c r="P6" s="4">
        <f t="shared" si="4"/>
        <v>0</v>
      </c>
      <c r="Q6" s="6">
        <f t="shared" si="5"/>
        <v>0</v>
      </c>
      <c r="R6" s="11">
        <f t="shared" ref="R6:R68" si="8">100-I6*3+100-M6*3+100-Q6*15</f>
        <v>300</v>
      </c>
      <c r="S6" s="6">
        <f t="shared" si="6"/>
        <v>100</v>
      </c>
      <c r="T6" s="4">
        <f t="shared" si="7"/>
        <v>1</v>
      </c>
    </row>
    <row r="7" spans="1:20">
      <c r="A7" s="4">
        <v>3</v>
      </c>
      <c r="B7" s="4"/>
      <c r="C7" s="4"/>
      <c r="D7" s="9"/>
      <c r="E7" s="4"/>
      <c r="F7" s="4"/>
      <c r="G7" s="4"/>
      <c r="H7" s="4">
        <f t="shared" si="0"/>
        <v>0</v>
      </c>
      <c r="I7" s="5">
        <f t="shared" si="1"/>
        <v>0</v>
      </c>
      <c r="J7" s="4"/>
      <c r="K7" s="4"/>
      <c r="L7" s="4">
        <f t="shared" si="2"/>
        <v>0</v>
      </c>
      <c r="M7" s="6">
        <f t="shared" si="3"/>
        <v>0</v>
      </c>
      <c r="N7" s="4"/>
      <c r="O7" s="4"/>
      <c r="P7" s="4">
        <f t="shared" si="4"/>
        <v>0</v>
      </c>
      <c r="Q7" s="6">
        <f t="shared" si="5"/>
        <v>0</v>
      </c>
      <c r="R7" s="11">
        <f t="shared" si="8"/>
        <v>300</v>
      </c>
      <c r="S7" s="6">
        <f t="shared" si="6"/>
        <v>100</v>
      </c>
      <c r="T7" s="4">
        <f t="shared" si="7"/>
        <v>1</v>
      </c>
    </row>
    <row r="8" spans="1:20">
      <c r="A8" s="4">
        <v>4</v>
      </c>
      <c r="B8" s="4"/>
      <c r="C8" s="4"/>
      <c r="D8" s="9"/>
      <c r="E8" s="4"/>
      <c r="F8" s="4"/>
      <c r="G8" s="4"/>
      <c r="H8" s="4">
        <f t="shared" si="0"/>
        <v>0</v>
      </c>
      <c r="I8" s="5">
        <f t="shared" si="1"/>
        <v>0</v>
      </c>
      <c r="J8" s="4"/>
      <c r="K8" s="4"/>
      <c r="L8" s="4">
        <f t="shared" si="2"/>
        <v>0</v>
      </c>
      <c r="M8" s="6">
        <f t="shared" si="3"/>
        <v>0</v>
      </c>
      <c r="N8" s="4"/>
      <c r="O8" s="4"/>
      <c r="P8" s="4">
        <f t="shared" si="4"/>
        <v>0</v>
      </c>
      <c r="Q8" s="6">
        <f t="shared" si="5"/>
        <v>0</v>
      </c>
      <c r="R8" s="11">
        <f t="shared" si="8"/>
        <v>300</v>
      </c>
      <c r="S8" s="6">
        <f t="shared" si="6"/>
        <v>100</v>
      </c>
      <c r="T8" s="4">
        <f t="shared" si="7"/>
        <v>1</v>
      </c>
    </row>
    <row r="9" spans="1:20">
      <c r="A9" s="4">
        <v>5</v>
      </c>
      <c r="B9" s="4"/>
      <c r="C9" s="4"/>
      <c r="D9" s="9"/>
      <c r="E9" s="4"/>
      <c r="F9" s="4"/>
      <c r="G9" s="4"/>
      <c r="H9" s="4">
        <f t="shared" si="0"/>
        <v>0</v>
      </c>
      <c r="I9" s="5">
        <f t="shared" si="1"/>
        <v>0</v>
      </c>
      <c r="J9" s="4"/>
      <c r="K9" s="4"/>
      <c r="L9" s="4">
        <f t="shared" si="2"/>
        <v>0</v>
      </c>
      <c r="M9" s="6">
        <f t="shared" si="3"/>
        <v>0</v>
      </c>
      <c r="N9" s="4"/>
      <c r="O9" s="4"/>
      <c r="P9" s="4">
        <f t="shared" si="4"/>
        <v>0</v>
      </c>
      <c r="Q9" s="6">
        <f t="shared" si="5"/>
        <v>0</v>
      </c>
      <c r="R9" s="11">
        <f t="shared" si="8"/>
        <v>300</v>
      </c>
      <c r="S9" s="6">
        <f t="shared" si="6"/>
        <v>100</v>
      </c>
      <c r="T9" s="4">
        <f t="shared" si="7"/>
        <v>1</v>
      </c>
    </row>
    <row r="10" spans="1:20">
      <c r="A10" s="4">
        <v>6</v>
      </c>
      <c r="B10" s="4"/>
      <c r="C10" s="4"/>
      <c r="D10" s="9"/>
      <c r="E10" s="4"/>
      <c r="F10" s="4"/>
      <c r="G10" s="4"/>
      <c r="H10" s="4">
        <f t="shared" si="0"/>
        <v>0</v>
      </c>
      <c r="I10" s="5">
        <f t="shared" si="1"/>
        <v>0</v>
      </c>
      <c r="J10" s="4"/>
      <c r="K10" s="4"/>
      <c r="L10" s="4">
        <f t="shared" si="2"/>
        <v>0</v>
      </c>
      <c r="M10" s="6">
        <f t="shared" si="3"/>
        <v>0</v>
      </c>
      <c r="N10" s="4"/>
      <c r="O10" s="4"/>
      <c r="P10" s="4">
        <f t="shared" si="4"/>
        <v>0</v>
      </c>
      <c r="Q10" s="6">
        <f t="shared" si="5"/>
        <v>0</v>
      </c>
      <c r="R10" s="11">
        <f t="shared" si="8"/>
        <v>300</v>
      </c>
      <c r="S10" s="6">
        <f t="shared" si="6"/>
        <v>100</v>
      </c>
      <c r="T10" s="4">
        <f t="shared" si="7"/>
        <v>1</v>
      </c>
    </row>
    <row r="11" spans="1:20">
      <c r="A11" s="4">
        <v>7</v>
      </c>
      <c r="B11" s="4"/>
      <c r="C11" s="4"/>
      <c r="D11" s="9"/>
      <c r="E11" s="4"/>
      <c r="F11" s="4"/>
      <c r="G11" s="4"/>
      <c r="H11" s="4">
        <f t="shared" si="0"/>
        <v>0</v>
      </c>
      <c r="I11" s="5">
        <f t="shared" si="1"/>
        <v>0</v>
      </c>
      <c r="J11" s="4"/>
      <c r="K11" s="4"/>
      <c r="L11" s="4">
        <f t="shared" si="2"/>
        <v>0</v>
      </c>
      <c r="M11" s="6">
        <f t="shared" si="3"/>
        <v>0</v>
      </c>
      <c r="N11" s="4"/>
      <c r="O11" s="4"/>
      <c r="P11" s="4">
        <f t="shared" si="4"/>
        <v>0</v>
      </c>
      <c r="Q11" s="6">
        <f t="shared" si="5"/>
        <v>0</v>
      </c>
      <c r="R11" s="11">
        <f t="shared" si="8"/>
        <v>300</v>
      </c>
      <c r="S11" s="6">
        <f t="shared" si="6"/>
        <v>100</v>
      </c>
      <c r="T11" s="4">
        <f t="shared" si="7"/>
        <v>1</v>
      </c>
    </row>
    <row r="12" spans="1:20">
      <c r="A12" s="4">
        <v>8</v>
      </c>
      <c r="B12" s="4"/>
      <c r="C12" s="4"/>
      <c r="D12" s="9"/>
      <c r="E12" s="4"/>
      <c r="F12" s="4"/>
      <c r="G12" s="4"/>
      <c r="H12" s="4">
        <f t="shared" si="0"/>
        <v>0</v>
      </c>
      <c r="I12" s="5">
        <f t="shared" si="1"/>
        <v>0</v>
      </c>
      <c r="J12" s="4"/>
      <c r="K12" s="4"/>
      <c r="L12" s="4">
        <f t="shared" si="2"/>
        <v>0</v>
      </c>
      <c r="M12" s="6">
        <f t="shared" si="3"/>
        <v>0</v>
      </c>
      <c r="N12" s="4"/>
      <c r="O12" s="4"/>
      <c r="P12" s="4">
        <f t="shared" si="4"/>
        <v>0</v>
      </c>
      <c r="Q12" s="6">
        <f t="shared" si="5"/>
        <v>0</v>
      </c>
      <c r="R12" s="11">
        <f t="shared" si="8"/>
        <v>300</v>
      </c>
      <c r="S12" s="6">
        <f t="shared" si="6"/>
        <v>100</v>
      </c>
      <c r="T12" s="4">
        <f t="shared" si="7"/>
        <v>1</v>
      </c>
    </row>
    <row r="13" spans="1:20">
      <c r="A13" s="4">
        <v>9</v>
      </c>
      <c r="B13" s="4"/>
      <c r="C13" s="4"/>
      <c r="D13" s="9"/>
      <c r="E13" s="4"/>
      <c r="F13" s="4"/>
      <c r="G13" s="4"/>
      <c r="H13" s="4">
        <f t="shared" si="0"/>
        <v>0</v>
      </c>
      <c r="I13" s="5">
        <f t="shared" si="1"/>
        <v>0</v>
      </c>
      <c r="J13" s="4"/>
      <c r="K13" s="4"/>
      <c r="L13" s="4">
        <f t="shared" si="2"/>
        <v>0</v>
      </c>
      <c r="M13" s="6">
        <f t="shared" si="3"/>
        <v>0</v>
      </c>
      <c r="N13" s="4"/>
      <c r="O13" s="4"/>
      <c r="P13" s="4">
        <f t="shared" si="4"/>
        <v>0</v>
      </c>
      <c r="Q13" s="6">
        <f t="shared" si="5"/>
        <v>0</v>
      </c>
      <c r="R13" s="11">
        <f t="shared" si="8"/>
        <v>300</v>
      </c>
      <c r="S13" s="6">
        <f t="shared" si="6"/>
        <v>100</v>
      </c>
      <c r="T13" s="4">
        <f t="shared" si="7"/>
        <v>1</v>
      </c>
    </row>
    <row r="14" spans="1:20">
      <c r="A14" s="4">
        <v>10</v>
      </c>
      <c r="B14" s="4"/>
      <c r="C14" s="4"/>
      <c r="D14" s="9"/>
      <c r="E14" s="4"/>
      <c r="F14" s="4"/>
      <c r="G14" s="4"/>
      <c r="H14" s="4">
        <f t="shared" si="0"/>
        <v>0</v>
      </c>
      <c r="I14" s="5">
        <f t="shared" si="1"/>
        <v>0</v>
      </c>
      <c r="J14" s="4"/>
      <c r="K14" s="4"/>
      <c r="L14" s="4">
        <f t="shared" si="2"/>
        <v>0</v>
      </c>
      <c r="M14" s="6">
        <f t="shared" si="3"/>
        <v>0</v>
      </c>
      <c r="N14" s="4"/>
      <c r="O14" s="4"/>
      <c r="P14" s="4">
        <f t="shared" si="4"/>
        <v>0</v>
      </c>
      <c r="Q14" s="6">
        <f t="shared" si="5"/>
        <v>0</v>
      </c>
      <c r="R14" s="11">
        <f t="shared" si="8"/>
        <v>300</v>
      </c>
      <c r="S14" s="6">
        <f t="shared" si="6"/>
        <v>100</v>
      </c>
      <c r="T14" s="4">
        <f t="shared" si="7"/>
        <v>1</v>
      </c>
    </row>
    <row r="15" spans="1:20">
      <c r="A15" s="4">
        <v>11</v>
      </c>
      <c r="B15" s="4"/>
      <c r="C15" s="4"/>
      <c r="D15" s="9"/>
      <c r="E15" s="4"/>
      <c r="F15" s="4"/>
      <c r="G15" s="4"/>
      <c r="H15" s="4">
        <f t="shared" si="0"/>
        <v>0</v>
      </c>
      <c r="I15" s="5">
        <f t="shared" si="1"/>
        <v>0</v>
      </c>
      <c r="J15" s="4"/>
      <c r="K15" s="4"/>
      <c r="L15" s="4">
        <f t="shared" si="2"/>
        <v>0</v>
      </c>
      <c r="M15" s="6">
        <f t="shared" si="3"/>
        <v>0</v>
      </c>
      <c r="N15" s="4"/>
      <c r="O15" s="4"/>
      <c r="P15" s="4">
        <f t="shared" si="4"/>
        <v>0</v>
      </c>
      <c r="Q15" s="6">
        <f t="shared" si="5"/>
        <v>0</v>
      </c>
      <c r="R15" s="11">
        <f t="shared" si="8"/>
        <v>300</v>
      </c>
      <c r="S15" s="6">
        <f t="shared" si="6"/>
        <v>100</v>
      </c>
      <c r="T15" s="4">
        <f t="shared" si="7"/>
        <v>1</v>
      </c>
    </row>
    <row r="16" spans="1:20">
      <c r="A16" s="4">
        <v>12</v>
      </c>
      <c r="B16" s="4"/>
      <c r="C16" s="4"/>
      <c r="D16" s="9"/>
      <c r="E16" s="4"/>
      <c r="F16" s="4"/>
      <c r="G16" s="4"/>
      <c r="H16" s="4">
        <f t="shared" si="0"/>
        <v>0</v>
      </c>
      <c r="I16" s="5">
        <f t="shared" si="1"/>
        <v>0</v>
      </c>
      <c r="J16" s="4"/>
      <c r="K16" s="4"/>
      <c r="L16" s="4">
        <f t="shared" si="2"/>
        <v>0</v>
      </c>
      <c r="M16" s="6">
        <f t="shared" si="3"/>
        <v>0</v>
      </c>
      <c r="N16" s="4"/>
      <c r="O16" s="4"/>
      <c r="P16" s="4">
        <f t="shared" si="4"/>
        <v>0</v>
      </c>
      <c r="Q16" s="6">
        <f t="shared" si="5"/>
        <v>0</v>
      </c>
      <c r="R16" s="11">
        <f t="shared" si="8"/>
        <v>300</v>
      </c>
      <c r="S16" s="6">
        <f t="shared" si="6"/>
        <v>100</v>
      </c>
      <c r="T16" s="4">
        <f t="shared" si="7"/>
        <v>1</v>
      </c>
    </row>
    <row r="17" spans="1:20">
      <c r="A17" s="4">
        <v>13</v>
      </c>
      <c r="B17" s="4"/>
      <c r="C17" s="4"/>
      <c r="D17" s="9"/>
      <c r="E17" s="4"/>
      <c r="F17" s="4"/>
      <c r="G17" s="4"/>
      <c r="H17" s="4">
        <f t="shared" si="0"/>
        <v>0</v>
      </c>
      <c r="I17" s="5">
        <f t="shared" si="1"/>
        <v>0</v>
      </c>
      <c r="J17" s="4"/>
      <c r="K17" s="4"/>
      <c r="L17" s="4">
        <f t="shared" si="2"/>
        <v>0</v>
      </c>
      <c r="M17" s="6">
        <f t="shared" si="3"/>
        <v>0</v>
      </c>
      <c r="N17" s="4"/>
      <c r="O17" s="4"/>
      <c r="P17" s="4">
        <f t="shared" si="4"/>
        <v>0</v>
      </c>
      <c r="Q17" s="6">
        <f t="shared" si="5"/>
        <v>0</v>
      </c>
      <c r="R17" s="11">
        <f t="shared" si="8"/>
        <v>300</v>
      </c>
      <c r="S17" s="6">
        <f t="shared" si="6"/>
        <v>100</v>
      </c>
      <c r="T17" s="4">
        <f t="shared" si="7"/>
        <v>1</v>
      </c>
    </row>
    <row r="18" spans="1:20">
      <c r="A18" s="4">
        <v>14</v>
      </c>
      <c r="B18" s="4"/>
      <c r="C18" s="4"/>
      <c r="D18" s="9"/>
      <c r="E18" s="4"/>
      <c r="F18" s="4"/>
      <c r="G18" s="4"/>
      <c r="H18" s="4">
        <f t="shared" si="0"/>
        <v>0</v>
      </c>
      <c r="I18" s="5">
        <f t="shared" si="1"/>
        <v>0</v>
      </c>
      <c r="J18" s="4"/>
      <c r="K18" s="4"/>
      <c r="L18" s="4">
        <f t="shared" si="2"/>
        <v>0</v>
      </c>
      <c r="M18" s="6">
        <f t="shared" si="3"/>
        <v>0</v>
      </c>
      <c r="N18" s="4"/>
      <c r="O18" s="4"/>
      <c r="P18" s="4">
        <f t="shared" si="4"/>
        <v>0</v>
      </c>
      <c r="Q18" s="6">
        <f t="shared" si="5"/>
        <v>0</v>
      </c>
      <c r="R18" s="11">
        <f t="shared" si="8"/>
        <v>300</v>
      </c>
      <c r="S18" s="6">
        <f t="shared" si="6"/>
        <v>100</v>
      </c>
      <c r="T18" s="4">
        <f t="shared" si="7"/>
        <v>1</v>
      </c>
    </row>
    <row r="19" spans="1:20">
      <c r="A19" s="4">
        <v>15</v>
      </c>
      <c r="B19" s="4"/>
      <c r="C19" s="4"/>
      <c r="D19" s="9"/>
      <c r="E19" s="4"/>
      <c r="F19" s="4"/>
      <c r="G19" s="4"/>
      <c r="H19" s="4">
        <f t="shared" si="0"/>
        <v>0</v>
      </c>
      <c r="I19" s="5">
        <f t="shared" si="1"/>
        <v>0</v>
      </c>
      <c r="J19" s="4"/>
      <c r="K19" s="4"/>
      <c r="L19" s="4">
        <f t="shared" si="2"/>
        <v>0</v>
      </c>
      <c r="M19" s="6">
        <f t="shared" si="3"/>
        <v>0</v>
      </c>
      <c r="N19" s="4"/>
      <c r="O19" s="4"/>
      <c r="P19" s="4">
        <f t="shared" si="4"/>
        <v>0</v>
      </c>
      <c r="Q19" s="6">
        <f t="shared" si="5"/>
        <v>0</v>
      </c>
      <c r="R19" s="11">
        <f t="shared" si="8"/>
        <v>300</v>
      </c>
      <c r="S19" s="6">
        <f t="shared" si="6"/>
        <v>100</v>
      </c>
      <c r="T19" s="4">
        <f t="shared" si="7"/>
        <v>1</v>
      </c>
    </row>
    <row r="20" spans="1:20">
      <c r="A20" s="4">
        <v>16</v>
      </c>
      <c r="B20" s="4"/>
      <c r="C20" s="4"/>
      <c r="D20" s="9"/>
      <c r="E20" s="4"/>
      <c r="F20" s="4"/>
      <c r="G20" s="4"/>
      <c r="H20" s="4">
        <f t="shared" si="0"/>
        <v>0</v>
      </c>
      <c r="I20" s="5">
        <f t="shared" si="1"/>
        <v>0</v>
      </c>
      <c r="J20" s="4"/>
      <c r="K20" s="4"/>
      <c r="L20" s="4">
        <f t="shared" si="2"/>
        <v>0</v>
      </c>
      <c r="M20" s="6">
        <f t="shared" si="3"/>
        <v>0</v>
      </c>
      <c r="N20" s="4"/>
      <c r="O20" s="4"/>
      <c r="P20" s="4">
        <f t="shared" si="4"/>
        <v>0</v>
      </c>
      <c r="Q20" s="6">
        <f t="shared" si="5"/>
        <v>0</v>
      </c>
      <c r="R20" s="11">
        <f t="shared" si="8"/>
        <v>300</v>
      </c>
      <c r="S20" s="6">
        <f t="shared" si="6"/>
        <v>100</v>
      </c>
      <c r="T20" s="4">
        <f t="shared" si="7"/>
        <v>1</v>
      </c>
    </row>
    <row r="21" spans="1:20">
      <c r="A21" s="4">
        <v>17</v>
      </c>
      <c r="B21" s="4"/>
      <c r="C21" s="4"/>
      <c r="D21" s="9"/>
      <c r="E21" s="4"/>
      <c r="F21" s="4"/>
      <c r="G21" s="4"/>
      <c r="H21" s="4">
        <f t="shared" si="0"/>
        <v>0</v>
      </c>
      <c r="I21" s="5">
        <f t="shared" si="1"/>
        <v>0</v>
      </c>
      <c r="J21" s="4"/>
      <c r="K21" s="4"/>
      <c r="L21" s="4">
        <f t="shared" si="2"/>
        <v>0</v>
      </c>
      <c r="M21" s="6">
        <f t="shared" si="3"/>
        <v>0</v>
      </c>
      <c r="N21" s="4"/>
      <c r="O21" s="4"/>
      <c r="P21" s="4">
        <f t="shared" si="4"/>
        <v>0</v>
      </c>
      <c r="Q21" s="6">
        <f t="shared" si="5"/>
        <v>0</v>
      </c>
      <c r="R21" s="11">
        <f t="shared" si="8"/>
        <v>300</v>
      </c>
      <c r="S21" s="6">
        <f t="shared" si="6"/>
        <v>100</v>
      </c>
      <c r="T21" s="4">
        <f t="shared" si="7"/>
        <v>1</v>
      </c>
    </row>
    <row r="22" spans="1:20">
      <c r="A22" s="7">
        <v>18</v>
      </c>
      <c r="B22" s="7"/>
      <c r="C22" s="7"/>
      <c r="D22" s="10"/>
      <c r="E22" s="7"/>
      <c r="F22" s="7"/>
      <c r="G22" s="4"/>
      <c r="H22" s="4">
        <f t="shared" si="0"/>
        <v>0</v>
      </c>
      <c r="I22" s="5">
        <f t="shared" si="1"/>
        <v>0</v>
      </c>
      <c r="J22" s="7"/>
      <c r="K22" s="7"/>
      <c r="L22" s="4">
        <f t="shared" si="2"/>
        <v>0</v>
      </c>
      <c r="M22" s="6">
        <f t="shared" si="3"/>
        <v>0</v>
      </c>
      <c r="N22" s="7"/>
      <c r="O22" s="7"/>
      <c r="P22" s="4">
        <f t="shared" si="4"/>
        <v>0</v>
      </c>
      <c r="Q22" s="6">
        <f t="shared" si="5"/>
        <v>0</v>
      </c>
      <c r="R22" s="11">
        <f t="shared" si="8"/>
        <v>300</v>
      </c>
      <c r="S22" s="6">
        <f t="shared" si="6"/>
        <v>100</v>
      </c>
      <c r="T22" s="4">
        <f t="shared" si="7"/>
        <v>1</v>
      </c>
    </row>
    <row r="23" spans="1:20">
      <c r="A23" s="4">
        <v>19</v>
      </c>
      <c r="B23" s="4"/>
      <c r="C23" s="4"/>
      <c r="D23" s="9"/>
      <c r="E23" s="4"/>
      <c r="F23" s="4"/>
      <c r="G23" s="4"/>
      <c r="H23" s="4">
        <f t="shared" si="0"/>
        <v>0</v>
      </c>
      <c r="I23" s="5">
        <f t="shared" si="1"/>
        <v>0</v>
      </c>
      <c r="J23" s="4"/>
      <c r="K23" s="4"/>
      <c r="L23" s="4">
        <f t="shared" si="2"/>
        <v>0</v>
      </c>
      <c r="M23" s="6">
        <f t="shared" si="3"/>
        <v>0</v>
      </c>
      <c r="N23" s="4"/>
      <c r="O23" s="4"/>
      <c r="P23" s="4">
        <f t="shared" si="4"/>
        <v>0</v>
      </c>
      <c r="Q23" s="6">
        <f t="shared" si="5"/>
        <v>0</v>
      </c>
      <c r="R23" s="11">
        <f t="shared" si="8"/>
        <v>300</v>
      </c>
      <c r="S23" s="6">
        <f t="shared" si="6"/>
        <v>100</v>
      </c>
      <c r="T23" s="4">
        <f t="shared" si="7"/>
        <v>1</v>
      </c>
    </row>
    <row r="24" spans="1:20">
      <c r="A24" s="4">
        <v>20</v>
      </c>
      <c r="B24" s="4"/>
      <c r="C24" s="4"/>
      <c r="D24" s="9"/>
      <c r="E24" s="4"/>
      <c r="F24" s="4"/>
      <c r="G24" s="4"/>
      <c r="H24" s="4">
        <f t="shared" si="0"/>
        <v>0</v>
      </c>
      <c r="I24" s="5">
        <f t="shared" si="1"/>
        <v>0</v>
      </c>
      <c r="J24" s="4"/>
      <c r="K24" s="4"/>
      <c r="L24" s="4">
        <f t="shared" si="2"/>
        <v>0</v>
      </c>
      <c r="M24" s="6">
        <f t="shared" si="3"/>
        <v>0</v>
      </c>
      <c r="N24" s="4"/>
      <c r="O24" s="4"/>
      <c r="P24" s="4">
        <f t="shared" si="4"/>
        <v>0</v>
      </c>
      <c r="Q24" s="6">
        <f t="shared" si="5"/>
        <v>0</v>
      </c>
      <c r="R24" s="11">
        <f t="shared" si="8"/>
        <v>300</v>
      </c>
      <c r="S24" s="6">
        <f t="shared" si="6"/>
        <v>100</v>
      </c>
      <c r="T24" s="4">
        <f t="shared" si="7"/>
        <v>1</v>
      </c>
    </row>
    <row r="25" spans="1:20">
      <c r="A25" s="4">
        <v>21</v>
      </c>
      <c r="B25" s="4"/>
      <c r="C25" s="4"/>
      <c r="D25" s="9"/>
      <c r="E25" s="4"/>
      <c r="F25" s="4"/>
      <c r="G25" s="4"/>
      <c r="H25" s="4">
        <f t="shared" si="0"/>
        <v>0</v>
      </c>
      <c r="I25" s="5">
        <f t="shared" si="1"/>
        <v>0</v>
      </c>
      <c r="J25" s="4"/>
      <c r="K25" s="4"/>
      <c r="L25" s="4">
        <f t="shared" si="2"/>
        <v>0</v>
      </c>
      <c r="M25" s="6">
        <f t="shared" si="3"/>
        <v>0</v>
      </c>
      <c r="N25" s="4"/>
      <c r="O25" s="4"/>
      <c r="P25" s="4">
        <f t="shared" si="4"/>
        <v>0</v>
      </c>
      <c r="Q25" s="6">
        <f t="shared" si="5"/>
        <v>0</v>
      </c>
      <c r="R25" s="11">
        <f t="shared" si="8"/>
        <v>300</v>
      </c>
      <c r="S25" s="6">
        <f t="shared" si="6"/>
        <v>100</v>
      </c>
      <c r="T25" s="4">
        <f t="shared" si="7"/>
        <v>1</v>
      </c>
    </row>
    <row r="26" spans="1:20">
      <c r="A26" s="4">
        <v>22</v>
      </c>
      <c r="B26" s="4"/>
      <c r="C26" s="4"/>
      <c r="D26" s="9"/>
      <c r="E26" s="4"/>
      <c r="F26" s="4"/>
      <c r="G26" s="4"/>
      <c r="H26" s="4">
        <f t="shared" si="0"/>
        <v>0</v>
      </c>
      <c r="I26" s="5">
        <f t="shared" si="1"/>
        <v>0</v>
      </c>
      <c r="J26" s="4"/>
      <c r="K26" s="4"/>
      <c r="L26" s="4">
        <f t="shared" si="2"/>
        <v>0</v>
      </c>
      <c r="M26" s="6">
        <f t="shared" si="3"/>
        <v>0</v>
      </c>
      <c r="N26" s="4"/>
      <c r="O26" s="4"/>
      <c r="P26" s="4">
        <f t="shared" si="4"/>
        <v>0</v>
      </c>
      <c r="Q26" s="6">
        <f t="shared" si="5"/>
        <v>0</v>
      </c>
      <c r="R26" s="11">
        <f t="shared" si="8"/>
        <v>300</v>
      </c>
      <c r="S26" s="6">
        <f t="shared" si="6"/>
        <v>100</v>
      </c>
      <c r="T26" s="4">
        <f t="shared" si="7"/>
        <v>1</v>
      </c>
    </row>
    <row r="27" spans="1:20">
      <c r="A27" s="4">
        <v>23</v>
      </c>
      <c r="B27" s="4"/>
      <c r="C27" s="4"/>
      <c r="D27" s="9"/>
      <c r="E27" s="4"/>
      <c r="F27" s="4"/>
      <c r="G27" s="4"/>
      <c r="H27" s="4">
        <f t="shared" si="0"/>
        <v>0</v>
      </c>
      <c r="I27" s="5">
        <f t="shared" si="1"/>
        <v>0</v>
      </c>
      <c r="J27" s="4"/>
      <c r="K27" s="4"/>
      <c r="L27" s="4">
        <f t="shared" si="2"/>
        <v>0</v>
      </c>
      <c r="M27" s="6">
        <f t="shared" si="3"/>
        <v>0</v>
      </c>
      <c r="N27" s="4"/>
      <c r="O27" s="4"/>
      <c r="P27" s="4">
        <f t="shared" si="4"/>
        <v>0</v>
      </c>
      <c r="Q27" s="6">
        <f t="shared" si="5"/>
        <v>0</v>
      </c>
      <c r="R27" s="11">
        <f t="shared" si="8"/>
        <v>300</v>
      </c>
      <c r="S27" s="6">
        <f t="shared" si="6"/>
        <v>100</v>
      </c>
      <c r="T27" s="4">
        <f t="shared" si="7"/>
        <v>1</v>
      </c>
    </row>
    <row r="28" spans="1:20">
      <c r="A28" s="4">
        <v>24</v>
      </c>
      <c r="B28" s="4"/>
      <c r="C28" s="4"/>
      <c r="D28" s="9"/>
      <c r="E28" s="4"/>
      <c r="F28" s="4"/>
      <c r="G28" s="4"/>
      <c r="H28" s="4">
        <f t="shared" si="0"/>
        <v>0</v>
      </c>
      <c r="I28" s="5">
        <f t="shared" si="1"/>
        <v>0</v>
      </c>
      <c r="J28" s="4"/>
      <c r="K28" s="4"/>
      <c r="L28" s="4">
        <f t="shared" si="2"/>
        <v>0</v>
      </c>
      <c r="M28" s="6">
        <f t="shared" si="3"/>
        <v>0</v>
      </c>
      <c r="N28" s="4"/>
      <c r="O28" s="4"/>
      <c r="P28" s="4">
        <f t="shared" si="4"/>
        <v>0</v>
      </c>
      <c r="Q28" s="6">
        <f t="shared" si="5"/>
        <v>0</v>
      </c>
      <c r="R28" s="11">
        <f t="shared" si="8"/>
        <v>300</v>
      </c>
      <c r="S28" s="6">
        <f t="shared" si="6"/>
        <v>100</v>
      </c>
      <c r="T28" s="4">
        <f t="shared" si="7"/>
        <v>1</v>
      </c>
    </row>
    <row r="29" spans="1:20">
      <c r="A29" s="4">
        <v>25</v>
      </c>
      <c r="B29" s="4"/>
      <c r="C29" s="4"/>
      <c r="D29" s="9"/>
      <c r="E29" s="4"/>
      <c r="F29" s="4"/>
      <c r="G29" s="4"/>
      <c r="H29" s="4">
        <f t="shared" si="0"/>
        <v>0</v>
      </c>
      <c r="I29" s="5">
        <f t="shared" si="1"/>
        <v>0</v>
      </c>
      <c r="J29" s="4"/>
      <c r="K29" s="4"/>
      <c r="L29" s="4">
        <f t="shared" si="2"/>
        <v>0</v>
      </c>
      <c r="M29" s="6">
        <f t="shared" si="3"/>
        <v>0</v>
      </c>
      <c r="N29" s="4"/>
      <c r="O29" s="4"/>
      <c r="P29" s="4">
        <f t="shared" si="4"/>
        <v>0</v>
      </c>
      <c r="Q29" s="6">
        <f t="shared" si="5"/>
        <v>0</v>
      </c>
      <c r="R29" s="11">
        <f t="shared" si="8"/>
        <v>300</v>
      </c>
      <c r="S29" s="6">
        <f t="shared" si="6"/>
        <v>100</v>
      </c>
      <c r="T29" s="4">
        <f t="shared" si="7"/>
        <v>1</v>
      </c>
    </row>
    <row r="30" spans="1:20">
      <c r="A30" s="4">
        <v>26</v>
      </c>
      <c r="B30" s="4"/>
      <c r="C30" s="4"/>
      <c r="D30" s="9"/>
      <c r="E30" s="4"/>
      <c r="F30" s="4"/>
      <c r="G30" s="4"/>
      <c r="H30" s="4">
        <f t="shared" si="0"/>
        <v>0</v>
      </c>
      <c r="I30" s="5">
        <f t="shared" si="1"/>
        <v>0</v>
      </c>
      <c r="J30" s="4"/>
      <c r="K30" s="4"/>
      <c r="L30" s="4">
        <f t="shared" si="2"/>
        <v>0</v>
      </c>
      <c r="M30" s="6">
        <f t="shared" si="3"/>
        <v>0</v>
      </c>
      <c r="N30" s="4"/>
      <c r="O30" s="4"/>
      <c r="P30" s="4">
        <f t="shared" si="4"/>
        <v>0</v>
      </c>
      <c r="Q30" s="6">
        <f t="shared" si="5"/>
        <v>0</v>
      </c>
      <c r="R30" s="11">
        <f t="shared" si="8"/>
        <v>300</v>
      </c>
      <c r="S30" s="6">
        <f t="shared" si="6"/>
        <v>100</v>
      </c>
      <c r="T30" s="4">
        <f t="shared" si="7"/>
        <v>1</v>
      </c>
    </row>
    <row r="31" spans="1:20">
      <c r="A31" s="4">
        <v>27</v>
      </c>
      <c r="B31" s="4"/>
      <c r="C31" s="4"/>
      <c r="D31" s="9"/>
      <c r="E31" s="4"/>
      <c r="F31" s="4"/>
      <c r="G31" s="4"/>
      <c r="H31" s="4">
        <f t="shared" si="0"/>
        <v>0</v>
      </c>
      <c r="I31" s="5">
        <f t="shared" si="1"/>
        <v>0</v>
      </c>
      <c r="J31" s="4"/>
      <c r="K31" s="4"/>
      <c r="L31" s="4">
        <f t="shared" si="2"/>
        <v>0</v>
      </c>
      <c r="M31" s="6">
        <f t="shared" si="3"/>
        <v>0</v>
      </c>
      <c r="N31" s="4"/>
      <c r="O31" s="4"/>
      <c r="P31" s="4">
        <f t="shared" si="4"/>
        <v>0</v>
      </c>
      <c r="Q31" s="6">
        <f t="shared" si="5"/>
        <v>0</v>
      </c>
      <c r="R31" s="11">
        <f t="shared" si="8"/>
        <v>300</v>
      </c>
      <c r="S31" s="6">
        <f t="shared" si="6"/>
        <v>100</v>
      </c>
      <c r="T31" s="4">
        <f t="shared" si="7"/>
        <v>1</v>
      </c>
    </row>
    <row r="32" spans="1:20">
      <c r="A32" s="4">
        <v>28</v>
      </c>
      <c r="B32" s="4"/>
      <c r="C32" s="4"/>
      <c r="D32" s="9"/>
      <c r="E32" s="4"/>
      <c r="F32" s="4"/>
      <c r="G32" s="4"/>
      <c r="H32" s="4">
        <f t="shared" si="0"/>
        <v>0</v>
      </c>
      <c r="I32" s="5">
        <f t="shared" si="1"/>
        <v>0</v>
      </c>
      <c r="J32" s="4"/>
      <c r="K32" s="4"/>
      <c r="L32" s="4">
        <f t="shared" si="2"/>
        <v>0</v>
      </c>
      <c r="M32" s="6">
        <f t="shared" si="3"/>
        <v>0</v>
      </c>
      <c r="N32" s="4"/>
      <c r="O32" s="4"/>
      <c r="P32" s="4">
        <f t="shared" si="4"/>
        <v>0</v>
      </c>
      <c r="Q32" s="6">
        <f t="shared" si="5"/>
        <v>0</v>
      </c>
      <c r="R32" s="11">
        <f t="shared" si="8"/>
        <v>300</v>
      </c>
      <c r="S32" s="6">
        <f t="shared" si="6"/>
        <v>100</v>
      </c>
      <c r="T32" s="4">
        <f t="shared" si="7"/>
        <v>1</v>
      </c>
    </row>
    <row r="33" spans="1:20">
      <c r="A33" s="4">
        <v>29</v>
      </c>
      <c r="B33" s="4"/>
      <c r="C33" s="4"/>
      <c r="D33" s="9"/>
      <c r="E33" s="4"/>
      <c r="F33" s="4"/>
      <c r="G33" s="4"/>
      <c r="H33" s="4">
        <f t="shared" si="0"/>
        <v>0</v>
      </c>
      <c r="I33" s="5">
        <f t="shared" si="1"/>
        <v>0</v>
      </c>
      <c r="J33" s="4"/>
      <c r="K33" s="4"/>
      <c r="L33" s="4">
        <f t="shared" si="2"/>
        <v>0</v>
      </c>
      <c r="M33" s="6">
        <f t="shared" si="3"/>
        <v>0</v>
      </c>
      <c r="N33" s="4"/>
      <c r="O33" s="4"/>
      <c r="P33" s="4">
        <f t="shared" si="4"/>
        <v>0</v>
      </c>
      <c r="Q33" s="6">
        <f t="shared" si="5"/>
        <v>0</v>
      </c>
      <c r="R33" s="11">
        <f t="shared" si="8"/>
        <v>300</v>
      </c>
      <c r="S33" s="6">
        <f t="shared" si="6"/>
        <v>100</v>
      </c>
      <c r="T33" s="4">
        <f t="shared" si="7"/>
        <v>1</v>
      </c>
    </row>
    <row r="34" spans="1:20">
      <c r="A34" s="4">
        <v>30</v>
      </c>
      <c r="B34" s="4"/>
      <c r="C34" s="4"/>
      <c r="D34" s="9"/>
      <c r="E34" s="4"/>
      <c r="F34" s="4"/>
      <c r="G34" s="4"/>
      <c r="H34" s="4">
        <f t="shared" si="0"/>
        <v>0</v>
      </c>
      <c r="I34" s="5">
        <f t="shared" si="1"/>
        <v>0</v>
      </c>
      <c r="J34" s="4"/>
      <c r="K34" s="4"/>
      <c r="L34" s="4">
        <f t="shared" si="2"/>
        <v>0</v>
      </c>
      <c r="M34" s="6">
        <f t="shared" si="3"/>
        <v>0</v>
      </c>
      <c r="N34" s="4"/>
      <c r="O34" s="4"/>
      <c r="P34" s="4">
        <f t="shared" si="4"/>
        <v>0</v>
      </c>
      <c r="Q34" s="6">
        <f t="shared" si="5"/>
        <v>0</v>
      </c>
      <c r="R34" s="11">
        <f t="shared" si="8"/>
        <v>300</v>
      </c>
      <c r="S34" s="6">
        <f t="shared" si="6"/>
        <v>100</v>
      </c>
      <c r="T34" s="4">
        <f t="shared" si="7"/>
        <v>1</v>
      </c>
    </row>
    <row r="35" spans="1:20">
      <c r="A35" s="4">
        <v>31</v>
      </c>
      <c r="B35" s="4"/>
      <c r="C35" s="4"/>
      <c r="D35" s="9"/>
      <c r="E35" s="4"/>
      <c r="F35" s="4"/>
      <c r="G35" s="4"/>
      <c r="H35" s="4">
        <f t="shared" si="0"/>
        <v>0</v>
      </c>
      <c r="I35" s="5">
        <f t="shared" si="1"/>
        <v>0</v>
      </c>
      <c r="J35" s="4"/>
      <c r="K35" s="4"/>
      <c r="L35" s="4">
        <f t="shared" si="2"/>
        <v>0</v>
      </c>
      <c r="M35" s="6">
        <f t="shared" si="3"/>
        <v>0</v>
      </c>
      <c r="N35" s="4"/>
      <c r="O35" s="4"/>
      <c r="P35" s="4">
        <f t="shared" si="4"/>
        <v>0</v>
      </c>
      <c r="Q35" s="6">
        <f t="shared" si="5"/>
        <v>0</v>
      </c>
      <c r="R35" s="11">
        <f t="shared" si="8"/>
        <v>300</v>
      </c>
      <c r="S35" s="6">
        <f t="shared" si="6"/>
        <v>100</v>
      </c>
      <c r="T35" s="4">
        <f t="shared" si="7"/>
        <v>1</v>
      </c>
    </row>
    <row r="36" spans="1:20">
      <c r="A36" s="4">
        <v>32</v>
      </c>
      <c r="B36" s="4"/>
      <c r="C36" s="4"/>
      <c r="D36" s="9"/>
      <c r="E36" s="4"/>
      <c r="F36" s="4"/>
      <c r="G36" s="4"/>
      <c r="H36" s="4">
        <f t="shared" si="0"/>
        <v>0</v>
      </c>
      <c r="I36" s="5">
        <f t="shared" si="1"/>
        <v>0</v>
      </c>
      <c r="J36" s="4"/>
      <c r="K36" s="4"/>
      <c r="L36" s="4">
        <f t="shared" si="2"/>
        <v>0</v>
      </c>
      <c r="M36" s="6">
        <f t="shared" si="3"/>
        <v>0</v>
      </c>
      <c r="N36" s="4"/>
      <c r="O36" s="4"/>
      <c r="P36" s="4">
        <f t="shared" si="4"/>
        <v>0</v>
      </c>
      <c r="Q36" s="6">
        <f t="shared" si="5"/>
        <v>0</v>
      </c>
      <c r="R36" s="11">
        <f t="shared" si="8"/>
        <v>300</v>
      </c>
      <c r="S36" s="6">
        <f t="shared" si="6"/>
        <v>100</v>
      </c>
      <c r="T36" s="4">
        <f t="shared" si="7"/>
        <v>1</v>
      </c>
    </row>
    <row r="37" spans="1:20">
      <c r="A37" s="4">
        <v>33</v>
      </c>
      <c r="B37" s="4"/>
      <c r="C37" s="4"/>
      <c r="D37" s="9"/>
      <c r="E37" s="4"/>
      <c r="F37" s="4"/>
      <c r="G37" s="4"/>
      <c r="H37" s="4">
        <f t="shared" si="0"/>
        <v>0</v>
      </c>
      <c r="I37" s="5">
        <f t="shared" si="1"/>
        <v>0</v>
      </c>
      <c r="J37" s="4"/>
      <c r="K37" s="4"/>
      <c r="L37" s="4">
        <f t="shared" si="2"/>
        <v>0</v>
      </c>
      <c r="M37" s="6">
        <f t="shared" si="3"/>
        <v>0</v>
      </c>
      <c r="N37" s="4"/>
      <c r="O37" s="4"/>
      <c r="P37" s="4">
        <f t="shared" si="4"/>
        <v>0</v>
      </c>
      <c r="Q37" s="6">
        <f t="shared" si="5"/>
        <v>0</v>
      </c>
      <c r="R37" s="11">
        <f t="shared" si="8"/>
        <v>300</v>
      </c>
      <c r="S37" s="6">
        <f t="shared" si="6"/>
        <v>100</v>
      </c>
      <c r="T37" s="4">
        <f t="shared" si="7"/>
        <v>1</v>
      </c>
    </row>
    <row r="38" spans="1:20">
      <c r="A38" s="4">
        <v>34</v>
      </c>
      <c r="B38" s="4"/>
      <c r="C38" s="4"/>
      <c r="D38" s="9"/>
      <c r="E38" s="4"/>
      <c r="F38" s="4"/>
      <c r="G38" s="4"/>
      <c r="H38" s="4">
        <f t="shared" si="0"/>
        <v>0</v>
      </c>
      <c r="I38" s="5">
        <f t="shared" si="1"/>
        <v>0</v>
      </c>
      <c r="J38" s="4"/>
      <c r="K38" s="4"/>
      <c r="L38" s="4">
        <f t="shared" si="2"/>
        <v>0</v>
      </c>
      <c r="M38" s="6">
        <f t="shared" si="3"/>
        <v>0</v>
      </c>
      <c r="N38" s="4"/>
      <c r="O38" s="4"/>
      <c r="P38" s="4">
        <f t="shared" si="4"/>
        <v>0</v>
      </c>
      <c r="Q38" s="6">
        <f t="shared" si="5"/>
        <v>0</v>
      </c>
      <c r="R38" s="11">
        <f t="shared" si="8"/>
        <v>300</v>
      </c>
      <c r="S38" s="6">
        <f t="shared" si="6"/>
        <v>100</v>
      </c>
      <c r="T38" s="4">
        <f t="shared" si="7"/>
        <v>1</v>
      </c>
    </row>
    <row r="39" spans="1:20">
      <c r="A39" s="4">
        <v>35</v>
      </c>
      <c r="B39" s="4"/>
      <c r="C39" s="4"/>
      <c r="D39" s="9"/>
      <c r="E39" s="4"/>
      <c r="F39" s="4"/>
      <c r="G39" s="4"/>
      <c r="H39" s="4">
        <f t="shared" si="0"/>
        <v>0</v>
      </c>
      <c r="I39" s="5">
        <f t="shared" si="1"/>
        <v>0</v>
      </c>
      <c r="J39" s="4"/>
      <c r="K39" s="4"/>
      <c r="L39" s="4">
        <f t="shared" si="2"/>
        <v>0</v>
      </c>
      <c r="M39" s="6">
        <f t="shared" si="3"/>
        <v>0</v>
      </c>
      <c r="N39" s="4"/>
      <c r="O39" s="4"/>
      <c r="P39" s="4">
        <f t="shared" si="4"/>
        <v>0</v>
      </c>
      <c r="Q39" s="6">
        <f t="shared" si="5"/>
        <v>0</v>
      </c>
      <c r="R39" s="11">
        <f t="shared" si="8"/>
        <v>300</v>
      </c>
      <c r="S39" s="6">
        <f t="shared" si="6"/>
        <v>100</v>
      </c>
      <c r="T39" s="4">
        <f t="shared" si="7"/>
        <v>1</v>
      </c>
    </row>
    <row r="40" spans="1:20">
      <c r="A40" s="4">
        <v>36</v>
      </c>
      <c r="B40" s="4"/>
      <c r="C40" s="4"/>
      <c r="D40" s="9"/>
      <c r="E40" s="4"/>
      <c r="F40" s="4"/>
      <c r="G40" s="4"/>
      <c r="H40" s="4">
        <f t="shared" si="0"/>
        <v>0</v>
      </c>
      <c r="I40" s="5">
        <f t="shared" si="1"/>
        <v>0</v>
      </c>
      <c r="J40" s="4"/>
      <c r="K40" s="4"/>
      <c r="L40" s="4">
        <f t="shared" si="2"/>
        <v>0</v>
      </c>
      <c r="M40" s="6">
        <f t="shared" si="3"/>
        <v>0</v>
      </c>
      <c r="N40" s="4"/>
      <c r="O40" s="4"/>
      <c r="P40" s="4">
        <f t="shared" si="4"/>
        <v>0</v>
      </c>
      <c r="Q40" s="6">
        <f t="shared" si="5"/>
        <v>0</v>
      </c>
      <c r="R40" s="11">
        <f t="shared" si="8"/>
        <v>300</v>
      </c>
      <c r="S40" s="6">
        <f t="shared" si="6"/>
        <v>100</v>
      </c>
      <c r="T40" s="4">
        <f t="shared" si="7"/>
        <v>1</v>
      </c>
    </row>
    <row r="41" spans="1:20">
      <c r="A41" s="4">
        <v>37</v>
      </c>
      <c r="B41" s="4"/>
      <c r="C41" s="4"/>
      <c r="D41" s="9"/>
      <c r="E41" s="4"/>
      <c r="F41" s="4"/>
      <c r="G41" s="4"/>
      <c r="H41" s="4">
        <f t="shared" si="0"/>
        <v>0</v>
      </c>
      <c r="I41" s="5">
        <f t="shared" si="1"/>
        <v>0</v>
      </c>
      <c r="J41" s="4"/>
      <c r="K41" s="4"/>
      <c r="L41" s="4">
        <f t="shared" si="2"/>
        <v>0</v>
      </c>
      <c r="M41" s="6">
        <f t="shared" si="3"/>
        <v>0</v>
      </c>
      <c r="N41" s="4"/>
      <c r="O41" s="4"/>
      <c r="P41" s="4">
        <f t="shared" si="4"/>
        <v>0</v>
      </c>
      <c r="Q41" s="6">
        <f t="shared" si="5"/>
        <v>0</v>
      </c>
      <c r="R41" s="11">
        <f t="shared" si="8"/>
        <v>300</v>
      </c>
      <c r="S41" s="6">
        <f t="shared" si="6"/>
        <v>100</v>
      </c>
      <c r="T41" s="4">
        <f t="shared" si="7"/>
        <v>1</v>
      </c>
    </row>
    <row r="42" spans="1:20">
      <c r="A42" s="4">
        <v>38</v>
      </c>
      <c r="B42" s="4"/>
      <c r="C42" s="4"/>
      <c r="D42" s="9"/>
      <c r="E42" s="4"/>
      <c r="F42" s="4"/>
      <c r="G42" s="4"/>
      <c r="H42" s="4">
        <f t="shared" si="0"/>
        <v>0</v>
      </c>
      <c r="I42" s="5">
        <f t="shared" si="1"/>
        <v>0</v>
      </c>
      <c r="J42" s="4"/>
      <c r="K42" s="4"/>
      <c r="L42" s="4">
        <f t="shared" si="2"/>
        <v>0</v>
      </c>
      <c r="M42" s="6">
        <f t="shared" si="3"/>
        <v>0</v>
      </c>
      <c r="N42" s="4"/>
      <c r="O42" s="4"/>
      <c r="P42" s="4">
        <f t="shared" si="4"/>
        <v>0</v>
      </c>
      <c r="Q42" s="6">
        <f t="shared" si="5"/>
        <v>0</v>
      </c>
      <c r="R42" s="11">
        <f t="shared" si="8"/>
        <v>300</v>
      </c>
      <c r="S42" s="6">
        <f t="shared" si="6"/>
        <v>100</v>
      </c>
      <c r="T42" s="4">
        <f t="shared" si="7"/>
        <v>1</v>
      </c>
    </row>
    <row r="43" spans="1:20">
      <c r="A43" s="4">
        <v>39</v>
      </c>
      <c r="B43" s="4"/>
      <c r="C43" s="4"/>
      <c r="D43" s="9"/>
      <c r="E43" s="4"/>
      <c r="F43" s="4"/>
      <c r="G43" s="4"/>
      <c r="H43" s="4">
        <f t="shared" si="0"/>
        <v>0</v>
      </c>
      <c r="I43" s="5">
        <f t="shared" si="1"/>
        <v>0</v>
      </c>
      <c r="J43" s="4"/>
      <c r="K43" s="4"/>
      <c r="L43" s="4">
        <f t="shared" si="2"/>
        <v>0</v>
      </c>
      <c r="M43" s="6">
        <f t="shared" si="3"/>
        <v>0</v>
      </c>
      <c r="N43" s="4"/>
      <c r="O43" s="4"/>
      <c r="P43" s="4">
        <f t="shared" si="4"/>
        <v>0</v>
      </c>
      <c r="Q43" s="6">
        <f t="shared" si="5"/>
        <v>0</v>
      </c>
      <c r="R43" s="11">
        <f t="shared" si="8"/>
        <v>300</v>
      </c>
      <c r="S43" s="6">
        <f t="shared" si="6"/>
        <v>100</v>
      </c>
      <c r="T43" s="4">
        <f t="shared" si="7"/>
        <v>1</v>
      </c>
    </row>
    <row r="44" spans="1:20">
      <c r="A44" s="4">
        <v>40</v>
      </c>
      <c r="B44" s="4"/>
      <c r="C44" s="4"/>
      <c r="D44" s="9"/>
      <c r="E44" s="4"/>
      <c r="F44" s="4"/>
      <c r="G44" s="4"/>
      <c r="H44" s="4">
        <f t="shared" si="0"/>
        <v>0</v>
      </c>
      <c r="I44" s="5">
        <f t="shared" si="1"/>
        <v>0</v>
      </c>
      <c r="J44" s="4"/>
      <c r="K44" s="4"/>
      <c r="L44" s="4">
        <f t="shared" si="2"/>
        <v>0</v>
      </c>
      <c r="M44" s="6">
        <f t="shared" si="3"/>
        <v>0</v>
      </c>
      <c r="N44" s="4"/>
      <c r="O44" s="4"/>
      <c r="P44" s="4">
        <f t="shared" si="4"/>
        <v>0</v>
      </c>
      <c r="Q44" s="6">
        <f t="shared" si="5"/>
        <v>0</v>
      </c>
      <c r="R44" s="11">
        <f t="shared" si="8"/>
        <v>300</v>
      </c>
      <c r="S44" s="6">
        <f t="shared" si="6"/>
        <v>100</v>
      </c>
      <c r="T44" s="4">
        <f t="shared" si="7"/>
        <v>1</v>
      </c>
    </row>
    <row r="45" spans="1:20">
      <c r="A45" s="4">
        <v>41</v>
      </c>
      <c r="B45" s="4"/>
      <c r="C45" s="4"/>
      <c r="D45" s="9"/>
      <c r="E45" s="4"/>
      <c r="F45" s="4"/>
      <c r="G45" s="4"/>
      <c r="H45" s="4">
        <f t="shared" si="0"/>
        <v>0</v>
      </c>
      <c r="I45" s="5">
        <f t="shared" si="1"/>
        <v>0</v>
      </c>
      <c r="J45" s="4"/>
      <c r="K45" s="4"/>
      <c r="L45" s="4">
        <f t="shared" si="2"/>
        <v>0</v>
      </c>
      <c r="M45" s="6">
        <f t="shared" si="3"/>
        <v>0</v>
      </c>
      <c r="N45" s="4"/>
      <c r="O45" s="4"/>
      <c r="P45" s="4">
        <f t="shared" si="4"/>
        <v>0</v>
      </c>
      <c r="Q45" s="6">
        <f t="shared" si="5"/>
        <v>0</v>
      </c>
      <c r="R45" s="11">
        <f t="shared" si="8"/>
        <v>300</v>
      </c>
      <c r="S45" s="6">
        <f t="shared" si="6"/>
        <v>100</v>
      </c>
      <c r="T45" s="4">
        <f t="shared" si="7"/>
        <v>1</v>
      </c>
    </row>
    <row r="46" spans="1:20">
      <c r="A46" s="4">
        <v>42</v>
      </c>
      <c r="B46" s="4"/>
      <c r="C46" s="4"/>
      <c r="D46" s="9"/>
      <c r="E46" s="4"/>
      <c r="F46" s="4"/>
      <c r="G46" s="4"/>
      <c r="H46" s="4">
        <f t="shared" si="0"/>
        <v>0</v>
      </c>
      <c r="I46" s="5">
        <f t="shared" si="1"/>
        <v>0</v>
      </c>
      <c r="J46" s="4"/>
      <c r="K46" s="4"/>
      <c r="L46" s="4">
        <f t="shared" si="2"/>
        <v>0</v>
      </c>
      <c r="M46" s="6">
        <f t="shared" si="3"/>
        <v>0</v>
      </c>
      <c r="N46" s="4"/>
      <c r="O46" s="4"/>
      <c r="P46" s="4">
        <f t="shared" si="4"/>
        <v>0</v>
      </c>
      <c r="Q46" s="6">
        <f t="shared" si="5"/>
        <v>0</v>
      </c>
      <c r="R46" s="11">
        <f t="shared" si="8"/>
        <v>300</v>
      </c>
      <c r="S46" s="6">
        <f t="shared" si="6"/>
        <v>100</v>
      </c>
      <c r="T46" s="4">
        <f t="shared" si="7"/>
        <v>1</v>
      </c>
    </row>
    <row r="47" spans="1:20">
      <c r="A47" s="4">
        <v>43</v>
      </c>
      <c r="B47" s="4"/>
      <c r="C47" s="4"/>
      <c r="D47" s="9"/>
      <c r="E47" s="4"/>
      <c r="F47" s="4"/>
      <c r="G47" s="4"/>
      <c r="H47" s="4">
        <f t="shared" si="0"/>
        <v>0</v>
      </c>
      <c r="I47" s="5">
        <f t="shared" si="1"/>
        <v>0</v>
      </c>
      <c r="J47" s="4"/>
      <c r="K47" s="4"/>
      <c r="L47" s="4">
        <f t="shared" si="2"/>
        <v>0</v>
      </c>
      <c r="M47" s="6">
        <f t="shared" si="3"/>
        <v>0</v>
      </c>
      <c r="N47" s="4"/>
      <c r="O47" s="4"/>
      <c r="P47" s="4">
        <f t="shared" si="4"/>
        <v>0</v>
      </c>
      <c r="Q47" s="6">
        <f t="shared" si="5"/>
        <v>0</v>
      </c>
      <c r="R47" s="11">
        <f t="shared" si="8"/>
        <v>300</v>
      </c>
      <c r="S47" s="6">
        <f t="shared" si="6"/>
        <v>100</v>
      </c>
      <c r="T47" s="4">
        <f t="shared" si="7"/>
        <v>1</v>
      </c>
    </row>
    <row r="48" spans="1:20">
      <c r="A48" s="4">
        <v>44</v>
      </c>
      <c r="B48" s="4"/>
      <c r="C48" s="4"/>
      <c r="D48" s="9"/>
      <c r="E48" s="4"/>
      <c r="F48" s="4"/>
      <c r="G48" s="4"/>
      <c r="H48" s="4">
        <f t="shared" si="0"/>
        <v>0</v>
      </c>
      <c r="I48" s="5">
        <f t="shared" si="1"/>
        <v>0</v>
      </c>
      <c r="J48" s="4"/>
      <c r="K48" s="4"/>
      <c r="L48" s="4">
        <f t="shared" si="2"/>
        <v>0</v>
      </c>
      <c r="M48" s="6">
        <f t="shared" si="3"/>
        <v>0</v>
      </c>
      <c r="N48" s="4"/>
      <c r="O48" s="4"/>
      <c r="P48" s="4">
        <f t="shared" si="4"/>
        <v>0</v>
      </c>
      <c r="Q48" s="6">
        <f t="shared" si="5"/>
        <v>0</v>
      </c>
      <c r="R48" s="11">
        <f t="shared" si="8"/>
        <v>300</v>
      </c>
      <c r="S48" s="6">
        <f t="shared" si="6"/>
        <v>100</v>
      </c>
      <c r="T48" s="4">
        <f t="shared" si="7"/>
        <v>1</v>
      </c>
    </row>
    <row r="49" spans="1:20">
      <c r="A49" s="4">
        <v>45</v>
      </c>
      <c r="B49" s="4"/>
      <c r="C49" s="4"/>
      <c r="D49" s="9"/>
      <c r="E49" s="4"/>
      <c r="F49" s="4"/>
      <c r="G49" s="4"/>
      <c r="H49" s="4">
        <f t="shared" si="0"/>
        <v>0</v>
      </c>
      <c r="I49" s="5">
        <f t="shared" si="1"/>
        <v>0</v>
      </c>
      <c r="J49" s="4"/>
      <c r="K49" s="4"/>
      <c r="L49" s="4">
        <f t="shared" si="2"/>
        <v>0</v>
      </c>
      <c r="M49" s="6">
        <f t="shared" si="3"/>
        <v>0</v>
      </c>
      <c r="N49" s="4"/>
      <c r="O49" s="4"/>
      <c r="P49" s="4">
        <f t="shared" si="4"/>
        <v>0</v>
      </c>
      <c r="Q49" s="6">
        <f t="shared" si="5"/>
        <v>0</v>
      </c>
      <c r="R49" s="11">
        <f t="shared" si="8"/>
        <v>300</v>
      </c>
      <c r="S49" s="6">
        <f t="shared" si="6"/>
        <v>100</v>
      </c>
      <c r="T49" s="4">
        <f t="shared" si="7"/>
        <v>1</v>
      </c>
    </row>
    <row r="50" spans="1:20">
      <c r="A50" s="4">
        <v>46</v>
      </c>
      <c r="B50" s="4"/>
      <c r="C50" s="4"/>
      <c r="D50" s="9"/>
      <c r="E50" s="4"/>
      <c r="F50" s="4"/>
      <c r="G50" s="4"/>
      <c r="H50" s="4">
        <f t="shared" si="0"/>
        <v>0</v>
      </c>
      <c r="I50" s="5">
        <f t="shared" si="1"/>
        <v>0</v>
      </c>
      <c r="J50" s="4"/>
      <c r="K50" s="4"/>
      <c r="L50" s="4">
        <f t="shared" si="2"/>
        <v>0</v>
      </c>
      <c r="M50" s="6">
        <f t="shared" si="3"/>
        <v>0</v>
      </c>
      <c r="N50" s="4"/>
      <c r="O50" s="4"/>
      <c r="P50" s="4">
        <f t="shared" si="4"/>
        <v>0</v>
      </c>
      <c r="Q50" s="6">
        <f t="shared" si="5"/>
        <v>0</v>
      </c>
      <c r="R50" s="11">
        <f t="shared" si="8"/>
        <v>300</v>
      </c>
      <c r="S50" s="6">
        <f t="shared" si="6"/>
        <v>100</v>
      </c>
      <c r="T50" s="4">
        <f t="shared" si="7"/>
        <v>1</v>
      </c>
    </row>
    <row r="51" spans="1:20">
      <c r="A51" s="4">
        <v>47</v>
      </c>
      <c r="B51" s="4"/>
      <c r="C51" s="4"/>
      <c r="D51" s="9"/>
      <c r="E51" s="4"/>
      <c r="F51" s="4"/>
      <c r="G51" s="4"/>
      <c r="H51" s="4">
        <f t="shared" si="0"/>
        <v>0</v>
      </c>
      <c r="I51" s="5">
        <f t="shared" si="1"/>
        <v>0</v>
      </c>
      <c r="J51" s="4"/>
      <c r="K51" s="4"/>
      <c r="L51" s="4">
        <f t="shared" si="2"/>
        <v>0</v>
      </c>
      <c r="M51" s="6">
        <f t="shared" si="3"/>
        <v>0</v>
      </c>
      <c r="N51" s="4"/>
      <c r="O51" s="4"/>
      <c r="P51" s="4">
        <f t="shared" si="4"/>
        <v>0</v>
      </c>
      <c r="Q51" s="6">
        <f t="shared" si="5"/>
        <v>0</v>
      </c>
      <c r="R51" s="11">
        <f t="shared" si="8"/>
        <v>300</v>
      </c>
      <c r="S51" s="6">
        <f t="shared" si="6"/>
        <v>100</v>
      </c>
      <c r="T51" s="4">
        <f t="shared" si="7"/>
        <v>1</v>
      </c>
    </row>
    <row r="52" spans="1:20">
      <c r="A52" s="4">
        <v>48</v>
      </c>
      <c r="B52" s="4"/>
      <c r="C52" s="4"/>
      <c r="D52" s="9"/>
      <c r="E52" s="4"/>
      <c r="F52" s="4"/>
      <c r="G52" s="4"/>
      <c r="H52" s="4">
        <f t="shared" si="0"/>
        <v>0</v>
      </c>
      <c r="I52" s="5">
        <f t="shared" si="1"/>
        <v>0</v>
      </c>
      <c r="J52" s="4"/>
      <c r="K52" s="4"/>
      <c r="L52" s="4">
        <f t="shared" si="2"/>
        <v>0</v>
      </c>
      <c r="M52" s="6">
        <f t="shared" si="3"/>
        <v>0</v>
      </c>
      <c r="N52" s="4"/>
      <c r="O52" s="4"/>
      <c r="P52" s="4">
        <f t="shared" si="4"/>
        <v>0</v>
      </c>
      <c r="Q52" s="6">
        <f t="shared" si="5"/>
        <v>0</v>
      </c>
      <c r="R52" s="11">
        <f t="shared" si="8"/>
        <v>300</v>
      </c>
      <c r="S52" s="6">
        <f t="shared" si="6"/>
        <v>100</v>
      </c>
      <c r="T52" s="4">
        <f t="shared" si="7"/>
        <v>1</v>
      </c>
    </row>
    <row r="53" spans="1:20">
      <c r="A53" s="4">
        <v>49</v>
      </c>
      <c r="B53" s="4"/>
      <c r="C53" s="4"/>
      <c r="D53" s="9"/>
      <c r="E53" s="4"/>
      <c r="F53" s="4"/>
      <c r="G53" s="4"/>
      <c r="H53" s="4">
        <f t="shared" si="0"/>
        <v>0</v>
      </c>
      <c r="I53" s="5">
        <f t="shared" si="1"/>
        <v>0</v>
      </c>
      <c r="J53" s="4"/>
      <c r="K53" s="4"/>
      <c r="L53" s="4">
        <f t="shared" si="2"/>
        <v>0</v>
      </c>
      <c r="M53" s="6">
        <f t="shared" si="3"/>
        <v>0</v>
      </c>
      <c r="N53" s="4"/>
      <c r="O53" s="4"/>
      <c r="P53" s="4">
        <f t="shared" si="4"/>
        <v>0</v>
      </c>
      <c r="Q53" s="6">
        <f t="shared" si="5"/>
        <v>0</v>
      </c>
      <c r="R53" s="11">
        <f t="shared" si="8"/>
        <v>300</v>
      </c>
      <c r="S53" s="6">
        <f t="shared" si="6"/>
        <v>100</v>
      </c>
      <c r="T53" s="4">
        <f t="shared" si="7"/>
        <v>1</v>
      </c>
    </row>
    <row r="54" spans="1:20">
      <c r="A54" s="4">
        <v>50</v>
      </c>
      <c r="B54" s="4"/>
      <c r="C54" s="4"/>
      <c r="D54" s="9"/>
      <c r="E54" s="4"/>
      <c r="F54" s="4"/>
      <c r="G54" s="4"/>
      <c r="H54" s="4">
        <f t="shared" si="0"/>
        <v>0</v>
      </c>
      <c r="I54" s="5">
        <f t="shared" si="1"/>
        <v>0</v>
      </c>
      <c r="J54" s="4"/>
      <c r="K54" s="4"/>
      <c r="L54" s="4">
        <f t="shared" si="2"/>
        <v>0</v>
      </c>
      <c r="M54" s="6">
        <f t="shared" si="3"/>
        <v>0</v>
      </c>
      <c r="N54" s="4"/>
      <c r="O54" s="4"/>
      <c r="P54" s="4">
        <f t="shared" si="4"/>
        <v>0</v>
      </c>
      <c r="Q54" s="6">
        <f t="shared" si="5"/>
        <v>0</v>
      </c>
      <c r="R54" s="11">
        <f t="shared" si="8"/>
        <v>300</v>
      </c>
      <c r="S54" s="6">
        <f t="shared" si="6"/>
        <v>100</v>
      </c>
      <c r="T54" s="4">
        <f t="shared" si="7"/>
        <v>1</v>
      </c>
    </row>
    <row r="55" spans="1:20">
      <c r="A55" s="4">
        <v>51</v>
      </c>
      <c r="B55" s="4"/>
      <c r="C55" s="4"/>
      <c r="D55" s="9"/>
      <c r="E55" s="4"/>
      <c r="F55" s="4"/>
      <c r="G55" s="4"/>
      <c r="H55" s="4">
        <f t="shared" si="0"/>
        <v>0</v>
      </c>
      <c r="I55" s="5">
        <f t="shared" si="1"/>
        <v>0</v>
      </c>
      <c r="J55" s="4"/>
      <c r="K55" s="4"/>
      <c r="L55" s="4">
        <f t="shared" si="2"/>
        <v>0</v>
      </c>
      <c r="M55" s="6">
        <f t="shared" si="3"/>
        <v>0</v>
      </c>
      <c r="N55" s="4"/>
      <c r="O55" s="4"/>
      <c r="P55" s="4">
        <f t="shared" si="4"/>
        <v>0</v>
      </c>
      <c r="Q55" s="6">
        <f t="shared" si="5"/>
        <v>0</v>
      </c>
      <c r="R55" s="11">
        <f t="shared" si="8"/>
        <v>300</v>
      </c>
      <c r="S55" s="6">
        <f t="shared" si="6"/>
        <v>100</v>
      </c>
      <c r="T55" s="4">
        <f t="shared" si="7"/>
        <v>1</v>
      </c>
    </row>
    <row r="56" spans="1:20">
      <c r="A56" s="4">
        <v>52</v>
      </c>
      <c r="B56" s="4"/>
      <c r="C56" s="4"/>
      <c r="D56" s="9"/>
      <c r="E56" s="4"/>
      <c r="F56" s="4"/>
      <c r="G56" s="4"/>
      <c r="H56" s="4">
        <f t="shared" si="0"/>
        <v>0</v>
      </c>
      <c r="I56" s="5">
        <f t="shared" si="1"/>
        <v>0</v>
      </c>
      <c r="J56" s="4"/>
      <c r="K56" s="4"/>
      <c r="L56" s="4">
        <f t="shared" si="2"/>
        <v>0</v>
      </c>
      <c r="M56" s="6">
        <f t="shared" si="3"/>
        <v>0</v>
      </c>
      <c r="N56" s="4"/>
      <c r="O56" s="4"/>
      <c r="P56" s="4">
        <f t="shared" si="4"/>
        <v>0</v>
      </c>
      <c r="Q56" s="6">
        <f t="shared" si="5"/>
        <v>0</v>
      </c>
      <c r="R56" s="11">
        <f t="shared" si="8"/>
        <v>300</v>
      </c>
      <c r="S56" s="6">
        <f t="shared" si="6"/>
        <v>100</v>
      </c>
      <c r="T56" s="4">
        <f t="shared" si="7"/>
        <v>1</v>
      </c>
    </row>
    <row r="57" spans="1:20">
      <c r="A57" s="4">
        <v>53</v>
      </c>
      <c r="B57" s="4"/>
      <c r="C57" s="4"/>
      <c r="D57" s="9"/>
      <c r="E57" s="4"/>
      <c r="F57" s="4"/>
      <c r="G57" s="4"/>
      <c r="H57" s="4">
        <f t="shared" si="0"/>
        <v>0</v>
      </c>
      <c r="I57" s="5">
        <f t="shared" si="1"/>
        <v>0</v>
      </c>
      <c r="J57" s="4"/>
      <c r="K57" s="4"/>
      <c r="L57" s="4">
        <f t="shared" si="2"/>
        <v>0</v>
      </c>
      <c r="M57" s="6">
        <f t="shared" si="3"/>
        <v>0</v>
      </c>
      <c r="N57" s="4"/>
      <c r="O57" s="4"/>
      <c r="P57" s="4">
        <f t="shared" si="4"/>
        <v>0</v>
      </c>
      <c r="Q57" s="6">
        <f t="shared" si="5"/>
        <v>0</v>
      </c>
      <c r="R57" s="11">
        <f t="shared" si="8"/>
        <v>300</v>
      </c>
      <c r="S57" s="6">
        <f t="shared" si="6"/>
        <v>100</v>
      </c>
      <c r="T57" s="4">
        <f t="shared" si="7"/>
        <v>1</v>
      </c>
    </row>
    <row r="58" spans="1:20">
      <c r="A58" s="4">
        <v>54</v>
      </c>
      <c r="B58" s="4"/>
      <c r="C58" s="4"/>
      <c r="D58" s="9"/>
      <c r="E58" s="4"/>
      <c r="F58" s="4"/>
      <c r="G58" s="4"/>
      <c r="H58" s="4">
        <f t="shared" si="0"/>
        <v>0</v>
      </c>
      <c r="I58" s="5">
        <f t="shared" si="1"/>
        <v>0</v>
      </c>
      <c r="J58" s="4"/>
      <c r="K58" s="4"/>
      <c r="L58" s="4">
        <f t="shared" si="2"/>
        <v>0</v>
      </c>
      <c r="M58" s="6">
        <f t="shared" si="3"/>
        <v>0</v>
      </c>
      <c r="N58" s="4"/>
      <c r="O58" s="4"/>
      <c r="P58" s="4">
        <f t="shared" si="4"/>
        <v>0</v>
      </c>
      <c r="Q58" s="6">
        <f t="shared" si="5"/>
        <v>0</v>
      </c>
      <c r="R58" s="11">
        <f t="shared" si="8"/>
        <v>300</v>
      </c>
      <c r="S58" s="6">
        <f t="shared" si="6"/>
        <v>100</v>
      </c>
      <c r="T58" s="4">
        <f t="shared" si="7"/>
        <v>1</v>
      </c>
    </row>
    <row r="59" spans="1:20">
      <c r="A59" s="4">
        <v>55</v>
      </c>
      <c r="B59" s="4"/>
      <c r="C59" s="4"/>
      <c r="D59" s="9"/>
      <c r="E59" s="4"/>
      <c r="F59" s="4"/>
      <c r="G59" s="4"/>
      <c r="H59" s="4">
        <f t="shared" si="0"/>
        <v>0</v>
      </c>
      <c r="I59" s="5">
        <f t="shared" si="1"/>
        <v>0</v>
      </c>
      <c r="J59" s="4"/>
      <c r="K59" s="4"/>
      <c r="L59" s="4">
        <f t="shared" si="2"/>
        <v>0</v>
      </c>
      <c r="M59" s="6">
        <f t="shared" si="3"/>
        <v>0</v>
      </c>
      <c r="N59" s="4"/>
      <c r="O59" s="4"/>
      <c r="P59" s="4">
        <f t="shared" si="4"/>
        <v>0</v>
      </c>
      <c r="Q59" s="6">
        <f t="shared" si="5"/>
        <v>0</v>
      </c>
      <c r="R59" s="11">
        <f t="shared" si="8"/>
        <v>300</v>
      </c>
      <c r="S59" s="6">
        <f t="shared" si="6"/>
        <v>100</v>
      </c>
      <c r="T59" s="4">
        <f t="shared" si="7"/>
        <v>1</v>
      </c>
    </row>
    <row r="60" spans="1:20">
      <c r="A60" s="4">
        <v>56</v>
      </c>
      <c r="B60" s="4"/>
      <c r="C60" s="4"/>
      <c r="D60" s="9"/>
      <c r="E60" s="4"/>
      <c r="F60" s="4"/>
      <c r="G60" s="4"/>
      <c r="H60" s="4">
        <f t="shared" si="0"/>
        <v>0</v>
      </c>
      <c r="I60" s="5">
        <f t="shared" si="1"/>
        <v>0</v>
      </c>
      <c r="J60" s="4"/>
      <c r="K60" s="4"/>
      <c r="L60" s="4">
        <f t="shared" si="2"/>
        <v>0</v>
      </c>
      <c r="M60" s="6">
        <f t="shared" si="3"/>
        <v>0</v>
      </c>
      <c r="N60" s="4"/>
      <c r="O60" s="4"/>
      <c r="P60" s="4">
        <f t="shared" si="4"/>
        <v>0</v>
      </c>
      <c r="Q60" s="6">
        <f t="shared" si="5"/>
        <v>0</v>
      </c>
      <c r="R60" s="11">
        <f t="shared" si="8"/>
        <v>300</v>
      </c>
      <c r="S60" s="6">
        <f t="shared" si="6"/>
        <v>100</v>
      </c>
      <c r="T60" s="4">
        <f t="shared" si="7"/>
        <v>1</v>
      </c>
    </row>
    <row r="61" spans="1:20">
      <c r="A61" s="4">
        <v>57</v>
      </c>
      <c r="B61" s="4"/>
      <c r="C61" s="4"/>
      <c r="D61" s="9"/>
      <c r="E61" s="4"/>
      <c r="F61" s="4"/>
      <c r="G61" s="4"/>
      <c r="H61" s="4">
        <f t="shared" si="0"/>
        <v>0</v>
      </c>
      <c r="I61" s="5">
        <f t="shared" si="1"/>
        <v>0</v>
      </c>
      <c r="J61" s="4"/>
      <c r="K61" s="4"/>
      <c r="L61" s="4">
        <f t="shared" si="2"/>
        <v>0</v>
      </c>
      <c r="M61" s="6">
        <f t="shared" si="3"/>
        <v>0</v>
      </c>
      <c r="N61" s="4"/>
      <c r="O61" s="4"/>
      <c r="P61" s="4">
        <f t="shared" si="4"/>
        <v>0</v>
      </c>
      <c r="Q61" s="6">
        <f t="shared" si="5"/>
        <v>0</v>
      </c>
      <c r="R61" s="11">
        <f t="shared" si="8"/>
        <v>300</v>
      </c>
      <c r="S61" s="6">
        <f t="shared" si="6"/>
        <v>100</v>
      </c>
      <c r="T61" s="4">
        <f t="shared" si="7"/>
        <v>1</v>
      </c>
    </row>
    <row r="62" spans="1:20">
      <c r="A62" s="4">
        <v>58</v>
      </c>
      <c r="B62" s="4"/>
      <c r="C62" s="4"/>
      <c r="D62" s="9"/>
      <c r="E62" s="4"/>
      <c r="F62" s="4"/>
      <c r="G62" s="4"/>
      <c r="H62" s="4">
        <f t="shared" si="0"/>
        <v>0</v>
      </c>
      <c r="I62" s="5">
        <f t="shared" si="1"/>
        <v>0</v>
      </c>
      <c r="J62" s="4"/>
      <c r="K62" s="4"/>
      <c r="L62" s="4">
        <f t="shared" si="2"/>
        <v>0</v>
      </c>
      <c r="M62" s="6">
        <f t="shared" si="3"/>
        <v>0</v>
      </c>
      <c r="N62" s="4"/>
      <c r="O62" s="4"/>
      <c r="P62" s="4">
        <f t="shared" si="4"/>
        <v>0</v>
      </c>
      <c r="Q62" s="6">
        <f t="shared" si="5"/>
        <v>0</v>
      </c>
      <c r="R62" s="11">
        <f t="shared" si="8"/>
        <v>300</v>
      </c>
      <c r="S62" s="6">
        <f t="shared" si="6"/>
        <v>100</v>
      </c>
      <c r="T62" s="4">
        <f t="shared" si="7"/>
        <v>1</v>
      </c>
    </row>
    <row r="63" spans="1:20">
      <c r="A63" s="4">
        <v>59</v>
      </c>
      <c r="B63" s="4"/>
      <c r="C63" s="4"/>
      <c r="D63" s="9"/>
      <c r="E63" s="4"/>
      <c r="F63" s="4"/>
      <c r="G63" s="4"/>
      <c r="H63" s="4">
        <f t="shared" si="0"/>
        <v>0</v>
      </c>
      <c r="I63" s="5">
        <f t="shared" si="1"/>
        <v>0</v>
      </c>
      <c r="J63" s="4"/>
      <c r="K63" s="4"/>
      <c r="L63" s="4">
        <f t="shared" si="2"/>
        <v>0</v>
      </c>
      <c r="M63" s="6">
        <f t="shared" si="3"/>
        <v>0</v>
      </c>
      <c r="N63" s="4"/>
      <c r="O63" s="4"/>
      <c r="P63" s="4">
        <f t="shared" si="4"/>
        <v>0</v>
      </c>
      <c r="Q63" s="6">
        <f t="shared" si="5"/>
        <v>0</v>
      </c>
      <c r="R63" s="11">
        <f t="shared" si="8"/>
        <v>300</v>
      </c>
      <c r="S63" s="6">
        <f t="shared" si="6"/>
        <v>100</v>
      </c>
      <c r="T63" s="4">
        <f t="shared" si="7"/>
        <v>1</v>
      </c>
    </row>
    <row r="64" spans="1:20">
      <c r="A64" s="4">
        <v>60</v>
      </c>
      <c r="B64" s="4"/>
      <c r="C64" s="4"/>
      <c r="D64" s="9"/>
      <c r="E64" s="4"/>
      <c r="F64" s="4"/>
      <c r="G64" s="4"/>
      <c r="H64" s="4">
        <f t="shared" si="0"/>
        <v>0</v>
      </c>
      <c r="I64" s="5">
        <f t="shared" si="1"/>
        <v>0</v>
      </c>
      <c r="J64" s="4"/>
      <c r="K64" s="4"/>
      <c r="L64" s="4">
        <f t="shared" si="2"/>
        <v>0</v>
      </c>
      <c r="M64" s="6">
        <f t="shared" si="3"/>
        <v>0</v>
      </c>
      <c r="N64" s="4"/>
      <c r="O64" s="4"/>
      <c r="P64" s="4">
        <f t="shared" si="4"/>
        <v>0</v>
      </c>
      <c r="Q64" s="6">
        <f t="shared" si="5"/>
        <v>0</v>
      </c>
      <c r="R64" s="11">
        <f t="shared" si="8"/>
        <v>300</v>
      </c>
      <c r="S64" s="6">
        <f t="shared" si="6"/>
        <v>100</v>
      </c>
      <c r="T64" s="4">
        <f t="shared" si="7"/>
        <v>1</v>
      </c>
    </row>
    <row r="65" spans="1:20">
      <c r="A65" s="4">
        <v>61</v>
      </c>
      <c r="B65" s="4"/>
      <c r="C65" s="4"/>
      <c r="D65" s="9"/>
      <c r="E65" s="4"/>
      <c r="F65" s="4"/>
      <c r="G65" s="4"/>
      <c r="H65" s="4">
        <f t="shared" si="0"/>
        <v>0</v>
      </c>
      <c r="I65" s="5">
        <f t="shared" si="1"/>
        <v>0</v>
      </c>
      <c r="J65" s="4"/>
      <c r="K65" s="4"/>
      <c r="L65" s="4">
        <f t="shared" si="2"/>
        <v>0</v>
      </c>
      <c r="M65" s="6">
        <f t="shared" si="3"/>
        <v>0</v>
      </c>
      <c r="N65" s="4"/>
      <c r="O65" s="4"/>
      <c r="P65" s="4">
        <f t="shared" si="4"/>
        <v>0</v>
      </c>
      <c r="Q65" s="6">
        <f t="shared" si="5"/>
        <v>0</v>
      </c>
      <c r="R65" s="11">
        <f t="shared" si="8"/>
        <v>300</v>
      </c>
      <c r="S65" s="6">
        <f t="shared" si="6"/>
        <v>100</v>
      </c>
      <c r="T65" s="4">
        <f t="shared" si="7"/>
        <v>1</v>
      </c>
    </row>
    <row r="66" spans="1:20">
      <c r="A66" s="4">
        <v>62</v>
      </c>
      <c r="B66" s="4"/>
      <c r="C66" s="4"/>
      <c r="D66" s="9"/>
      <c r="E66" s="4"/>
      <c r="F66" s="4"/>
      <c r="G66" s="4"/>
      <c r="H66" s="4">
        <f t="shared" si="0"/>
        <v>0</v>
      </c>
      <c r="I66" s="5">
        <f t="shared" si="1"/>
        <v>0</v>
      </c>
      <c r="J66" s="4"/>
      <c r="K66" s="4"/>
      <c r="L66" s="4">
        <f t="shared" si="2"/>
        <v>0</v>
      </c>
      <c r="M66" s="6">
        <f t="shared" si="3"/>
        <v>0</v>
      </c>
      <c r="N66" s="4"/>
      <c r="O66" s="4"/>
      <c r="P66" s="4">
        <f t="shared" si="4"/>
        <v>0</v>
      </c>
      <c r="Q66" s="6">
        <f t="shared" si="5"/>
        <v>0</v>
      </c>
      <c r="R66" s="11">
        <f t="shared" si="8"/>
        <v>300</v>
      </c>
      <c r="S66" s="6">
        <f t="shared" si="6"/>
        <v>100</v>
      </c>
      <c r="T66" s="4">
        <f t="shared" si="7"/>
        <v>1</v>
      </c>
    </row>
    <row r="67" spans="1:20">
      <c r="A67" s="4">
        <v>63</v>
      </c>
      <c r="B67" s="4"/>
      <c r="C67" s="4"/>
      <c r="D67" s="9"/>
      <c r="E67" s="4"/>
      <c r="F67" s="4"/>
      <c r="G67" s="4"/>
      <c r="H67" s="4">
        <f t="shared" si="0"/>
        <v>0</v>
      </c>
      <c r="I67" s="5">
        <f t="shared" si="1"/>
        <v>0</v>
      </c>
      <c r="J67" s="4"/>
      <c r="K67" s="4"/>
      <c r="L67" s="4">
        <f t="shared" si="2"/>
        <v>0</v>
      </c>
      <c r="M67" s="6">
        <f t="shared" si="3"/>
        <v>0</v>
      </c>
      <c r="N67" s="4"/>
      <c r="O67" s="4"/>
      <c r="P67" s="4">
        <f t="shared" si="4"/>
        <v>0</v>
      </c>
      <c r="Q67" s="6">
        <f t="shared" si="5"/>
        <v>0</v>
      </c>
      <c r="R67" s="11">
        <f t="shared" si="8"/>
        <v>300</v>
      </c>
      <c r="S67" s="6">
        <f t="shared" si="6"/>
        <v>100</v>
      </c>
      <c r="T67" s="4">
        <f t="shared" si="7"/>
        <v>1</v>
      </c>
    </row>
    <row r="68" spans="1:20">
      <c r="A68" s="4">
        <v>64</v>
      </c>
      <c r="B68" s="4"/>
      <c r="C68" s="4"/>
      <c r="D68" s="9"/>
      <c r="E68" s="4"/>
      <c r="F68" s="4"/>
      <c r="G68" s="4"/>
      <c r="H68" s="4">
        <f t="shared" si="0"/>
        <v>0</v>
      </c>
      <c r="I68" s="5">
        <f t="shared" si="1"/>
        <v>0</v>
      </c>
      <c r="J68" s="4"/>
      <c r="K68" s="4"/>
      <c r="L68" s="4">
        <f t="shared" si="2"/>
        <v>0</v>
      </c>
      <c r="M68" s="6">
        <f t="shared" si="3"/>
        <v>0</v>
      </c>
      <c r="N68" s="4"/>
      <c r="O68" s="4"/>
      <c r="P68" s="4">
        <f t="shared" si="4"/>
        <v>0</v>
      </c>
      <c r="Q68" s="6">
        <f t="shared" si="5"/>
        <v>0</v>
      </c>
      <c r="R68" s="11">
        <f t="shared" si="8"/>
        <v>300</v>
      </c>
      <c r="S68" s="6">
        <f t="shared" si="6"/>
        <v>100</v>
      </c>
      <c r="T68" s="4">
        <f t="shared" si="7"/>
        <v>1</v>
      </c>
    </row>
    <row r="69" spans="1:20">
      <c r="A69" s="4">
        <v>65</v>
      </c>
      <c r="B69" s="4"/>
      <c r="C69" s="4"/>
      <c r="D69" s="9"/>
      <c r="E69" s="4"/>
      <c r="F69" s="4"/>
      <c r="G69" s="4"/>
      <c r="H69" s="4">
        <f t="shared" ref="H69:H92" si="9">F69+G69</f>
        <v>0</v>
      </c>
      <c r="I69" s="5">
        <f t="shared" ref="I69:I92" si="10">H69/2</f>
        <v>0</v>
      </c>
      <c r="J69" s="4"/>
      <c r="K69" s="4"/>
      <c r="L69" s="4">
        <f t="shared" ref="L69:L92" si="11">J69+K69</f>
        <v>0</v>
      </c>
      <c r="M69" s="6">
        <f t="shared" ref="M69:M92" si="12">L69/2</f>
        <v>0</v>
      </c>
      <c r="N69" s="4"/>
      <c r="O69" s="4"/>
      <c r="P69" s="4">
        <f t="shared" ref="P69:P92" si="13">N69+O69</f>
        <v>0</v>
      </c>
      <c r="Q69" s="6">
        <f t="shared" ref="Q69:Q92" si="14">P69/2</f>
        <v>0</v>
      </c>
      <c r="R69" s="11">
        <f t="shared" ref="R69:R92" si="15">100-I69*3+100-M69*3+100-Q69*15</f>
        <v>300</v>
      </c>
      <c r="S69" s="6">
        <f t="shared" ref="S69:S92" si="16">R69/3</f>
        <v>100</v>
      </c>
      <c r="T69" s="4">
        <f t="shared" ref="T69:T92" si="17">RANK(R69,$R$5:$R$91)</f>
        <v>1</v>
      </c>
    </row>
    <row r="70" spans="1:20">
      <c r="A70" s="4">
        <v>66</v>
      </c>
      <c r="B70" s="4"/>
      <c r="C70" s="4"/>
      <c r="D70" s="9"/>
      <c r="E70" s="4"/>
      <c r="F70" s="4"/>
      <c r="G70" s="4"/>
      <c r="H70" s="4">
        <f t="shared" si="9"/>
        <v>0</v>
      </c>
      <c r="I70" s="5">
        <f t="shared" si="10"/>
        <v>0</v>
      </c>
      <c r="J70" s="4"/>
      <c r="K70" s="4"/>
      <c r="L70" s="4">
        <f t="shared" si="11"/>
        <v>0</v>
      </c>
      <c r="M70" s="6">
        <f t="shared" si="12"/>
        <v>0</v>
      </c>
      <c r="N70" s="4"/>
      <c r="O70" s="4"/>
      <c r="P70" s="4">
        <f t="shared" si="13"/>
        <v>0</v>
      </c>
      <c r="Q70" s="6">
        <f t="shared" si="14"/>
        <v>0</v>
      </c>
      <c r="R70" s="11">
        <f t="shared" si="15"/>
        <v>300</v>
      </c>
      <c r="S70" s="6">
        <f t="shared" si="16"/>
        <v>100</v>
      </c>
      <c r="T70" s="4">
        <f t="shared" si="17"/>
        <v>1</v>
      </c>
    </row>
    <row r="71" spans="1:20">
      <c r="A71" s="4">
        <v>67</v>
      </c>
      <c r="B71" s="4"/>
      <c r="C71" s="4"/>
      <c r="D71" s="9"/>
      <c r="E71" s="4"/>
      <c r="F71" s="4"/>
      <c r="G71" s="4"/>
      <c r="H71" s="4">
        <f t="shared" si="9"/>
        <v>0</v>
      </c>
      <c r="I71" s="5">
        <f t="shared" si="10"/>
        <v>0</v>
      </c>
      <c r="J71" s="4"/>
      <c r="K71" s="4"/>
      <c r="L71" s="4">
        <f t="shared" si="11"/>
        <v>0</v>
      </c>
      <c r="M71" s="6">
        <f t="shared" si="12"/>
        <v>0</v>
      </c>
      <c r="N71" s="4"/>
      <c r="O71" s="4"/>
      <c r="P71" s="4">
        <f t="shared" si="13"/>
        <v>0</v>
      </c>
      <c r="Q71" s="6">
        <f t="shared" si="14"/>
        <v>0</v>
      </c>
      <c r="R71" s="11">
        <f t="shared" si="15"/>
        <v>300</v>
      </c>
      <c r="S71" s="6">
        <f t="shared" si="16"/>
        <v>100</v>
      </c>
      <c r="T71" s="4">
        <f t="shared" si="17"/>
        <v>1</v>
      </c>
    </row>
    <row r="72" spans="1:20">
      <c r="A72" s="4">
        <v>68</v>
      </c>
      <c r="B72" s="4"/>
      <c r="C72" s="4"/>
      <c r="D72" s="9"/>
      <c r="E72" s="4"/>
      <c r="F72" s="4"/>
      <c r="G72" s="4"/>
      <c r="H72" s="4">
        <f t="shared" si="9"/>
        <v>0</v>
      </c>
      <c r="I72" s="5">
        <f t="shared" si="10"/>
        <v>0</v>
      </c>
      <c r="J72" s="4"/>
      <c r="K72" s="4"/>
      <c r="L72" s="4">
        <f t="shared" si="11"/>
        <v>0</v>
      </c>
      <c r="M72" s="6">
        <f t="shared" si="12"/>
        <v>0</v>
      </c>
      <c r="N72" s="4"/>
      <c r="O72" s="4"/>
      <c r="P72" s="4">
        <f t="shared" si="13"/>
        <v>0</v>
      </c>
      <c r="Q72" s="6">
        <f t="shared" si="14"/>
        <v>0</v>
      </c>
      <c r="R72" s="11">
        <f t="shared" si="15"/>
        <v>300</v>
      </c>
      <c r="S72" s="6">
        <f t="shared" si="16"/>
        <v>100</v>
      </c>
      <c r="T72" s="4">
        <f t="shared" si="17"/>
        <v>1</v>
      </c>
    </row>
    <row r="73" spans="1:20">
      <c r="A73" s="4">
        <v>69</v>
      </c>
      <c r="B73" s="4"/>
      <c r="C73" s="4"/>
      <c r="D73" s="9"/>
      <c r="E73" s="4"/>
      <c r="F73" s="4"/>
      <c r="G73" s="4"/>
      <c r="H73" s="4">
        <f t="shared" si="9"/>
        <v>0</v>
      </c>
      <c r="I73" s="5">
        <f t="shared" si="10"/>
        <v>0</v>
      </c>
      <c r="J73" s="4"/>
      <c r="K73" s="4"/>
      <c r="L73" s="4">
        <f t="shared" si="11"/>
        <v>0</v>
      </c>
      <c r="M73" s="6">
        <f t="shared" si="12"/>
        <v>0</v>
      </c>
      <c r="N73" s="4"/>
      <c r="O73" s="4"/>
      <c r="P73" s="4">
        <f t="shared" si="13"/>
        <v>0</v>
      </c>
      <c r="Q73" s="6">
        <f t="shared" si="14"/>
        <v>0</v>
      </c>
      <c r="R73" s="11">
        <f t="shared" si="15"/>
        <v>300</v>
      </c>
      <c r="S73" s="6">
        <f t="shared" si="16"/>
        <v>100</v>
      </c>
      <c r="T73" s="4">
        <f t="shared" si="17"/>
        <v>1</v>
      </c>
    </row>
    <row r="74" spans="1:20">
      <c r="A74" s="4">
        <v>70</v>
      </c>
      <c r="B74" s="4"/>
      <c r="C74" s="4"/>
      <c r="D74" s="9"/>
      <c r="E74" s="4"/>
      <c r="F74" s="4"/>
      <c r="G74" s="4"/>
      <c r="H74" s="4">
        <f t="shared" si="9"/>
        <v>0</v>
      </c>
      <c r="I74" s="5">
        <f t="shared" si="10"/>
        <v>0</v>
      </c>
      <c r="J74" s="4"/>
      <c r="K74" s="4"/>
      <c r="L74" s="4">
        <f t="shared" si="11"/>
        <v>0</v>
      </c>
      <c r="M74" s="6">
        <f t="shared" si="12"/>
        <v>0</v>
      </c>
      <c r="N74" s="4"/>
      <c r="O74" s="4"/>
      <c r="P74" s="4">
        <f t="shared" si="13"/>
        <v>0</v>
      </c>
      <c r="Q74" s="6">
        <f t="shared" si="14"/>
        <v>0</v>
      </c>
      <c r="R74" s="11">
        <f t="shared" si="15"/>
        <v>300</v>
      </c>
      <c r="S74" s="6">
        <f t="shared" si="16"/>
        <v>100</v>
      </c>
      <c r="T74" s="4">
        <f t="shared" si="17"/>
        <v>1</v>
      </c>
    </row>
    <row r="75" spans="1:20">
      <c r="A75" s="4">
        <v>71</v>
      </c>
      <c r="B75" s="4"/>
      <c r="C75" s="4"/>
      <c r="D75" s="9"/>
      <c r="E75" s="4"/>
      <c r="F75" s="4"/>
      <c r="G75" s="4"/>
      <c r="H75" s="4">
        <f t="shared" si="9"/>
        <v>0</v>
      </c>
      <c r="I75" s="5">
        <f t="shared" si="10"/>
        <v>0</v>
      </c>
      <c r="J75" s="4"/>
      <c r="K75" s="4"/>
      <c r="L75" s="4">
        <f t="shared" si="11"/>
        <v>0</v>
      </c>
      <c r="M75" s="6">
        <f t="shared" si="12"/>
        <v>0</v>
      </c>
      <c r="N75" s="4"/>
      <c r="O75" s="4"/>
      <c r="P75" s="4">
        <f t="shared" si="13"/>
        <v>0</v>
      </c>
      <c r="Q75" s="6">
        <f t="shared" si="14"/>
        <v>0</v>
      </c>
      <c r="R75" s="11">
        <f t="shared" si="15"/>
        <v>300</v>
      </c>
      <c r="S75" s="6">
        <f t="shared" si="16"/>
        <v>100</v>
      </c>
      <c r="T75" s="4">
        <f t="shared" si="17"/>
        <v>1</v>
      </c>
    </row>
    <row r="76" spans="1:20">
      <c r="A76" s="4">
        <v>72</v>
      </c>
      <c r="B76" s="4"/>
      <c r="C76" s="4"/>
      <c r="D76" s="9"/>
      <c r="E76" s="4"/>
      <c r="F76" s="4"/>
      <c r="G76" s="4"/>
      <c r="H76" s="4">
        <f t="shared" si="9"/>
        <v>0</v>
      </c>
      <c r="I76" s="5">
        <f t="shared" si="10"/>
        <v>0</v>
      </c>
      <c r="J76" s="4"/>
      <c r="K76" s="4"/>
      <c r="L76" s="4">
        <f t="shared" si="11"/>
        <v>0</v>
      </c>
      <c r="M76" s="6">
        <f t="shared" si="12"/>
        <v>0</v>
      </c>
      <c r="N76" s="4"/>
      <c r="O76" s="4"/>
      <c r="P76" s="4">
        <f t="shared" si="13"/>
        <v>0</v>
      </c>
      <c r="Q76" s="6">
        <f t="shared" si="14"/>
        <v>0</v>
      </c>
      <c r="R76" s="11">
        <f t="shared" si="15"/>
        <v>300</v>
      </c>
      <c r="S76" s="6">
        <f t="shared" si="16"/>
        <v>100</v>
      </c>
      <c r="T76" s="4">
        <f t="shared" si="17"/>
        <v>1</v>
      </c>
    </row>
    <row r="77" spans="1:20">
      <c r="A77" s="4">
        <v>73</v>
      </c>
      <c r="B77" s="4"/>
      <c r="C77" s="4"/>
      <c r="D77" s="9"/>
      <c r="E77" s="4"/>
      <c r="F77" s="4"/>
      <c r="G77" s="4"/>
      <c r="H77" s="4">
        <f t="shared" si="9"/>
        <v>0</v>
      </c>
      <c r="I77" s="5">
        <f t="shared" si="10"/>
        <v>0</v>
      </c>
      <c r="J77" s="4"/>
      <c r="K77" s="4"/>
      <c r="L77" s="4">
        <f t="shared" si="11"/>
        <v>0</v>
      </c>
      <c r="M77" s="6">
        <f t="shared" si="12"/>
        <v>0</v>
      </c>
      <c r="N77" s="4"/>
      <c r="O77" s="4"/>
      <c r="P77" s="4">
        <f t="shared" si="13"/>
        <v>0</v>
      </c>
      <c r="Q77" s="6">
        <f t="shared" si="14"/>
        <v>0</v>
      </c>
      <c r="R77" s="11">
        <f t="shared" si="15"/>
        <v>300</v>
      </c>
      <c r="S77" s="6">
        <f t="shared" si="16"/>
        <v>100</v>
      </c>
      <c r="T77" s="4">
        <f t="shared" si="17"/>
        <v>1</v>
      </c>
    </row>
    <row r="78" spans="1:20">
      <c r="A78" s="4">
        <v>74</v>
      </c>
      <c r="B78" s="4"/>
      <c r="C78" s="4"/>
      <c r="D78" s="9"/>
      <c r="E78" s="4"/>
      <c r="F78" s="4"/>
      <c r="G78" s="4"/>
      <c r="H78" s="4">
        <f t="shared" si="9"/>
        <v>0</v>
      </c>
      <c r="I78" s="5">
        <f t="shared" si="10"/>
        <v>0</v>
      </c>
      <c r="J78" s="4"/>
      <c r="K78" s="4"/>
      <c r="L78" s="4">
        <f t="shared" si="11"/>
        <v>0</v>
      </c>
      <c r="M78" s="6">
        <f t="shared" si="12"/>
        <v>0</v>
      </c>
      <c r="N78" s="4"/>
      <c r="O78" s="4"/>
      <c r="P78" s="4">
        <f t="shared" si="13"/>
        <v>0</v>
      </c>
      <c r="Q78" s="6">
        <f t="shared" si="14"/>
        <v>0</v>
      </c>
      <c r="R78" s="11">
        <f t="shared" si="15"/>
        <v>300</v>
      </c>
      <c r="S78" s="6">
        <f t="shared" si="16"/>
        <v>100</v>
      </c>
      <c r="T78" s="4">
        <f t="shared" si="17"/>
        <v>1</v>
      </c>
    </row>
    <row r="79" spans="1:20">
      <c r="A79" s="4">
        <v>75</v>
      </c>
      <c r="B79" s="4"/>
      <c r="C79" s="4"/>
      <c r="D79" s="9"/>
      <c r="E79" s="4"/>
      <c r="F79" s="4"/>
      <c r="G79" s="4"/>
      <c r="H79" s="4">
        <f t="shared" si="9"/>
        <v>0</v>
      </c>
      <c r="I79" s="5">
        <f t="shared" si="10"/>
        <v>0</v>
      </c>
      <c r="J79" s="4"/>
      <c r="K79" s="4"/>
      <c r="L79" s="4">
        <f t="shared" si="11"/>
        <v>0</v>
      </c>
      <c r="M79" s="6">
        <f t="shared" si="12"/>
        <v>0</v>
      </c>
      <c r="N79" s="4"/>
      <c r="O79" s="4"/>
      <c r="P79" s="4">
        <f t="shared" si="13"/>
        <v>0</v>
      </c>
      <c r="Q79" s="6">
        <f t="shared" si="14"/>
        <v>0</v>
      </c>
      <c r="R79" s="11">
        <f t="shared" si="15"/>
        <v>300</v>
      </c>
      <c r="S79" s="6">
        <f t="shared" si="16"/>
        <v>100</v>
      </c>
      <c r="T79" s="4">
        <f t="shared" si="17"/>
        <v>1</v>
      </c>
    </row>
    <row r="80" spans="1:20">
      <c r="A80" s="4">
        <v>76</v>
      </c>
      <c r="B80" s="4"/>
      <c r="C80" s="4"/>
      <c r="D80" s="9"/>
      <c r="E80" s="4"/>
      <c r="F80" s="4"/>
      <c r="G80" s="4"/>
      <c r="H80" s="4">
        <f t="shared" si="9"/>
        <v>0</v>
      </c>
      <c r="I80" s="5">
        <f t="shared" si="10"/>
        <v>0</v>
      </c>
      <c r="J80" s="4"/>
      <c r="K80" s="4"/>
      <c r="L80" s="4">
        <f t="shared" si="11"/>
        <v>0</v>
      </c>
      <c r="M80" s="6">
        <f t="shared" si="12"/>
        <v>0</v>
      </c>
      <c r="N80" s="4"/>
      <c r="O80" s="4"/>
      <c r="P80" s="4">
        <f t="shared" si="13"/>
        <v>0</v>
      </c>
      <c r="Q80" s="6">
        <f t="shared" si="14"/>
        <v>0</v>
      </c>
      <c r="R80" s="11">
        <f t="shared" si="15"/>
        <v>300</v>
      </c>
      <c r="S80" s="6">
        <f t="shared" si="16"/>
        <v>100</v>
      </c>
      <c r="T80" s="4">
        <f t="shared" si="17"/>
        <v>1</v>
      </c>
    </row>
    <row r="81" spans="1:20">
      <c r="A81" s="4">
        <v>77</v>
      </c>
      <c r="B81" s="4"/>
      <c r="C81" s="4"/>
      <c r="D81" s="9"/>
      <c r="E81" s="4"/>
      <c r="F81" s="4"/>
      <c r="G81" s="4"/>
      <c r="H81" s="4">
        <f t="shared" si="9"/>
        <v>0</v>
      </c>
      <c r="I81" s="5">
        <f t="shared" si="10"/>
        <v>0</v>
      </c>
      <c r="J81" s="4"/>
      <c r="K81" s="4"/>
      <c r="L81" s="4">
        <f t="shared" si="11"/>
        <v>0</v>
      </c>
      <c r="M81" s="6">
        <f t="shared" si="12"/>
        <v>0</v>
      </c>
      <c r="N81" s="4"/>
      <c r="O81" s="4"/>
      <c r="P81" s="4">
        <f t="shared" si="13"/>
        <v>0</v>
      </c>
      <c r="Q81" s="6">
        <f t="shared" si="14"/>
        <v>0</v>
      </c>
      <c r="R81" s="11">
        <f t="shared" si="15"/>
        <v>300</v>
      </c>
      <c r="S81" s="6">
        <f t="shared" si="16"/>
        <v>100</v>
      </c>
      <c r="T81" s="4">
        <f t="shared" si="17"/>
        <v>1</v>
      </c>
    </row>
    <row r="82" spans="1:20">
      <c r="A82" s="4">
        <v>78</v>
      </c>
      <c r="B82" s="4"/>
      <c r="C82" s="4"/>
      <c r="D82" s="9"/>
      <c r="E82" s="4"/>
      <c r="F82" s="4"/>
      <c r="G82" s="4"/>
      <c r="H82" s="4">
        <f t="shared" si="9"/>
        <v>0</v>
      </c>
      <c r="I82" s="5">
        <f t="shared" si="10"/>
        <v>0</v>
      </c>
      <c r="J82" s="4"/>
      <c r="K82" s="4"/>
      <c r="L82" s="4">
        <f t="shared" si="11"/>
        <v>0</v>
      </c>
      <c r="M82" s="6">
        <f t="shared" si="12"/>
        <v>0</v>
      </c>
      <c r="N82" s="4"/>
      <c r="O82" s="4"/>
      <c r="P82" s="4">
        <f t="shared" si="13"/>
        <v>0</v>
      </c>
      <c r="Q82" s="6">
        <f t="shared" si="14"/>
        <v>0</v>
      </c>
      <c r="R82" s="11">
        <f t="shared" si="15"/>
        <v>300</v>
      </c>
      <c r="S82" s="6">
        <f t="shared" si="16"/>
        <v>100</v>
      </c>
      <c r="T82" s="4">
        <f t="shared" si="17"/>
        <v>1</v>
      </c>
    </row>
    <row r="83" spans="1:20">
      <c r="A83" s="4">
        <v>79</v>
      </c>
      <c r="B83" s="4"/>
      <c r="C83" s="4"/>
      <c r="D83" s="9"/>
      <c r="E83" s="4"/>
      <c r="F83" s="4"/>
      <c r="G83" s="4"/>
      <c r="H83" s="4">
        <f t="shared" si="9"/>
        <v>0</v>
      </c>
      <c r="I83" s="5">
        <f t="shared" si="10"/>
        <v>0</v>
      </c>
      <c r="J83" s="4"/>
      <c r="K83" s="4"/>
      <c r="L83" s="4">
        <f t="shared" si="11"/>
        <v>0</v>
      </c>
      <c r="M83" s="6">
        <f t="shared" si="12"/>
        <v>0</v>
      </c>
      <c r="N83" s="4"/>
      <c r="O83" s="4"/>
      <c r="P83" s="4">
        <f t="shared" si="13"/>
        <v>0</v>
      </c>
      <c r="Q83" s="6">
        <f t="shared" si="14"/>
        <v>0</v>
      </c>
      <c r="R83" s="11">
        <f t="shared" si="15"/>
        <v>300</v>
      </c>
      <c r="S83" s="6">
        <f t="shared" si="16"/>
        <v>100</v>
      </c>
      <c r="T83" s="4">
        <f t="shared" si="17"/>
        <v>1</v>
      </c>
    </row>
    <row r="84" spans="1:20">
      <c r="A84" s="4">
        <v>80</v>
      </c>
      <c r="B84" s="4"/>
      <c r="C84" s="4"/>
      <c r="D84" s="9"/>
      <c r="E84" s="4"/>
      <c r="F84" s="4"/>
      <c r="G84" s="4"/>
      <c r="H84" s="4">
        <f t="shared" si="9"/>
        <v>0</v>
      </c>
      <c r="I84" s="5">
        <f t="shared" si="10"/>
        <v>0</v>
      </c>
      <c r="J84" s="4"/>
      <c r="K84" s="4"/>
      <c r="L84" s="4">
        <f t="shared" si="11"/>
        <v>0</v>
      </c>
      <c r="M84" s="6">
        <f t="shared" si="12"/>
        <v>0</v>
      </c>
      <c r="N84" s="4"/>
      <c r="O84" s="4"/>
      <c r="P84" s="4">
        <f t="shared" si="13"/>
        <v>0</v>
      </c>
      <c r="Q84" s="6">
        <f t="shared" si="14"/>
        <v>0</v>
      </c>
      <c r="R84" s="11">
        <f t="shared" si="15"/>
        <v>300</v>
      </c>
      <c r="S84" s="6">
        <f t="shared" si="16"/>
        <v>100</v>
      </c>
      <c r="T84" s="4">
        <f t="shared" si="17"/>
        <v>1</v>
      </c>
    </row>
    <row r="85" spans="1:20">
      <c r="A85" s="4">
        <v>81</v>
      </c>
      <c r="B85" s="4"/>
      <c r="C85" s="4"/>
      <c r="D85" s="9"/>
      <c r="E85" s="4"/>
      <c r="F85" s="4"/>
      <c r="G85" s="4"/>
      <c r="H85" s="4">
        <f t="shared" si="9"/>
        <v>0</v>
      </c>
      <c r="I85" s="5">
        <f t="shared" si="10"/>
        <v>0</v>
      </c>
      <c r="J85" s="4"/>
      <c r="K85" s="4"/>
      <c r="L85" s="4">
        <f t="shared" si="11"/>
        <v>0</v>
      </c>
      <c r="M85" s="6">
        <f t="shared" si="12"/>
        <v>0</v>
      </c>
      <c r="N85" s="4"/>
      <c r="O85" s="4"/>
      <c r="P85" s="4">
        <f t="shared" si="13"/>
        <v>0</v>
      </c>
      <c r="Q85" s="6">
        <f t="shared" si="14"/>
        <v>0</v>
      </c>
      <c r="R85" s="11">
        <f t="shared" si="15"/>
        <v>300</v>
      </c>
      <c r="S85" s="6">
        <f t="shared" si="16"/>
        <v>100</v>
      </c>
      <c r="T85" s="4">
        <f t="shared" si="17"/>
        <v>1</v>
      </c>
    </row>
    <row r="86" spans="1:20">
      <c r="A86" s="4">
        <v>82</v>
      </c>
      <c r="B86" s="4"/>
      <c r="C86" s="4"/>
      <c r="D86" s="9"/>
      <c r="E86" s="4"/>
      <c r="F86" s="4"/>
      <c r="G86" s="4"/>
      <c r="H86" s="4">
        <f t="shared" si="9"/>
        <v>0</v>
      </c>
      <c r="I86" s="5">
        <f t="shared" si="10"/>
        <v>0</v>
      </c>
      <c r="J86" s="4"/>
      <c r="K86" s="4"/>
      <c r="L86" s="4">
        <f t="shared" si="11"/>
        <v>0</v>
      </c>
      <c r="M86" s="6">
        <f t="shared" si="12"/>
        <v>0</v>
      </c>
      <c r="N86" s="4"/>
      <c r="O86" s="4"/>
      <c r="P86" s="4">
        <f t="shared" si="13"/>
        <v>0</v>
      </c>
      <c r="Q86" s="6">
        <f t="shared" si="14"/>
        <v>0</v>
      </c>
      <c r="R86" s="11">
        <f t="shared" si="15"/>
        <v>300</v>
      </c>
      <c r="S86" s="6">
        <f t="shared" si="16"/>
        <v>100</v>
      </c>
      <c r="T86" s="4">
        <f t="shared" si="17"/>
        <v>1</v>
      </c>
    </row>
    <row r="87" spans="1:20">
      <c r="A87" s="4">
        <v>83</v>
      </c>
      <c r="B87" s="4"/>
      <c r="C87" s="4"/>
      <c r="D87" s="9"/>
      <c r="E87" s="4"/>
      <c r="F87" s="4"/>
      <c r="G87" s="4"/>
      <c r="H87" s="4">
        <f t="shared" si="9"/>
        <v>0</v>
      </c>
      <c r="I87" s="5">
        <f t="shared" si="10"/>
        <v>0</v>
      </c>
      <c r="J87" s="4"/>
      <c r="K87" s="4"/>
      <c r="L87" s="4">
        <f t="shared" si="11"/>
        <v>0</v>
      </c>
      <c r="M87" s="6">
        <f t="shared" si="12"/>
        <v>0</v>
      </c>
      <c r="N87" s="4"/>
      <c r="O87" s="4"/>
      <c r="P87" s="4">
        <f t="shared" si="13"/>
        <v>0</v>
      </c>
      <c r="Q87" s="6">
        <f t="shared" si="14"/>
        <v>0</v>
      </c>
      <c r="R87" s="11">
        <f t="shared" si="15"/>
        <v>300</v>
      </c>
      <c r="S87" s="6">
        <f t="shared" si="16"/>
        <v>100</v>
      </c>
      <c r="T87" s="4">
        <f t="shared" si="17"/>
        <v>1</v>
      </c>
    </row>
    <row r="88" spans="1:20">
      <c r="A88" s="4">
        <v>84</v>
      </c>
      <c r="B88" s="4"/>
      <c r="C88" s="4"/>
      <c r="D88" s="9"/>
      <c r="E88" s="4"/>
      <c r="F88" s="4"/>
      <c r="G88" s="4"/>
      <c r="H88" s="4">
        <f t="shared" si="9"/>
        <v>0</v>
      </c>
      <c r="I88" s="5">
        <f t="shared" si="10"/>
        <v>0</v>
      </c>
      <c r="J88" s="4"/>
      <c r="K88" s="4"/>
      <c r="L88" s="4">
        <f t="shared" si="11"/>
        <v>0</v>
      </c>
      <c r="M88" s="6">
        <f t="shared" si="12"/>
        <v>0</v>
      </c>
      <c r="N88" s="4"/>
      <c r="O88" s="4"/>
      <c r="P88" s="4">
        <f t="shared" si="13"/>
        <v>0</v>
      </c>
      <c r="Q88" s="6">
        <f t="shared" si="14"/>
        <v>0</v>
      </c>
      <c r="R88" s="11">
        <f t="shared" si="15"/>
        <v>300</v>
      </c>
      <c r="S88" s="6">
        <f t="shared" si="16"/>
        <v>100</v>
      </c>
      <c r="T88" s="4">
        <f t="shared" si="17"/>
        <v>1</v>
      </c>
    </row>
    <row r="89" spans="1:20">
      <c r="A89" s="4">
        <v>85</v>
      </c>
      <c r="B89" s="4"/>
      <c r="C89" s="4"/>
      <c r="D89" s="9"/>
      <c r="E89" s="4"/>
      <c r="F89" s="4"/>
      <c r="G89" s="4"/>
      <c r="H89" s="4">
        <f t="shared" si="9"/>
        <v>0</v>
      </c>
      <c r="I89" s="5">
        <f t="shared" si="10"/>
        <v>0</v>
      </c>
      <c r="J89" s="4"/>
      <c r="K89" s="4"/>
      <c r="L89" s="4">
        <f t="shared" si="11"/>
        <v>0</v>
      </c>
      <c r="M89" s="6">
        <f t="shared" si="12"/>
        <v>0</v>
      </c>
      <c r="N89" s="4"/>
      <c r="O89" s="4"/>
      <c r="P89" s="4">
        <f t="shared" si="13"/>
        <v>0</v>
      </c>
      <c r="Q89" s="6">
        <f t="shared" si="14"/>
        <v>0</v>
      </c>
      <c r="R89" s="11">
        <f t="shared" si="15"/>
        <v>300</v>
      </c>
      <c r="S89" s="6">
        <f t="shared" si="16"/>
        <v>100</v>
      </c>
      <c r="T89" s="4">
        <f t="shared" si="17"/>
        <v>1</v>
      </c>
    </row>
    <row r="90" spans="1:20">
      <c r="A90" s="4">
        <v>86</v>
      </c>
      <c r="B90" s="4"/>
      <c r="C90" s="4"/>
      <c r="D90" s="9"/>
      <c r="E90" s="4"/>
      <c r="F90" s="4"/>
      <c r="G90" s="4"/>
      <c r="H90" s="4">
        <f t="shared" si="9"/>
        <v>0</v>
      </c>
      <c r="I90" s="5">
        <f t="shared" si="10"/>
        <v>0</v>
      </c>
      <c r="J90" s="4"/>
      <c r="K90" s="4"/>
      <c r="L90" s="4">
        <f t="shared" si="11"/>
        <v>0</v>
      </c>
      <c r="M90" s="6">
        <f t="shared" si="12"/>
        <v>0</v>
      </c>
      <c r="N90" s="4"/>
      <c r="O90" s="4"/>
      <c r="P90" s="4">
        <f t="shared" si="13"/>
        <v>0</v>
      </c>
      <c r="Q90" s="6">
        <f t="shared" si="14"/>
        <v>0</v>
      </c>
      <c r="R90" s="11">
        <f t="shared" si="15"/>
        <v>300</v>
      </c>
      <c r="S90" s="6">
        <f t="shared" si="16"/>
        <v>100</v>
      </c>
      <c r="T90" s="4">
        <f t="shared" si="17"/>
        <v>1</v>
      </c>
    </row>
    <row r="91" spans="1:20">
      <c r="A91" s="4">
        <v>87</v>
      </c>
      <c r="B91" s="4"/>
      <c r="C91" s="4"/>
      <c r="D91" s="9"/>
      <c r="E91" s="4"/>
      <c r="F91" s="4"/>
      <c r="G91" s="4"/>
      <c r="H91" s="4">
        <f t="shared" si="9"/>
        <v>0</v>
      </c>
      <c r="I91" s="5">
        <f t="shared" si="10"/>
        <v>0</v>
      </c>
      <c r="J91" s="4"/>
      <c r="K91" s="4"/>
      <c r="L91" s="4">
        <f t="shared" si="11"/>
        <v>0</v>
      </c>
      <c r="M91" s="6">
        <f t="shared" si="12"/>
        <v>0</v>
      </c>
      <c r="N91" s="4"/>
      <c r="O91" s="4"/>
      <c r="P91" s="4">
        <f t="shared" si="13"/>
        <v>0</v>
      </c>
      <c r="Q91" s="6">
        <f t="shared" si="14"/>
        <v>0</v>
      </c>
      <c r="R91" s="11">
        <f t="shared" si="15"/>
        <v>300</v>
      </c>
      <c r="S91" s="6">
        <f t="shared" si="16"/>
        <v>100</v>
      </c>
      <c r="T91" s="4">
        <f t="shared" si="17"/>
        <v>1</v>
      </c>
    </row>
    <row r="92" spans="1:20">
      <c r="A92" s="4">
        <v>88</v>
      </c>
      <c r="B92" s="4"/>
      <c r="C92" s="4"/>
      <c r="D92" s="9"/>
      <c r="E92" s="4"/>
      <c r="F92" s="4"/>
      <c r="G92" s="4"/>
      <c r="H92" s="4">
        <f t="shared" si="9"/>
        <v>0</v>
      </c>
      <c r="I92" s="5">
        <f t="shared" si="10"/>
        <v>0</v>
      </c>
      <c r="J92" s="4"/>
      <c r="K92" s="4"/>
      <c r="L92" s="4">
        <f t="shared" si="11"/>
        <v>0</v>
      </c>
      <c r="M92" s="6">
        <f t="shared" si="12"/>
        <v>0</v>
      </c>
      <c r="N92" s="4"/>
      <c r="O92" s="4"/>
      <c r="P92" s="4">
        <f t="shared" si="13"/>
        <v>0</v>
      </c>
      <c r="Q92" s="6">
        <f t="shared" si="14"/>
        <v>0</v>
      </c>
      <c r="R92" s="11">
        <f t="shared" si="15"/>
        <v>300</v>
      </c>
      <c r="S92" s="6">
        <f t="shared" si="16"/>
        <v>100</v>
      </c>
      <c r="T92" s="4">
        <f t="shared" si="17"/>
        <v>1</v>
      </c>
    </row>
  </sheetData>
  <mergeCells count="16">
    <mergeCell ref="A1:T1"/>
    <mergeCell ref="F2:Q2"/>
    <mergeCell ref="F3:I3"/>
    <mergeCell ref="J3:M3"/>
    <mergeCell ref="N3:Q3"/>
    <mergeCell ref="R2:R4"/>
    <mergeCell ref="S2:S4"/>
    <mergeCell ref="T2:T4"/>
    <mergeCell ref="F4:G4"/>
    <mergeCell ref="J4:K4"/>
    <mergeCell ref="N4:O4"/>
    <mergeCell ref="A2:A4"/>
    <mergeCell ref="B2:B4"/>
    <mergeCell ref="C2:C4"/>
    <mergeCell ref="D2:D4"/>
    <mergeCell ref="E2:E4"/>
  </mergeCells>
  <conditionalFormatting sqref="S5:S91">
    <cfRule type="cellIs" dxfId="80" priority="1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N66"/>
  <sheetViews>
    <sheetView tabSelected="1" workbookViewId="0">
      <pane xSplit="1" ySplit="7" topLeftCell="B50" activePane="bottomRight" state="frozen"/>
      <selection activeCell="G77" sqref="G77"/>
      <selection pane="topRight" activeCell="G77" sqref="G77"/>
      <selection pane="bottomLeft" activeCell="G77" sqref="G77"/>
      <selection pane="bottomRight" activeCell="N8" sqref="N8:N66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4.140625" style="2" customWidth="1"/>
    <col min="12" max="12" width="9.85546875" style="31" bestFit="1" customWidth="1"/>
    <col min="13" max="16384" width="9.140625" style="2"/>
  </cols>
  <sheetData>
    <row r="1" spans="1:14" ht="16.5">
      <c r="A1" s="12" t="s">
        <v>940</v>
      </c>
      <c r="B1" s="13"/>
      <c r="C1" s="14"/>
      <c r="D1" s="13"/>
      <c r="E1" s="13"/>
      <c r="F1" s="13"/>
      <c r="G1" s="13"/>
      <c r="H1" s="13"/>
      <c r="I1" s="13"/>
      <c r="J1" s="13"/>
      <c r="K1" s="13"/>
      <c r="L1" s="30"/>
    </row>
    <row r="2" spans="1:14" s="1" customFormat="1" ht="15.75" customHeight="1">
      <c r="A2" s="12" t="s">
        <v>941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30"/>
    </row>
    <row r="3" spans="1:14" s="1" customFormat="1" ht="16.5">
      <c r="A3" s="15" t="s">
        <v>942</v>
      </c>
      <c r="B3" s="13"/>
      <c r="C3" s="14"/>
      <c r="D3" s="13"/>
      <c r="E3" s="13"/>
      <c r="F3" s="13"/>
      <c r="G3" s="13"/>
      <c r="H3" s="13"/>
      <c r="I3" s="13"/>
      <c r="J3" s="13"/>
      <c r="K3" s="13"/>
      <c r="L3" s="30"/>
    </row>
    <row r="4" spans="1:14" s="32" customFormat="1" ht="19.899999999999999" customHeight="1">
      <c r="A4" s="48" t="s">
        <v>1137</v>
      </c>
      <c r="B4" s="48"/>
      <c r="C4" s="48"/>
      <c r="D4" s="48"/>
      <c r="E4" s="48"/>
      <c r="F4" s="48"/>
      <c r="G4" s="48"/>
      <c r="H4" s="48"/>
      <c r="I4" s="48"/>
      <c r="J4" s="30"/>
      <c r="K4" s="33" t="s">
        <v>1134</v>
      </c>
      <c r="L4" s="30"/>
    </row>
    <row r="5" spans="1:14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16</v>
      </c>
      <c r="C8" s="21" t="s">
        <v>944</v>
      </c>
      <c r="D8" s="22" t="s">
        <v>17</v>
      </c>
      <c r="E8" s="16">
        <v>6</v>
      </c>
      <c r="F8" s="16">
        <v>5</v>
      </c>
      <c r="G8" s="16">
        <v>3</v>
      </c>
      <c r="H8" s="23">
        <f>100-E8*3+100-F8*3+100-G8*15</f>
        <v>222</v>
      </c>
      <c r="I8" s="24">
        <f>H8/3</f>
        <v>74</v>
      </c>
      <c r="J8" s="16">
        <f>RANK(H8,$H$8:$H$66)</f>
        <v>21</v>
      </c>
      <c r="K8" s="16" t="str">
        <f>IF(I8&lt;11.1,"TIDAK HADIR",IF(I8&lt;13.1,"TIDAK BACA",IF(I8&lt;$K$7,"TIDAK TUNTAS","TUNTAS")))</f>
        <v>TUNTAS</v>
      </c>
      <c r="L8" s="16" t="str">
        <f>IF(G8&gt;5,"TM"," ")</f>
        <v xml:space="preserve"> </v>
      </c>
      <c r="N8" s="2">
        <f>I8/10</f>
        <v>7.4</v>
      </c>
    </row>
    <row r="9" spans="1:14">
      <c r="A9" s="16">
        <v>2</v>
      </c>
      <c r="B9" s="20" t="s">
        <v>18</v>
      </c>
      <c r="C9" s="25" t="s">
        <v>945</v>
      </c>
      <c r="D9" s="22" t="s">
        <v>29</v>
      </c>
      <c r="E9" s="16">
        <v>32</v>
      </c>
      <c r="F9" s="16">
        <v>32</v>
      </c>
      <c r="G9" s="16">
        <v>5</v>
      </c>
      <c r="H9" s="23">
        <f>100-E9*3+100-F9*3+100-G9*15</f>
        <v>33</v>
      </c>
      <c r="I9" s="24">
        <f>H9/3</f>
        <v>11</v>
      </c>
      <c r="J9" s="16">
        <f>RANK(H9,$H$8:$H$66)</f>
        <v>51</v>
      </c>
      <c r="K9" s="16" t="str">
        <f>IF(I9&lt;11.1,"TIDAK HADIR",IF(I9&lt;13.1,"TIDAK BACA",IF(I9&lt;$K$7,"TIDAK TUNTAS","TUNTAS")))</f>
        <v>TIDAK HADIR</v>
      </c>
      <c r="L9" s="16" t="s">
        <v>1144</v>
      </c>
      <c r="N9" s="2">
        <f t="shared" ref="N9:N66" si="0">I9/10</f>
        <v>1.1000000000000001</v>
      </c>
    </row>
    <row r="10" spans="1:14">
      <c r="A10" s="16">
        <v>3</v>
      </c>
      <c r="B10" s="20" t="s">
        <v>20</v>
      </c>
      <c r="C10" s="25" t="s">
        <v>388</v>
      </c>
      <c r="D10" s="22" t="s">
        <v>29</v>
      </c>
      <c r="E10" s="16">
        <v>8</v>
      </c>
      <c r="F10" s="16">
        <v>7</v>
      </c>
      <c r="G10" s="16">
        <v>2</v>
      </c>
      <c r="H10" s="23">
        <f>100-E10*3+100-F10*3+100-G10*15</f>
        <v>225</v>
      </c>
      <c r="I10" s="24">
        <f>H10/3</f>
        <v>75</v>
      </c>
      <c r="J10" s="16">
        <f>RANK(H10,$H$8:$H$66)</f>
        <v>18</v>
      </c>
      <c r="K10" s="16" t="str">
        <f>IF(I10&lt;11.1,"TIDAK HADIR",IF(I10&lt;13.1,"TIDAK BACA",IF(I10&lt;$K$7,"TIDAK TUNTAS","TUNTAS")))</f>
        <v>TUNTAS</v>
      </c>
      <c r="L10" s="16" t="str">
        <f>IF(G10&gt;5,"TM"," ")</f>
        <v xml:space="preserve"> </v>
      </c>
      <c r="N10" s="2">
        <f t="shared" si="0"/>
        <v>7.5</v>
      </c>
    </row>
    <row r="11" spans="1:14">
      <c r="A11" s="16">
        <v>4</v>
      </c>
      <c r="B11" s="20" t="s">
        <v>22</v>
      </c>
      <c r="C11" s="21" t="s">
        <v>946</v>
      </c>
      <c r="D11" s="22" t="s">
        <v>394</v>
      </c>
      <c r="E11" s="16">
        <v>32</v>
      </c>
      <c r="F11" s="16">
        <v>32</v>
      </c>
      <c r="G11" s="16">
        <v>5</v>
      </c>
      <c r="H11" s="23">
        <f>100-E11*3+100-F11*3+100-G11*15</f>
        <v>33</v>
      </c>
      <c r="I11" s="24">
        <f>H11/3</f>
        <v>11</v>
      </c>
      <c r="J11" s="16">
        <f>RANK(H11,$H$8:$H$66)</f>
        <v>51</v>
      </c>
      <c r="K11" s="16" t="str">
        <f>IF(I11&lt;11.1,"TIDAK HADIR",IF(I11&lt;13.1,"TIDAK BACA",IF(I11&lt;$K$7,"TIDAK TUNTAS","TUNTAS")))</f>
        <v>TIDAK HADIR</v>
      </c>
      <c r="L11" s="16" t="str">
        <f>IF(G11&gt;5,"TM"," ")</f>
        <v xml:space="preserve"> </v>
      </c>
      <c r="N11" s="2">
        <f t="shared" si="0"/>
        <v>1.1000000000000001</v>
      </c>
    </row>
    <row r="12" spans="1:14">
      <c r="A12" s="16">
        <v>5</v>
      </c>
      <c r="B12" s="20" t="s">
        <v>23</v>
      </c>
      <c r="C12" s="25" t="s">
        <v>947</v>
      </c>
      <c r="D12" s="22" t="s">
        <v>36</v>
      </c>
      <c r="E12" s="16">
        <v>17</v>
      </c>
      <c r="F12" s="16">
        <v>15</v>
      </c>
      <c r="G12" s="16">
        <v>6</v>
      </c>
      <c r="H12" s="23">
        <f>100-E12*3+100-F12*3+100-G12*15</f>
        <v>114</v>
      </c>
      <c r="I12" s="24">
        <f>H12/3</f>
        <v>38</v>
      </c>
      <c r="J12" s="16">
        <f>RANK(H12,$H$8:$H$66)</f>
        <v>45</v>
      </c>
      <c r="K12" s="16" t="str">
        <f>IF(I12&lt;11.1,"TIDAK HADIR",IF(I12&lt;13.1,"TIDAK BACA",IF(I12&lt;$K$7,"TIDAK TUNTAS","TUNTAS")))</f>
        <v>TIDAK TUNTAS</v>
      </c>
      <c r="L12" s="16" t="str">
        <f>IF(G12&gt;5,"TM"," ")</f>
        <v>TM</v>
      </c>
      <c r="N12" s="2">
        <f t="shared" si="0"/>
        <v>3.8</v>
      </c>
    </row>
    <row r="13" spans="1:14">
      <c r="A13" s="16">
        <v>6</v>
      </c>
      <c r="B13" s="20" t="s">
        <v>26</v>
      </c>
      <c r="C13" s="21" t="s">
        <v>948</v>
      </c>
      <c r="D13" s="22" t="s">
        <v>41</v>
      </c>
      <c r="E13" s="16">
        <v>7</v>
      </c>
      <c r="F13" s="16">
        <v>7</v>
      </c>
      <c r="G13" s="16">
        <v>3</v>
      </c>
      <c r="H13" s="23">
        <f>100-E13*3+100-F13*3+100-G13*15</f>
        <v>213</v>
      </c>
      <c r="I13" s="24">
        <f>H13/3</f>
        <v>71</v>
      </c>
      <c r="J13" s="16">
        <f>RANK(H13,$H$8:$H$66)</f>
        <v>24</v>
      </c>
      <c r="K13" s="16" t="str">
        <f>IF(I13&lt;11.1,"TIDAK HADIR",IF(I13&lt;13.1,"TIDAK BACA",IF(I13&lt;$K$7,"TIDAK TUNTAS","TUNTAS")))</f>
        <v>TUNTAS</v>
      </c>
      <c r="L13" s="16" t="str">
        <f>IF(G13&gt;5,"TM"," ")</f>
        <v xml:space="preserve"> </v>
      </c>
      <c r="N13" s="2">
        <f t="shared" si="0"/>
        <v>7.1</v>
      </c>
    </row>
    <row r="14" spans="1:14">
      <c r="A14" s="16">
        <v>7</v>
      </c>
      <c r="B14" s="20" t="s">
        <v>28</v>
      </c>
      <c r="C14" s="25" t="s">
        <v>949</v>
      </c>
      <c r="D14" s="22" t="s">
        <v>44</v>
      </c>
      <c r="E14" s="16">
        <v>11</v>
      </c>
      <c r="F14" s="16">
        <v>19</v>
      </c>
      <c r="G14" s="16">
        <v>6</v>
      </c>
      <c r="H14" s="23">
        <f>100-E14*3+100-F14*3+100-G14*15</f>
        <v>120</v>
      </c>
      <c r="I14" s="24">
        <f>H14/3</f>
        <v>40</v>
      </c>
      <c r="J14" s="16">
        <f>RANK(H14,$H$8:$H$66)</f>
        <v>44</v>
      </c>
      <c r="K14" s="16" t="str">
        <f>IF(I14&lt;11.1,"TIDAK HADIR",IF(I14&lt;13.1,"TIDAK BACA",IF(I14&lt;$K$7,"TIDAK TUNTAS","TUNTAS")))</f>
        <v>TIDAK TUNTAS</v>
      </c>
      <c r="L14" s="16" t="str">
        <f>IF(G14&gt;5,"TM"," ")</f>
        <v>TM</v>
      </c>
      <c r="N14" s="2">
        <f t="shared" si="0"/>
        <v>4</v>
      </c>
    </row>
    <row r="15" spans="1:14">
      <c r="A15" s="16">
        <v>8</v>
      </c>
      <c r="B15" s="20" t="s">
        <v>30</v>
      </c>
      <c r="C15" s="21" t="s">
        <v>950</v>
      </c>
      <c r="D15" s="22" t="s">
        <v>49</v>
      </c>
      <c r="E15" s="16">
        <v>11</v>
      </c>
      <c r="F15" s="16">
        <v>8</v>
      </c>
      <c r="G15" s="16">
        <v>4</v>
      </c>
      <c r="H15" s="23">
        <f>100-E15*3+100-F15*3+100-G15*15</f>
        <v>183</v>
      </c>
      <c r="I15" s="24">
        <f>H15/3</f>
        <v>61</v>
      </c>
      <c r="J15" s="16">
        <f>RANK(H15,$H$8:$H$66)</f>
        <v>30</v>
      </c>
      <c r="K15" s="16" t="str">
        <f>IF(I15&lt;11.1,"TIDAK HADIR",IF(I15&lt;13.1,"TIDAK BACA",IF(I15&lt;$K$7,"TIDAK TUNTAS","TUNTAS")))</f>
        <v>TUNTAS</v>
      </c>
      <c r="L15" s="16" t="str">
        <f>IF(G15&gt;5,"TM"," ")</f>
        <v xml:space="preserve"> </v>
      </c>
      <c r="N15" s="2">
        <f t="shared" si="0"/>
        <v>6.1</v>
      </c>
    </row>
    <row r="16" spans="1:14">
      <c r="A16" s="16">
        <v>9</v>
      </c>
      <c r="B16" s="20" t="s">
        <v>32</v>
      </c>
      <c r="C16" s="21" t="s">
        <v>951</v>
      </c>
      <c r="D16" s="22" t="s">
        <v>55</v>
      </c>
      <c r="E16" s="16">
        <v>8</v>
      </c>
      <c r="F16" s="16">
        <v>7</v>
      </c>
      <c r="G16" s="16">
        <v>4</v>
      </c>
      <c r="H16" s="23">
        <f>100-E16*3+100-F16*3+100-G16*15</f>
        <v>195</v>
      </c>
      <c r="I16" s="24">
        <f>H16/3</f>
        <v>65</v>
      </c>
      <c r="J16" s="16">
        <f>RANK(H16,$H$8:$H$66)</f>
        <v>27</v>
      </c>
      <c r="K16" s="16" t="str">
        <f>IF(I16&lt;11.1,"TIDAK HADIR",IF(I16&lt;13.1,"TIDAK BACA",IF(I16&lt;$K$7,"TIDAK TUNTAS","TUNTAS")))</f>
        <v>TUNTAS</v>
      </c>
      <c r="L16" s="16" t="str">
        <f>IF(G16&gt;5,"TM"," ")</f>
        <v xml:space="preserve"> </v>
      </c>
      <c r="N16" s="2">
        <f t="shared" si="0"/>
        <v>6.5</v>
      </c>
    </row>
    <row r="17" spans="1:14">
      <c r="A17" s="16">
        <v>10</v>
      </c>
      <c r="B17" s="20" t="s">
        <v>34</v>
      </c>
      <c r="C17" s="21" t="s">
        <v>952</v>
      </c>
      <c r="D17" s="22" t="s">
        <v>241</v>
      </c>
      <c r="E17" s="16">
        <v>10</v>
      </c>
      <c r="F17" s="16">
        <v>13</v>
      </c>
      <c r="G17" s="16">
        <v>6</v>
      </c>
      <c r="H17" s="23">
        <f>100-E17*3+100-F17*3+100-G17*15</f>
        <v>141</v>
      </c>
      <c r="I17" s="24">
        <f>H17/3</f>
        <v>47</v>
      </c>
      <c r="J17" s="16">
        <f>RANK(H17,$H$8:$H$66)</f>
        <v>41</v>
      </c>
      <c r="K17" s="16" t="str">
        <f>IF(I17&lt;11.1,"TIDAK HADIR",IF(I17&lt;13.1,"TIDAK BACA",IF(I17&lt;$K$7,"TIDAK TUNTAS","TUNTAS")))</f>
        <v>TIDAK TUNTAS</v>
      </c>
      <c r="L17" s="16" t="str">
        <f>IF(G17&gt;5,"TM"," ")</f>
        <v>TM</v>
      </c>
      <c r="N17" s="2">
        <f t="shared" si="0"/>
        <v>4.7</v>
      </c>
    </row>
    <row r="18" spans="1:14">
      <c r="A18" s="16">
        <v>11</v>
      </c>
      <c r="B18" s="20" t="s">
        <v>37</v>
      </c>
      <c r="C18" s="21" t="s">
        <v>953</v>
      </c>
      <c r="D18" s="22" t="s">
        <v>57</v>
      </c>
      <c r="E18" s="16">
        <v>8</v>
      </c>
      <c r="F18" s="16">
        <v>7</v>
      </c>
      <c r="G18" s="16">
        <v>2</v>
      </c>
      <c r="H18" s="23">
        <f>100-E18*3+100-F18*3+100-G18*15</f>
        <v>225</v>
      </c>
      <c r="I18" s="24">
        <f>H18/3</f>
        <v>75</v>
      </c>
      <c r="J18" s="16">
        <f>RANK(H18,$H$8:$H$66)</f>
        <v>18</v>
      </c>
      <c r="K18" s="16" t="str">
        <f>IF(I18&lt;11.1,"TIDAK HADIR",IF(I18&lt;13.1,"TIDAK BACA",IF(I18&lt;$K$7,"TIDAK TUNTAS","TUNTAS")))</f>
        <v>TUNTAS</v>
      </c>
      <c r="L18" s="16" t="str">
        <f>IF(G18&gt;5,"TM"," ")</f>
        <v xml:space="preserve"> </v>
      </c>
      <c r="N18" s="2">
        <f t="shared" si="0"/>
        <v>7.5</v>
      </c>
    </row>
    <row r="19" spans="1:14">
      <c r="A19" s="16">
        <v>12</v>
      </c>
      <c r="B19" s="20" t="s">
        <v>39</v>
      </c>
      <c r="C19" s="21" t="s">
        <v>954</v>
      </c>
      <c r="D19" s="22" t="s">
        <v>404</v>
      </c>
      <c r="E19" s="16">
        <v>32</v>
      </c>
      <c r="F19" s="16">
        <v>32</v>
      </c>
      <c r="G19" s="16">
        <v>5</v>
      </c>
      <c r="H19" s="23">
        <f>100-E19*3+100-F19*3+100-G19*15</f>
        <v>33</v>
      </c>
      <c r="I19" s="24">
        <f>H19/3</f>
        <v>11</v>
      </c>
      <c r="J19" s="16">
        <f>RANK(H19,$H$8:$H$66)</f>
        <v>51</v>
      </c>
      <c r="K19" s="16" t="str">
        <f>IF(I19&lt;11.1,"TIDAK HADIR",IF(I19&lt;13.1,"TIDAK BACA",IF(I19&lt;$K$7,"TIDAK TUNTAS","TUNTAS")))</f>
        <v>TIDAK HADIR</v>
      </c>
      <c r="L19" s="16" t="str">
        <f>IF(G19&gt;5,"TM"," ")</f>
        <v xml:space="preserve"> </v>
      </c>
      <c r="N19" s="2">
        <f t="shared" si="0"/>
        <v>1.1000000000000001</v>
      </c>
    </row>
    <row r="20" spans="1:14">
      <c r="A20" s="16">
        <v>13</v>
      </c>
      <c r="B20" s="20" t="s">
        <v>42</v>
      </c>
      <c r="C20" s="21" t="s">
        <v>61</v>
      </c>
      <c r="D20" s="22" t="s">
        <v>59</v>
      </c>
      <c r="E20" s="16">
        <v>32</v>
      </c>
      <c r="F20" s="16">
        <v>32</v>
      </c>
      <c r="G20" s="16">
        <v>5</v>
      </c>
      <c r="H20" s="23">
        <f>100-E20*3+100-F20*3+100-G20*15</f>
        <v>33</v>
      </c>
      <c r="I20" s="24">
        <f>H20/3</f>
        <v>11</v>
      </c>
      <c r="J20" s="16">
        <f>RANK(H20,$H$8:$H$66)</f>
        <v>51</v>
      </c>
      <c r="K20" s="16" t="str">
        <f>IF(I20&lt;11.1,"TIDAK HADIR",IF(I20&lt;13.1,"TIDAK BACA",IF(I20&lt;$K$7,"TIDAK TUNTAS","TUNTAS")))</f>
        <v>TIDAK HADIR</v>
      </c>
      <c r="L20" s="16" t="s">
        <v>1144</v>
      </c>
      <c r="N20" s="2">
        <f t="shared" si="0"/>
        <v>1.1000000000000001</v>
      </c>
    </row>
    <row r="21" spans="1:14">
      <c r="A21" s="16">
        <v>14</v>
      </c>
      <c r="B21" s="20" t="s">
        <v>45</v>
      </c>
      <c r="C21" s="21" t="s">
        <v>955</v>
      </c>
      <c r="D21" s="22" t="s">
        <v>66</v>
      </c>
      <c r="E21" s="16">
        <v>4</v>
      </c>
      <c r="F21" s="16">
        <v>6</v>
      </c>
      <c r="G21" s="16">
        <v>3</v>
      </c>
      <c r="H21" s="23">
        <f>100-E21*3+100-F21*3+100-G21*15</f>
        <v>225</v>
      </c>
      <c r="I21" s="24">
        <f>H21/3</f>
        <v>75</v>
      </c>
      <c r="J21" s="16">
        <f>RANK(H21,$H$8:$H$66)</f>
        <v>18</v>
      </c>
      <c r="K21" s="16" t="str">
        <f>IF(I21&lt;11.1,"TIDAK HADIR",IF(I21&lt;13.1,"TIDAK BACA",IF(I21&lt;$K$7,"TIDAK TUNTAS","TUNTAS")))</f>
        <v>TUNTAS</v>
      </c>
      <c r="L21" s="16" t="str">
        <f>IF(G21&gt;5,"TM"," ")</f>
        <v xml:space="preserve"> </v>
      </c>
      <c r="N21" s="2">
        <f t="shared" si="0"/>
        <v>7.5</v>
      </c>
    </row>
    <row r="22" spans="1:14">
      <c r="A22" s="16">
        <v>15</v>
      </c>
      <c r="B22" s="20" t="s">
        <v>48</v>
      </c>
      <c r="C22" s="21" t="s">
        <v>956</v>
      </c>
      <c r="D22" s="22" t="s">
        <v>69</v>
      </c>
      <c r="E22" s="16">
        <v>10</v>
      </c>
      <c r="F22" s="16">
        <v>4</v>
      </c>
      <c r="G22" s="16">
        <v>6</v>
      </c>
      <c r="H22" s="23">
        <f>100-E22*3+100-F22*3+100-G22*15</f>
        <v>168</v>
      </c>
      <c r="I22" s="24">
        <f>H22/3</f>
        <v>56</v>
      </c>
      <c r="J22" s="16">
        <f>RANK(H22,$H$8:$H$66)</f>
        <v>35</v>
      </c>
      <c r="K22" s="16" t="str">
        <f>IF(I22&lt;11.1,"TIDAK HADIR",IF(I22&lt;13.1,"TIDAK BACA",IF(I22&lt;$K$7,"TIDAK TUNTAS","TUNTAS")))</f>
        <v>TIDAK TUNTAS</v>
      </c>
      <c r="L22" s="16" t="str">
        <f>IF(G22&gt;5,"TM"," ")</f>
        <v>TM</v>
      </c>
      <c r="N22" s="2">
        <f t="shared" si="0"/>
        <v>5.6</v>
      </c>
    </row>
    <row r="23" spans="1:14">
      <c r="A23" s="16">
        <v>16</v>
      </c>
      <c r="B23" s="20" t="s">
        <v>50</v>
      </c>
      <c r="C23" s="21" t="s">
        <v>957</v>
      </c>
      <c r="D23" s="22" t="s">
        <v>71</v>
      </c>
      <c r="E23" s="16">
        <v>5</v>
      </c>
      <c r="F23" s="16">
        <v>2</v>
      </c>
      <c r="G23" s="16">
        <v>2</v>
      </c>
      <c r="H23" s="23">
        <f>100-E23*3+100-F23*3+100-G23*15</f>
        <v>249</v>
      </c>
      <c r="I23" s="24">
        <f>H23/3</f>
        <v>83</v>
      </c>
      <c r="J23" s="16">
        <f>RANK(H23,$H$8:$H$66)</f>
        <v>13</v>
      </c>
      <c r="K23" s="16" t="str">
        <f>IF(I23&lt;11.1,"TIDAK HADIR",IF(I23&lt;13.1,"TIDAK BACA",IF(I23&lt;$K$7,"TIDAK TUNTAS","TUNTAS")))</f>
        <v>TUNTAS</v>
      </c>
      <c r="L23" s="16" t="str">
        <f>IF(G23&gt;5,"TM"," ")</f>
        <v xml:space="preserve"> </v>
      </c>
      <c r="N23" s="2">
        <f t="shared" si="0"/>
        <v>8.3000000000000007</v>
      </c>
    </row>
    <row r="24" spans="1:14">
      <c r="A24" s="16">
        <v>17</v>
      </c>
      <c r="B24" s="20" t="s">
        <v>53</v>
      </c>
      <c r="C24" s="26" t="s">
        <v>958</v>
      </c>
      <c r="D24" s="27" t="s">
        <v>80</v>
      </c>
      <c r="E24" s="16">
        <v>31</v>
      </c>
      <c r="F24" s="16">
        <v>31</v>
      </c>
      <c r="G24" s="16">
        <v>5</v>
      </c>
      <c r="H24" s="23">
        <f>100-E24*3+100-F24*3+100-G24*15</f>
        <v>39</v>
      </c>
      <c r="I24" s="24">
        <f>H24/3</f>
        <v>13</v>
      </c>
      <c r="J24" s="16">
        <f>RANK(H24,$H$8:$H$66)</f>
        <v>49</v>
      </c>
      <c r="K24" s="16" t="str">
        <f>IF(I24&lt;11.1,"TIDAK HADIR",IF(I24&lt;13.1,"TIDAK BACA",IF(I24&lt;$K$7,"TIDAK TUNTAS","TUNTAS")))</f>
        <v>TIDAK BACA</v>
      </c>
      <c r="L24" s="16" t="str">
        <f>IF(G24&gt;5,"TM"," ")</f>
        <v xml:space="preserve"> </v>
      </c>
      <c r="N24" s="2">
        <f t="shared" si="0"/>
        <v>1.3</v>
      </c>
    </row>
    <row r="25" spans="1:14">
      <c r="A25" s="28">
        <v>18</v>
      </c>
      <c r="B25" s="20" t="s">
        <v>56</v>
      </c>
      <c r="C25" s="21" t="s">
        <v>959</v>
      </c>
      <c r="D25" s="22" t="s">
        <v>84</v>
      </c>
      <c r="E25" s="16">
        <v>1</v>
      </c>
      <c r="F25" s="16">
        <v>1</v>
      </c>
      <c r="G25" s="16">
        <v>2</v>
      </c>
      <c r="H25" s="23">
        <f>100-E25*3+100-F25*3+100-G25*15</f>
        <v>264</v>
      </c>
      <c r="I25" s="24">
        <f>H25/3</f>
        <v>88</v>
      </c>
      <c r="J25" s="16">
        <f>RANK(H25,$H$8:$H$66)</f>
        <v>6</v>
      </c>
      <c r="K25" s="16" t="str">
        <f>IF(I25&lt;11.1,"TIDAK HADIR",IF(I25&lt;13.1,"TIDAK BACA",IF(I25&lt;$K$7,"TIDAK TUNTAS","TUNTAS")))</f>
        <v>TUNTAS</v>
      </c>
      <c r="L25" s="16" t="str">
        <f>IF(G25&gt;5,"TM"," ")</f>
        <v xml:space="preserve"> </v>
      </c>
      <c r="N25" s="2">
        <f t="shared" si="0"/>
        <v>8.8000000000000007</v>
      </c>
    </row>
    <row r="26" spans="1:14">
      <c r="A26" s="16">
        <v>19</v>
      </c>
      <c r="B26" s="20" t="s">
        <v>58</v>
      </c>
      <c r="C26" s="21" t="s">
        <v>960</v>
      </c>
      <c r="D26" s="22" t="s">
        <v>84</v>
      </c>
      <c r="E26" s="16">
        <v>32</v>
      </c>
      <c r="F26" s="16">
        <v>32</v>
      </c>
      <c r="G26" s="16">
        <v>5</v>
      </c>
      <c r="H26" s="23">
        <f>100-E26*3+100-F26*3+100-G26*15</f>
        <v>33</v>
      </c>
      <c r="I26" s="24">
        <f>H26/3</f>
        <v>11</v>
      </c>
      <c r="J26" s="16">
        <f>RANK(H26,$H$8:$H$66)</f>
        <v>51</v>
      </c>
      <c r="K26" s="16" t="str">
        <f>IF(I26&lt;11.1,"TIDAK HADIR",IF(I26&lt;13.1,"TIDAK BACA",IF(I26&lt;$K$7,"TIDAK TUNTAS","TUNTAS")))</f>
        <v>TIDAK HADIR</v>
      </c>
      <c r="L26" s="16" t="s">
        <v>1143</v>
      </c>
      <c r="N26" s="2">
        <f t="shared" si="0"/>
        <v>1.1000000000000001</v>
      </c>
    </row>
    <row r="27" spans="1:14">
      <c r="A27" s="16">
        <v>20</v>
      </c>
      <c r="B27" s="20" t="s">
        <v>60</v>
      </c>
      <c r="C27" s="21" t="s">
        <v>961</v>
      </c>
      <c r="D27" s="22" t="s">
        <v>93</v>
      </c>
      <c r="E27" s="16">
        <v>4</v>
      </c>
      <c r="F27" s="16">
        <v>5</v>
      </c>
      <c r="G27" s="16">
        <v>3</v>
      </c>
      <c r="H27" s="23">
        <f>100-E27*3+100-F27*3+100-G27*15</f>
        <v>228</v>
      </c>
      <c r="I27" s="24">
        <f>H27/3</f>
        <v>76</v>
      </c>
      <c r="J27" s="16">
        <f>RANK(H27,$H$8:$H$66)</f>
        <v>17</v>
      </c>
      <c r="K27" s="16" t="str">
        <f>IF(I27&lt;11.1,"TIDAK HADIR",IF(I27&lt;13.1,"TIDAK BACA",IF(I27&lt;$K$7,"TIDAK TUNTAS","TUNTAS")))</f>
        <v>TUNTAS</v>
      </c>
      <c r="L27" s="16" t="str">
        <f>IF(G27&gt;5,"TM"," ")</f>
        <v xml:space="preserve"> </v>
      </c>
      <c r="N27" s="2">
        <f t="shared" si="0"/>
        <v>7.6</v>
      </c>
    </row>
    <row r="28" spans="1:14">
      <c r="A28" s="16">
        <v>21</v>
      </c>
      <c r="B28" s="20" t="s">
        <v>62</v>
      </c>
      <c r="C28" s="21" t="s">
        <v>962</v>
      </c>
      <c r="D28" s="22" t="s">
        <v>98</v>
      </c>
      <c r="E28" s="16">
        <v>18</v>
      </c>
      <c r="F28" s="16">
        <v>13</v>
      </c>
      <c r="G28" s="16">
        <v>5</v>
      </c>
      <c r="H28" s="23">
        <f>100-E28*3+100-F28*3+100-G28*15</f>
        <v>132</v>
      </c>
      <c r="I28" s="24">
        <f>H28/3</f>
        <v>44</v>
      </c>
      <c r="J28" s="16">
        <f>RANK(H28,$H$8:$H$66)</f>
        <v>42</v>
      </c>
      <c r="K28" s="16" t="str">
        <f>IF(I28&lt;11.1,"TIDAK HADIR",IF(I28&lt;13.1,"TIDAK BACA",IF(I28&lt;$K$7,"TIDAK TUNTAS","TUNTAS")))</f>
        <v>TIDAK TUNTAS</v>
      </c>
      <c r="L28" s="16" t="str">
        <f>IF(G28&gt;5,"TM"," ")</f>
        <v xml:space="preserve"> </v>
      </c>
      <c r="N28" s="2">
        <f t="shared" si="0"/>
        <v>4.4000000000000004</v>
      </c>
    </row>
    <row r="29" spans="1:14">
      <c r="A29" s="16">
        <v>22</v>
      </c>
      <c r="B29" s="20" t="s">
        <v>64</v>
      </c>
      <c r="C29" s="26" t="s">
        <v>963</v>
      </c>
      <c r="D29" s="27" t="s">
        <v>537</v>
      </c>
      <c r="E29" s="16">
        <v>5</v>
      </c>
      <c r="F29" s="16">
        <v>2</v>
      </c>
      <c r="G29" s="16">
        <v>1</v>
      </c>
      <c r="H29" s="23">
        <f>100-E29*3+100-F29*3+100-G29*15</f>
        <v>264</v>
      </c>
      <c r="I29" s="24">
        <f>H29/3</f>
        <v>88</v>
      </c>
      <c r="J29" s="16">
        <f>RANK(H29,$H$8:$H$66)</f>
        <v>6</v>
      </c>
      <c r="K29" s="16" t="str">
        <f>IF(I29&lt;11.1,"TIDAK HADIR",IF(I29&lt;13.1,"TIDAK BACA",IF(I29&lt;$K$7,"TIDAK TUNTAS","TUNTAS")))</f>
        <v>TUNTAS</v>
      </c>
      <c r="L29" s="16" t="str">
        <f>IF(G29&gt;5,"TM"," ")</f>
        <v xml:space="preserve"> </v>
      </c>
      <c r="N29" s="2">
        <f t="shared" si="0"/>
        <v>8.8000000000000007</v>
      </c>
    </row>
    <row r="30" spans="1:14">
      <c r="A30" s="16">
        <v>23</v>
      </c>
      <c r="B30" s="20" t="s">
        <v>67</v>
      </c>
      <c r="C30" s="21" t="s">
        <v>964</v>
      </c>
      <c r="D30" s="22" t="s">
        <v>104</v>
      </c>
      <c r="E30" s="16">
        <v>3</v>
      </c>
      <c r="F30" s="16">
        <v>0</v>
      </c>
      <c r="G30" s="16">
        <v>0</v>
      </c>
      <c r="H30" s="23">
        <f>100-E30*3+100-F30*3+100-G30*15</f>
        <v>291</v>
      </c>
      <c r="I30" s="24">
        <f>H30/3</f>
        <v>97</v>
      </c>
      <c r="J30" s="16">
        <f>RANK(H30,$H$8:$H$66)</f>
        <v>2</v>
      </c>
      <c r="K30" s="16" t="str">
        <f>IF(I30&lt;11.1,"TIDAK HADIR",IF(I30&lt;13.1,"TIDAK BACA",IF(I30&lt;$K$7,"TIDAK TUNTAS","TUNTAS")))</f>
        <v>TUNTAS</v>
      </c>
      <c r="L30" s="16" t="str">
        <f>IF(G30&gt;5,"TM"," ")</f>
        <v xml:space="preserve"> </v>
      </c>
      <c r="N30" s="2">
        <f t="shared" si="0"/>
        <v>9.6999999999999993</v>
      </c>
    </row>
    <row r="31" spans="1:14">
      <c r="A31" s="16">
        <v>24</v>
      </c>
      <c r="B31" s="20" t="s">
        <v>70</v>
      </c>
      <c r="C31" s="25" t="s">
        <v>965</v>
      </c>
      <c r="D31" s="22" t="s">
        <v>111</v>
      </c>
      <c r="E31" s="16">
        <v>4</v>
      </c>
      <c r="F31" s="16">
        <v>2</v>
      </c>
      <c r="G31" s="16">
        <v>2</v>
      </c>
      <c r="H31" s="23">
        <f>100-E31*3+100-F31*3+100-G31*15</f>
        <v>252</v>
      </c>
      <c r="I31" s="24">
        <f>H31/3</f>
        <v>84</v>
      </c>
      <c r="J31" s="16">
        <f>RANK(H31,$H$8:$H$66)</f>
        <v>11</v>
      </c>
      <c r="K31" s="16" t="str">
        <f>IF(I31&lt;11.1,"TIDAK HADIR",IF(I31&lt;13.1,"TIDAK BACA",IF(I31&lt;$K$7,"TIDAK TUNTAS","TUNTAS")))</f>
        <v>TUNTAS</v>
      </c>
      <c r="L31" s="16" t="str">
        <f>IF(G31&gt;5,"TM"," ")</f>
        <v xml:space="preserve"> </v>
      </c>
      <c r="N31" s="2">
        <f t="shared" si="0"/>
        <v>8.4</v>
      </c>
    </row>
    <row r="32" spans="1:14">
      <c r="A32" s="16">
        <v>25</v>
      </c>
      <c r="B32" s="20" t="s">
        <v>72</v>
      </c>
      <c r="C32" s="21" t="s">
        <v>966</v>
      </c>
      <c r="D32" s="22" t="s">
        <v>111</v>
      </c>
      <c r="E32" s="16">
        <v>3</v>
      </c>
      <c r="F32" s="16">
        <v>10</v>
      </c>
      <c r="G32" s="16">
        <v>3</v>
      </c>
      <c r="H32" s="23">
        <f>100-E32*3+100-F32*3+100-G32*15</f>
        <v>216</v>
      </c>
      <c r="I32" s="24">
        <f>H32/3</f>
        <v>72</v>
      </c>
      <c r="J32" s="16">
        <f>RANK(H32,$H$8:$H$66)</f>
        <v>22</v>
      </c>
      <c r="K32" s="16" t="str">
        <f>IF(I32&lt;11.1,"TIDAK HADIR",IF(I32&lt;13.1,"TIDAK BACA",IF(I32&lt;$K$7,"TIDAK TUNTAS","TUNTAS")))</f>
        <v>TUNTAS</v>
      </c>
      <c r="L32" s="16" t="str">
        <f>IF(G32&gt;5,"TM"," ")</f>
        <v xml:space="preserve"> </v>
      </c>
      <c r="N32" s="2">
        <f t="shared" si="0"/>
        <v>7.2</v>
      </c>
    </row>
    <row r="33" spans="1:14">
      <c r="A33" s="16">
        <v>26</v>
      </c>
      <c r="B33" s="20" t="s">
        <v>75</v>
      </c>
      <c r="C33" s="21" t="s">
        <v>967</v>
      </c>
      <c r="D33" s="22" t="s">
        <v>115</v>
      </c>
      <c r="E33" s="16">
        <v>32</v>
      </c>
      <c r="F33" s="16">
        <v>32</v>
      </c>
      <c r="G33" s="16">
        <v>5</v>
      </c>
      <c r="H33" s="23">
        <f>100-E33*3+100-F33*3+100-G33*15</f>
        <v>33</v>
      </c>
      <c r="I33" s="24">
        <f>H33/3</f>
        <v>11</v>
      </c>
      <c r="J33" s="16">
        <f>RANK(H33,$H$8:$H$66)</f>
        <v>51</v>
      </c>
      <c r="K33" s="16" t="str">
        <f>IF(I33&lt;11.1,"TIDAK HADIR",IF(I33&lt;13.1,"TIDAK BACA",IF(I33&lt;$K$7,"TIDAK TUNTAS","TUNTAS")))</f>
        <v>TIDAK HADIR</v>
      </c>
      <c r="L33" s="16" t="s">
        <v>1143</v>
      </c>
      <c r="N33" s="2">
        <f t="shared" si="0"/>
        <v>1.1000000000000001</v>
      </c>
    </row>
    <row r="34" spans="1:14">
      <c r="A34" s="16">
        <v>27</v>
      </c>
      <c r="B34" s="20" t="s">
        <v>78</v>
      </c>
      <c r="C34" s="21" t="s">
        <v>968</v>
      </c>
      <c r="D34" s="22" t="s">
        <v>429</v>
      </c>
      <c r="E34" s="16">
        <v>5</v>
      </c>
      <c r="F34" s="16">
        <v>14</v>
      </c>
      <c r="G34" s="16">
        <v>4</v>
      </c>
      <c r="H34" s="23">
        <f>100-E34*3+100-F34*3+100-G34*15</f>
        <v>183</v>
      </c>
      <c r="I34" s="24">
        <f>H34/3</f>
        <v>61</v>
      </c>
      <c r="J34" s="16">
        <f>RANK(H34,$H$8:$H$66)</f>
        <v>30</v>
      </c>
      <c r="K34" s="16" t="str">
        <f>IF(I34&lt;11.1,"TIDAK HADIR",IF(I34&lt;13.1,"TIDAK BACA",IF(I34&lt;$K$7,"TIDAK TUNTAS","TUNTAS")))</f>
        <v>TUNTAS</v>
      </c>
      <c r="L34" s="16" t="str">
        <f>IF(G34&gt;5,"TM"," ")</f>
        <v xml:space="preserve"> </v>
      </c>
      <c r="N34" s="2">
        <f t="shared" si="0"/>
        <v>6.1</v>
      </c>
    </row>
    <row r="35" spans="1:14">
      <c r="A35" s="16">
        <v>28</v>
      </c>
      <c r="B35" s="20" t="s">
        <v>81</v>
      </c>
      <c r="C35" s="25" t="s">
        <v>969</v>
      </c>
      <c r="D35" s="22" t="s">
        <v>559</v>
      </c>
      <c r="E35" s="16">
        <v>10</v>
      </c>
      <c r="F35" s="16">
        <v>16</v>
      </c>
      <c r="G35" s="16">
        <v>5</v>
      </c>
      <c r="H35" s="23">
        <f>100-E35*3+100-F35*3+100-G35*15</f>
        <v>147</v>
      </c>
      <c r="I35" s="24">
        <f>H35/3</f>
        <v>49</v>
      </c>
      <c r="J35" s="16">
        <f>RANK(H35,$H$8:$H$66)</f>
        <v>40</v>
      </c>
      <c r="K35" s="16" t="str">
        <f>IF(I35&lt;11.1,"TIDAK HADIR",IF(I35&lt;13.1,"TIDAK BACA",IF(I35&lt;$K$7,"TIDAK TUNTAS","TUNTAS")))</f>
        <v>TIDAK TUNTAS</v>
      </c>
      <c r="L35" s="16" t="str">
        <f>IF(G35&gt;5,"TM"," ")</f>
        <v xml:space="preserve"> </v>
      </c>
      <c r="N35" s="2">
        <f t="shared" si="0"/>
        <v>4.9000000000000004</v>
      </c>
    </row>
    <row r="36" spans="1:14">
      <c r="A36" s="16">
        <v>29</v>
      </c>
      <c r="B36" s="20" t="s">
        <v>82</v>
      </c>
      <c r="C36" s="21" t="s">
        <v>970</v>
      </c>
      <c r="D36" s="22" t="s">
        <v>131</v>
      </c>
      <c r="E36" s="16">
        <v>24</v>
      </c>
      <c r="F36" s="16">
        <v>27</v>
      </c>
      <c r="G36" s="16">
        <v>5</v>
      </c>
      <c r="H36" s="23">
        <f>100-E36*3+100-F36*3+100-G36*15</f>
        <v>72</v>
      </c>
      <c r="I36" s="24">
        <f>H36/3</f>
        <v>24</v>
      </c>
      <c r="J36" s="16">
        <f>RANK(H36,$H$8:$H$66)</f>
        <v>48</v>
      </c>
      <c r="K36" s="16" t="str">
        <f>IF(I36&lt;11.1,"TIDAK HADIR",IF(I36&lt;13.1,"TIDAK BACA",IF(I36&lt;$K$7,"TIDAK TUNTAS","TUNTAS")))</f>
        <v>TIDAK TUNTAS</v>
      </c>
      <c r="L36" s="16" t="str">
        <f>IF(G36&gt;5,"TM"," ")</f>
        <v xml:space="preserve"> </v>
      </c>
      <c r="N36" s="2">
        <f t="shared" si="0"/>
        <v>2.4</v>
      </c>
    </row>
    <row r="37" spans="1:14">
      <c r="A37" s="16">
        <v>30</v>
      </c>
      <c r="B37" s="20" t="s">
        <v>85</v>
      </c>
      <c r="C37" s="21" t="s">
        <v>971</v>
      </c>
      <c r="D37" s="22" t="s">
        <v>131</v>
      </c>
      <c r="E37" s="16">
        <v>23</v>
      </c>
      <c r="F37" s="16">
        <v>27</v>
      </c>
      <c r="G37" s="16">
        <v>5</v>
      </c>
      <c r="H37" s="23">
        <f>100-E37*3+100-F37*3+100-G37*15</f>
        <v>75</v>
      </c>
      <c r="I37" s="24">
        <f>H37/3</f>
        <v>25</v>
      </c>
      <c r="J37" s="16">
        <f>RANK(H37,$H$8:$H$66)</f>
        <v>47</v>
      </c>
      <c r="K37" s="16" t="str">
        <f>IF(I37&lt;11.1,"TIDAK HADIR",IF(I37&lt;13.1,"TIDAK BACA",IF(I37&lt;$K$7,"TIDAK TUNTAS","TUNTAS")))</f>
        <v>TIDAK TUNTAS</v>
      </c>
      <c r="L37" s="16" t="str">
        <f>IF(G37&gt;5,"TM"," ")</f>
        <v xml:space="preserve"> </v>
      </c>
      <c r="N37" s="2">
        <f t="shared" si="0"/>
        <v>2.5</v>
      </c>
    </row>
    <row r="38" spans="1:14">
      <c r="A38" s="16">
        <v>31</v>
      </c>
      <c r="B38" s="20" t="s">
        <v>87</v>
      </c>
      <c r="C38" s="21" t="s">
        <v>972</v>
      </c>
      <c r="D38" s="22" t="s">
        <v>973</v>
      </c>
      <c r="E38" s="16">
        <v>1</v>
      </c>
      <c r="F38" s="16">
        <v>3</v>
      </c>
      <c r="G38" s="16">
        <v>5</v>
      </c>
      <c r="H38" s="23">
        <f>100-E38*3+100-F38*3+100-G38*15</f>
        <v>213</v>
      </c>
      <c r="I38" s="24">
        <f>H38/3</f>
        <v>71</v>
      </c>
      <c r="J38" s="16">
        <f>RANK(H38,$H$8:$H$66)</f>
        <v>24</v>
      </c>
      <c r="K38" s="16" t="str">
        <f>IF(I38&lt;11.1,"TIDAK HADIR",IF(I38&lt;13.1,"TIDAK BACA",IF(I38&lt;$K$7,"TIDAK TUNTAS","TUNTAS")))</f>
        <v>TUNTAS</v>
      </c>
      <c r="L38" s="16" t="str">
        <f>IF(G38&gt;5,"TM"," ")</f>
        <v xml:space="preserve"> </v>
      </c>
      <c r="N38" s="2">
        <f t="shared" si="0"/>
        <v>7.1</v>
      </c>
    </row>
    <row r="39" spans="1:14">
      <c r="A39" s="16">
        <v>32</v>
      </c>
      <c r="B39" s="20" t="s">
        <v>90</v>
      </c>
      <c r="C39" s="26" t="s">
        <v>974</v>
      </c>
      <c r="D39" s="27" t="s">
        <v>135</v>
      </c>
      <c r="E39" s="16">
        <v>8</v>
      </c>
      <c r="F39" s="16">
        <v>0</v>
      </c>
      <c r="G39" s="16">
        <v>4</v>
      </c>
      <c r="H39" s="23">
        <f>100-E39*3+100-F39*3+100-G39*15</f>
        <v>216</v>
      </c>
      <c r="I39" s="24">
        <f>H39/3</f>
        <v>72</v>
      </c>
      <c r="J39" s="16">
        <f>RANK(H39,$H$8:$H$66)</f>
        <v>22</v>
      </c>
      <c r="K39" s="16" t="str">
        <f>IF(I39&lt;11.1,"TIDAK HADIR",IF(I39&lt;13.1,"TIDAK BACA",IF(I39&lt;$K$7,"TIDAK TUNTAS","TUNTAS")))</f>
        <v>TUNTAS</v>
      </c>
      <c r="L39" s="16" t="str">
        <f>IF(G39&gt;5,"TM"," ")</f>
        <v xml:space="preserve"> </v>
      </c>
      <c r="N39" s="2">
        <f t="shared" si="0"/>
        <v>7.2</v>
      </c>
    </row>
    <row r="40" spans="1:14">
      <c r="A40" s="16">
        <v>33</v>
      </c>
      <c r="B40" s="20" t="s">
        <v>92</v>
      </c>
      <c r="C40" s="25" t="s">
        <v>975</v>
      </c>
      <c r="D40" s="22" t="s">
        <v>135</v>
      </c>
      <c r="E40" s="16">
        <v>31</v>
      </c>
      <c r="F40" s="16">
        <v>31</v>
      </c>
      <c r="G40" s="16">
        <v>5</v>
      </c>
      <c r="H40" s="23">
        <f>100-E40*3+100-F40*3+100-G40*15</f>
        <v>39</v>
      </c>
      <c r="I40" s="24">
        <f>H40/3</f>
        <v>13</v>
      </c>
      <c r="J40" s="16">
        <f>RANK(H40,$H$8:$H$66)</f>
        <v>49</v>
      </c>
      <c r="K40" s="16" t="str">
        <f>IF(I40&lt;11.1,"TIDAK HADIR",IF(I40&lt;13.1,"TIDAK BACA",IF(I40&lt;$K$7,"TIDAK TUNTAS","TUNTAS")))</f>
        <v>TIDAK BACA</v>
      </c>
      <c r="L40" s="16" t="str">
        <f>IF(G40&gt;5,"TM"," ")</f>
        <v xml:space="preserve"> </v>
      </c>
      <c r="N40" s="2">
        <f t="shared" si="0"/>
        <v>1.3</v>
      </c>
    </row>
    <row r="41" spans="1:14">
      <c r="A41" s="16">
        <v>34</v>
      </c>
      <c r="B41" s="20" t="s">
        <v>94</v>
      </c>
      <c r="C41" s="21" t="s">
        <v>976</v>
      </c>
      <c r="D41" s="22" t="s">
        <v>138</v>
      </c>
      <c r="E41" s="16">
        <v>6</v>
      </c>
      <c r="F41" s="16">
        <v>15</v>
      </c>
      <c r="G41" s="16">
        <v>5</v>
      </c>
      <c r="H41" s="23">
        <f>100-E41*3+100-F41*3+100-G41*15</f>
        <v>162</v>
      </c>
      <c r="I41" s="24">
        <f>H41/3</f>
        <v>54</v>
      </c>
      <c r="J41" s="16">
        <f>RANK(H41,$H$8:$H$66)</f>
        <v>36</v>
      </c>
      <c r="K41" s="16" t="str">
        <f>IF(I41&lt;11.1,"TIDAK HADIR",IF(I41&lt;13.1,"TIDAK BACA",IF(I41&lt;$K$7,"TIDAK TUNTAS","TUNTAS")))</f>
        <v>TIDAK TUNTAS</v>
      </c>
      <c r="L41" s="16" t="str">
        <f>IF(G41&gt;5,"TM"," ")</f>
        <v xml:space="preserve"> </v>
      </c>
      <c r="N41" s="2">
        <f t="shared" si="0"/>
        <v>5.4</v>
      </c>
    </row>
    <row r="42" spans="1:14">
      <c r="A42" s="16">
        <v>35</v>
      </c>
      <c r="B42" s="20" t="s">
        <v>97</v>
      </c>
      <c r="C42" s="21" t="s">
        <v>977</v>
      </c>
      <c r="D42" s="22" t="s">
        <v>311</v>
      </c>
      <c r="E42" s="16">
        <v>3</v>
      </c>
      <c r="F42" s="16">
        <v>5</v>
      </c>
      <c r="G42" s="16">
        <v>1</v>
      </c>
      <c r="H42" s="23">
        <f>100-E42*3+100-F42*3+100-G42*15</f>
        <v>261</v>
      </c>
      <c r="I42" s="24">
        <f>H42/3</f>
        <v>87</v>
      </c>
      <c r="J42" s="16">
        <f>RANK(H42,$H$8:$H$66)</f>
        <v>8</v>
      </c>
      <c r="K42" s="16" t="str">
        <f>IF(I42&lt;11.1,"TIDAK HADIR",IF(I42&lt;13.1,"TIDAK BACA",IF(I42&lt;$K$7,"TIDAK TUNTAS","TUNTAS")))</f>
        <v>TUNTAS</v>
      </c>
      <c r="L42" s="16" t="str">
        <f>IF(G42&gt;5,"TM"," ")</f>
        <v xml:space="preserve"> </v>
      </c>
      <c r="N42" s="2">
        <f t="shared" si="0"/>
        <v>8.6999999999999993</v>
      </c>
    </row>
    <row r="43" spans="1:14">
      <c r="A43" s="16">
        <v>36</v>
      </c>
      <c r="B43" s="20" t="s">
        <v>99</v>
      </c>
      <c r="C43" s="21" t="s">
        <v>978</v>
      </c>
      <c r="D43" s="22" t="s">
        <v>579</v>
      </c>
      <c r="E43" s="16">
        <v>7</v>
      </c>
      <c r="F43" s="16">
        <v>11</v>
      </c>
      <c r="G43" s="16">
        <v>4</v>
      </c>
      <c r="H43" s="23">
        <f>100-E43*3+100-F43*3+100-G43*15</f>
        <v>186</v>
      </c>
      <c r="I43" s="24">
        <f>H43/3</f>
        <v>62</v>
      </c>
      <c r="J43" s="16">
        <f>RANK(H43,$H$8:$H$66)</f>
        <v>29</v>
      </c>
      <c r="K43" s="16" t="str">
        <f>IF(I43&lt;11.1,"TIDAK HADIR",IF(I43&lt;13.1,"TIDAK BACA",IF(I43&lt;$K$7,"TIDAK TUNTAS","TUNTAS")))</f>
        <v>TUNTAS</v>
      </c>
      <c r="L43" s="16" t="str">
        <f>IF(G43&gt;5,"TM"," ")</f>
        <v xml:space="preserve"> </v>
      </c>
      <c r="N43" s="2">
        <f t="shared" si="0"/>
        <v>6.2</v>
      </c>
    </row>
    <row r="44" spans="1:14">
      <c r="A44" s="16">
        <v>37</v>
      </c>
      <c r="B44" s="20" t="s">
        <v>101</v>
      </c>
      <c r="C44" s="21" t="s">
        <v>829</v>
      </c>
      <c r="D44" s="22" t="s">
        <v>155</v>
      </c>
      <c r="E44" s="16">
        <v>32</v>
      </c>
      <c r="F44" s="16">
        <v>32</v>
      </c>
      <c r="G44" s="16">
        <v>5</v>
      </c>
      <c r="H44" s="23">
        <f>100-E44*3+100-F44*3+100-G44*15</f>
        <v>33</v>
      </c>
      <c r="I44" s="24">
        <f>H44/3</f>
        <v>11</v>
      </c>
      <c r="J44" s="16">
        <f>RANK(H44,$H$8:$H$66)</f>
        <v>51</v>
      </c>
      <c r="K44" s="16" t="str">
        <f>IF(I44&lt;11.1,"TIDAK HADIR",IF(I44&lt;13.1,"TIDAK BACA",IF(I44&lt;$K$7,"TIDAK TUNTAS","TUNTAS")))</f>
        <v>TIDAK HADIR</v>
      </c>
      <c r="L44" s="16" t="s">
        <v>1143</v>
      </c>
      <c r="N44" s="2">
        <f t="shared" si="0"/>
        <v>1.1000000000000001</v>
      </c>
    </row>
    <row r="45" spans="1:14">
      <c r="A45" s="16">
        <v>38</v>
      </c>
      <c r="B45" s="20" t="s">
        <v>103</v>
      </c>
      <c r="C45" s="21" t="s">
        <v>979</v>
      </c>
      <c r="D45" s="22" t="s">
        <v>160</v>
      </c>
      <c r="E45" s="16">
        <v>3</v>
      </c>
      <c r="F45" s="16">
        <v>2</v>
      </c>
      <c r="G45" s="16">
        <v>1</v>
      </c>
      <c r="H45" s="23">
        <f>100-E45*3+100-F45*3+100-G45*15</f>
        <v>270</v>
      </c>
      <c r="I45" s="24">
        <f>H45/3</f>
        <v>90</v>
      </c>
      <c r="J45" s="16">
        <f>RANK(H45,$H$8:$H$66)</f>
        <v>4</v>
      </c>
      <c r="K45" s="16" t="str">
        <f>IF(I45&lt;11.1,"TIDAK HADIR",IF(I45&lt;13.1,"TIDAK BACA",IF(I45&lt;$K$7,"TIDAK TUNTAS","TUNTAS")))</f>
        <v>TUNTAS</v>
      </c>
      <c r="L45" s="16" t="str">
        <f>IF(G45&gt;5,"TM"," ")</f>
        <v xml:space="preserve"> </v>
      </c>
      <c r="N45" s="2">
        <f t="shared" si="0"/>
        <v>9</v>
      </c>
    </row>
    <row r="46" spans="1:14">
      <c r="A46" s="16">
        <v>39</v>
      </c>
      <c r="B46" s="20" t="s">
        <v>105</v>
      </c>
      <c r="C46" s="21" t="s">
        <v>980</v>
      </c>
      <c r="D46" s="22" t="s">
        <v>160</v>
      </c>
      <c r="E46" s="16">
        <v>15</v>
      </c>
      <c r="F46" s="16">
        <v>13</v>
      </c>
      <c r="G46" s="16">
        <v>3</v>
      </c>
      <c r="H46" s="23">
        <f>100-E46*3+100-F46*3+100-G46*15</f>
        <v>171</v>
      </c>
      <c r="I46" s="24">
        <f>H46/3</f>
        <v>57</v>
      </c>
      <c r="J46" s="16">
        <f>RANK(H46,$H$8:$H$66)</f>
        <v>34</v>
      </c>
      <c r="K46" s="16" t="str">
        <f>IF(I46&lt;11.1,"TIDAK HADIR",IF(I46&lt;13.1,"TIDAK BACA",IF(I46&lt;$K$7,"TIDAK TUNTAS","TUNTAS")))</f>
        <v>TIDAK TUNTAS</v>
      </c>
      <c r="L46" s="16" t="str">
        <f>IF(G46&gt;5,"TM"," ")</f>
        <v xml:space="preserve"> </v>
      </c>
      <c r="N46" s="2">
        <f t="shared" si="0"/>
        <v>5.7</v>
      </c>
    </row>
    <row r="47" spans="1:14">
      <c r="A47" s="16">
        <v>40</v>
      </c>
      <c r="B47" s="20" t="s">
        <v>108</v>
      </c>
      <c r="C47" s="21" t="s">
        <v>981</v>
      </c>
      <c r="D47" s="22" t="s">
        <v>164</v>
      </c>
      <c r="E47" s="16">
        <v>1</v>
      </c>
      <c r="F47" s="16">
        <v>0</v>
      </c>
      <c r="G47" s="16">
        <v>0</v>
      </c>
      <c r="H47" s="23">
        <f>100-E47*3+100-F47*3+100-G47*15</f>
        <v>297</v>
      </c>
      <c r="I47" s="24">
        <f>H47/3</f>
        <v>99</v>
      </c>
      <c r="J47" s="16">
        <f>RANK(H47,$H$8:$H$66)</f>
        <v>1</v>
      </c>
      <c r="K47" s="16" t="str">
        <f>IF(I47&lt;11.1,"TIDAK HADIR",IF(I47&lt;13.1,"TIDAK BACA",IF(I47&lt;$K$7,"TIDAK TUNTAS","TUNTAS")))</f>
        <v>TUNTAS</v>
      </c>
      <c r="L47" s="16" t="str">
        <f>IF(G47&gt;5,"TM"," ")</f>
        <v xml:space="preserve"> </v>
      </c>
      <c r="N47" s="2">
        <f t="shared" si="0"/>
        <v>9.9</v>
      </c>
    </row>
    <row r="48" spans="1:14">
      <c r="A48" s="16">
        <v>41</v>
      </c>
      <c r="B48" s="20" t="s">
        <v>109</v>
      </c>
      <c r="C48" s="26" t="s">
        <v>982</v>
      </c>
      <c r="D48" s="27" t="s">
        <v>445</v>
      </c>
      <c r="E48" s="16">
        <v>5</v>
      </c>
      <c r="F48" s="16">
        <v>3</v>
      </c>
      <c r="G48" s="16">
        <v>2</v>
      </c>
      <c r="H48" s="23">
        <f>100-E48*3+100-F48*3+100-G48*15</f>
        <v>246</v>
      </c>
      <c r="I48" s="24">
        <f>H48/3</f>
        <v>82</v>
      </c>
      <c r="J48" s="16">
        <f>RANK(H48,$H$8:$H$66)</f>
        <v>14</v>
      </c>
      <c r="K48" s="16" t="str">
        <f>IF(I48&lt;11.1,"TIDAK HADIR",IF(I48&lt;13.1,"TIDAK BACA",IF(I48&lt;$K$7,"TIDAK TUNTAS","TUNTAS")))</f>
        <v>TUNTAS</v>
      </c>
      <c r="L48" s="16" t="str">
        <f>IF(G48&gt;5,"TM"," ")</f>
        <v xml:space="preserve"> </v>
      </c>
      <c r="N48" s="2">
        <f t="shared" si="0"/>
        <v>8.1999999999999993</v>
      </c>
    </row>
    <row r="49" spans="1:14">
      <c r="A49" s="16">
        <v>42</v>
      </c>
      <c r="B49" s="20" t="s">
        <v>112</v>
      </c>
      <c r="C49" s="21" t="s">
        <v>983</v>
      </c>
      <c r="D49" s="22" t="s">
        <v>330</v>
      </c>
      <c r="E49" s="16">
        <v>4</v>
      </c>
      <c r="F49" s="16">
        <v>2</v>
      </c>
      <c r="G49" s="16">
        <v>1</v>
      </c>
      <c r="H49" s="23">
        <f>100-E49*3+100-F49*3+100-G49*15</f>
        <v>267</v>
      </c>
      <c r="I49" s="24">
        <f>H49/3</f>
        <v>89</v>
      </c>
      <c r="J49" s="16">
        <f>RANK(H49,$H$8:$H$66)</f>
        <v>5</v>
      </c>
      <c r="K49" s="16" t="str">
        <f>IF(I49&lt;11.1,"TIDAK HADIR",IF(I49&lt;13.1,"TIDAK BACA",IF(I49&lt;$K$7,"TIDAK TUNTAS","TUNTAS")))</f>
        <v>TUNTAS</v>
      </c>
      <c r="L49" s="16" t="str">
        <f>IF(G49&gt;5,"TM"," ")</f>
        <v xml:space="preserve"> </v>
      </c>
      <c r="N49" s="2">
        <f t="shared" si="0"/>
        <v>8.9</v>
      </c>
    </row>
    <row r="50" spans="1:14">
      <c r="A50" s="16">
        <v>43</v>
      </c>
      <c r="B50" s="20" t="s">
        <v>113</v>
      </c>
      <c r="C50" s="21" t="s">
        <v>984</v>
      </c>
      <c r="D50" s="22" t="s">
        <v>332</v>
      </c>
      <c r="E50" s="16">
        <v>3</v>
      </c>
      <c r="F50" s="16">
        <v>5</v>
      </c>
      <c r="G50" s="16">
        <v>3</v>
      </c>
      <c r="H50" s="23">
        <f>100-E50*3+100-F50*3+100-G50*15</f>
        <v>231</v>
      </c>
      <c r="I50" s="24">
        <f>H50/3</f>
        <v>77</v>
      </c>
      <c r="J50" s="16">
        <f>RANK(H50,$H$8:$H$66)</f>
        <v>16</v>
      </c>
      <c r="K50" s="16" t="str">
        <f>IF(I50&lt;11.1,"TIDAK HADIR",IF(I50&lt;13.1,"TIDAK BACA",IF(I50&lt;$K$7,"TIDAK TUNTAS","TUNTAS")))</f>
        <v>TUNTAS</v>
      </c>
      <c r="L50" s="16" t="str">
        <f>IF(G50&gt;5,"TM"," ")</f>
        <v xml:space="preserve"> </v>
      </c>
      <c r="N50" s="2">
        <f t="shared" si="0"/>
        <v>7.7</v>
      </c>
    </row>
    <row r="51" spans="1:14">
      <c r="A51" s="16">
        <v>44</v>
      </c>
      <c r="B51" s="20" t="s">
        <v>116</v>
      </c>
      <c r="C51" s="21" t="s">
        <v>985</v>
      </c>
      <c r="D51" s="22" t="s">
        <v>772</v>
      </c>
      <c r="E51" s="16">
        <v>8</v>
      </c>
      <c r="F51" s="16">
        <v>7</v>
      </c>
      <c r="G51" s="16">
        <v>4</v>
      </c>
      <c r="H51" s="23">
        <f>100-E51*3+100-F51*3+100-G51*15</f>
        <v>195</v>
      </c>
      <c r="I51" s="24">
        <f>H51/3</f>
        <v>65</v>
      </c>
      <c r="J51" s="16">
        <f>RANK(H51,$H$8:$H$66)</f>
        <v>27</v>
      </c>
      <c r="K51" s="16" t="str">
        <f>IF(I51&lt;11.1,"TIDAK HADIR",IF(I51&lt;13.1,"TIDAK BACA",IF(I51&lt;$K$7,"TIDAK TUNTAS","TUNTAS")))</f>
        <v>TUNTAS</v>
      </c>
      <c r="L51" s="16" t="str">
        <f>IF(G51&gt;5,"TM"," ")</f>
        <v xml:space="preserve"> </v>
      </c>
      <c r="N51" s="2">
        <f t="shared" si="0"/>
        <v>6.5</v>
      </c>
    </row>
    <row r="52" spans="1:14">
      <c r="A52" s="16">
        <v>45</v>
      </c>
      <c r="B52" s="20" t="s">
        <v>118</v>
      </c>
      <c r="C52" s="26" t="s">
        <v>986</v>
      </c>
      <c r="D52" s="27" t="s">
        <v>346</v>
      </c>
      <c r="E52" s="16">
        <v>15</v>
      </c>
      <c r="F52" s="16">
        <v>11</v>
      </c>
      <c r="G52" s="16">
        <v>6</v>
      </c>
      <c r="H52" s="23">
        <f>100-E52*3+100-F52*3+100-G52*15</f>
        <v>132</v>
      </c>
      <c r="I52" s="24">
        <f>H52/3</f>
        <v>44</v>
      </c>
      <c r="J52" s="16">
        <f>RANK(H52,$H$8:$H$66)</f>
        <v>42</v>
      </c>
      <c r="K52" s="16" t="str">
        <f>IF(I52&lt;11.1,"TIDAK HADIR",IF(I52&lt;13.1,"TIDAK BACA",IF(I52&lt;$K$7,"TIDAK TUNTAS","TUNTAS")))</f>
        <v>TIDAK TUNTAS</v>
      </c>
      <c r="L52" s="16" t="str">
        <f>IF(G52&gt;5,"TM"," ")</f>
        <v>TM</v>
      </c>
      <c r="N52" s="2">
        <f t="shared" si="0"/>
        <v>4.4000000000000004</v>
      </c>
    </row>
    <row r="53" spans="1:14">
      <c r="A53" s="16">
        <v>46</v>
      </c>
      <c r="B53" s="20" t="s">
        <v>120</v>
      </c>
      <c r="C53" s="25" t="s">
        <v>987</v>
      </c>
      <c r="D53" s="22" t="s">
        <v>609</v>
      </c>
      <c r="E53" s="16">
        <v>7</v>
      </c>
      <c r="F53" s="16">
        <v>3</v>
      </c>
      <c r="G53" s="16">
        <v>1</v>
      </c>
      <c r="H53" s="23">
        <f>100-E53*3+100-F53*3+100-G53*15</f>
        <v>255</v>
      </c>
      <c r="I53" s="24">
        <f>H53/3</f>
        <v>85</v>
      </c>
      <c r="J53" s="16">
        <f>RANK(H53,$H$8:$H$66)</f>
        <v>10</v>
      </c>
      <c r="K53" s="16" t="str">
        <f>IF(I53&lt;11.1,"TIDAK HADIR",IF(I53&lt;13.1,"TIDAK BACA",IF(I53&lt;$K$7,"TIDAK TUNTAS","TUNTAS")))</f>
        <v>TUNTAS</v>
      </c>
      <c r="L53" s="16" t="str">
        <f>IF(G53&gt;5,"TM"," ")</f>
        <v xml:space="preserve"> </v>
      </c>
      <c r="N53" s="2">
        <f t="shared" si="0"/>
        <v>8.5</v>
      </c>
    </row>
    <row r="54" spans="1:14">
      <c r="A54" s="16">
        <v>47</v>
      </c>
      <c r="B54" s="20" t="s">
        <v>123</v>
      </c>
      <c r="C54" s="21" t="s">
        <v>988</v>
      </c>
      <c r="D54" s="22" t="s">
        <v>348</v>
      </c>
      <c r="E54" s="16">
        <v>3</v>
      </c>
      <c r="F54" s="16">
        <v>0</v>
      </c>
      <c r="G54" s="16">
        <v>2</v>
      </c>
      <c r="H54" s="23">
        <f>100-E54*3+100-F54*3+100-G54*15</f>
        <v>261</v>
      </c>
      <c r="I54" s="24">
        <f>H54/3</f>
        <v>87</v>
      </c>
      <c r="J54" s="16">
        <f>RANK(H54,$H$8:$H$66)</f>
        <v>8</v>
      </c>
      <c r="K54" s="16" t="str">
        <f>IF(I54&lt;11.1,"TIDAK HADIR",IF(I54&lt;13.1,"TIDAK BACA",IF(I54&lt;$K$7,"TIDAK TUNTAS","TUNTAS")))</f>
        <v>TUNTAS</v>
      </c>
      <c r="L54" s="16" t="str">
        <f>IF(G54&gt;5,"TM"," ")</f>
        <v xml:space="preserve"> </v>
      </c>
      <c r="N54" s="2">
        <f t="shared" si="0"/>
        <v>8.6999999999999993</v>
      </c>
    </row>
    <row r="55" spans="1:14">
      <c r="A55" s="16">
        <v>48</v>
      </c>
      <c r="B55" s="20" t="s">
        <v>126</v>
      </c>
      <c r="C55" s="21" t="s">
        <v>989</v>
      </c>
      <c r="D55" s="22" t="s">
        <v>348</v>
      </c>
      <c r="E55" s="16">
        <v>5</v>
      </c>
      <c r="F55" s="16">
        <v>14</v>
      </c>
      <c r="G55" s="16">
        <v>6</v>
      </c>
      <c r="H55" s="23">
        <f>100-E55*3+100-F55*3+100-G55*15</f>
        <v>153</v>
      </c>
      <c r="I55" s="24">
        <f>H55/3</f>
        <v>51</v>
      </c>
      <c r="J55" s="16">
        <f>RANK(H55,$H$8:$H$66)</f>
        <v>38</v>
      </c>
      <c r="K55" s="16" t="str">
        <f>IF(I55&lt;11.1,"TIDAK HADIR",IF(I55&lt;13.1,"TIDAK BACA",IF(I55&lt;$K$7,"TIDAK TUNTAS","TUNTAS")))</f>
        <v>TIDAK TUNTAS</v>
      </c>
      <c r="L55" s="16" t="str">
        <f>IF(G55&gt;5,"TM"," ")</f>
        <v>TM</v>
      </c>
      <c r="N55" s="2">
        <f t="shared" si="0"/>
        <v>5.0999999999999996</v>
      </c>
    </row>
    <row r="56" spans="1:14">
      <c r="A56" s="16">
        <v>49</v>
      </c>
      <c r="B56" s="20" t="s">
        <v>129</v>
      </c>
      <c r="C56" s="21" t="s">
        <v>990</v>
      </c>
      <c r="D56" s="22" t="s">
        <v>611</v>
      </c>
      <c r="E56" s="16">
        <v>32</v>
      </c>
      <c r="F56" s="16">
        <v>32</v>
      </c>
      <c r="G56" s="16">
        <v>5</v>
      </c>
      <c r="H56" s="23">
        <f>100-E56*3+100-F56*3+100-G56*15</f>
        <v>33</v>
      </c>
      <c r="I56" s="24">
        <f>H56/3</f>
        <v>11</v>
      </c>
      <c r="J56" s="16">
        <f>RANK(H56,$H$8:$H$66)</f>
        <v>51</v>
      </c>
      <c r="K56" s="16" t="str">
        <f>IF(I56&lt;11.1,"TIDAK HADIR",IF(I56&lt;13.1,"TIDAK BACA",IF(I56&lt;$K$7,"TIDAK TUNTAS","TUNTAS")))</f>
        <v>TIDAK HADIR</v>
      </c>
      <c r="L56" s="16" t="s">
        <v>1143</v>
      </c>
      <c r="N56" s="2">
        <f t="shared" si="0"/>
        <v>1.1000000000000001</v>
      </c>
    </row>
    <row r="57" spans="1:14">
      <c r="A57" s="16">
        <v>50</v>
      </c>
      <c r="B57" s="20" t="s">
        <v>132</v>
      </c>
      <c r="C57" s="26" t="s">
        <v>991</v>
      </c>
      <c r="D57" s="27" t="s">
        <v>355</v>
      </c>
      <c r="E57" s="16">
        <v>8</v>
      </c>
      <c r="F57" s="16">
        <v>6</v>
      </c>
      <c r="G57" s="16">
        <v>5</v>
      </c>
      <c r="H57" s="23">
        <f>100-E57*3+100-F57*3+100-G57*15</f>
        <v>183</v>
      </c>
      <c r="I57" s="24">
        <f>H57/3</f>
        <v>61</v>
      </c>
      <c r="J57" s="16">
        <f>RANK(H57,$H$8:$H$66)</f>
        <v>30</v>
      </c>
      <c r="K57" s="16" t="str">
        <f>IF(I57&lt;11.1,"TIDAK HADIR",IF(I57&lt;13.1,"TIDAK BACA",IF(I57&lt;$K$7,"TIDAK TUNTAS","TUNTAS")))</f>
        <v>TUNTAS</v>
      </c>
      <c r="L57" s="16" t="str">
        <f>IF(G57&gt;5,"TM"," ")</f>
        <v xml:space="preserve"> </v>
      </c>
      <c r="N57" s="2">
        <f t="shared" si="0"/>
        <v>6.1</v>
      </c>
    </row>
    <row r="58" spans="1:14">
      <c r="A58" s="16">
        <v>51</v>
      </c>
      <c r="B58" s="20" t="s">
        <v>134</v>
      </c>
      <c r="C58" s="21" t="s">
        <v>992</v>
      </c>
      <c r="D58" s="22" t="s">
        <v>189</v>
      </c>
      <c r="E58" s="16">
        <v>13</v>
      </c>
      <c r="F58" s="16">
        <v>9</v>
      </c>
      <c r="G58" s="16">
        <v>5</v>
      </c>
      <c r="H58" s="23">
        <f>100-E58*3+100-F58*3+100-G58*15</f>
        <v>159</v>
      </c>
      <c r="I58" s="24">
        <f>H58/3</f>
        <v>53</v>
      </c>
      <c r="J58" s="16">
        <f>RANK(H58,$H$8:$H$66)</f>
        <v>37</v>
      </c>
      <c r="K58" s="16" t="str">
        <f>IF(I58&lt;11.1,"TIDAK HADIR",IF(I58&lt;13.1,"TIDAK BACA",IF(I58&lt;$K$7,"TIDAK TUNTAS","TUNTAS")))</f>
        <v>TIDAK TUNTAS</v>
      </c>
      <c r="L58" s="16" t="str">
        <f>IF(G58&gt;5,"TM"," ")</f>
        <v xml:space="preserve"> </v>
      </c>
      <c r="N58" s="2">
        <f t="shared" si="0"/>
        <v>5.3</v>
      </c>
    </row>
    <row r="59" spans="1:14">
      <c r="A59" s="16">
        <v>52</v>
      </c>
      <c r="B59" s="20" t="s">
        <v>136</v>
      </c>
      <c r="C59" s="26" t="s">
        <v>993</v>
      </c>
      <c r="D59" s="27" t="s">
        <v>196</v>
      </c>
      <c r="E59" s="16">
        <v>2</v>
      </c>
      <c r="F59" s="16">
        <v>1</v>
      </c>
      <c r="G59" s="16">
        <v>0</v>
      </c>
      <c r="H59" s="23">
        <f>100-E59*3+100-F59*3+100-G59*15</f>
        <v>291</v>
      </c>
      <c r="I59" s="24">
        <f>H59/3</f>
        <v>97</v>
      </c>
      <c r="J59" s="16">
        <f>RANK(H59,$H$8:$H$66)</f>
        <v>2</v>
      </c>
      <c r="K59" s="16" t="str">
        <f>IF(I59&lt;11.1,"TIDAK HADIR",IF(I59&lt;13.1,"TIDAK BACA",IF(I59&lt;$K$7,"TIDAK TUNTAS","TUNTAS")))</f>
        <v>TUNTAS</v>
      </c>
      <c r="L59" s="16" t="str">
        <f>IF(G59&gt;5,"TM"," ")</f>
        <v xml:space="preserve"> </v>
      </c>
      <c r="N59" s="2">
        <f t="shared" si="0"/>
        <v>9.6999999999999993</v>
      </c>
    </row>
    <row r="60" spans="1:14">
      <c r="A60" s="16">
        <v>53</v>
      </c>
      <c r="B60" s="20" t="s">
        <v>137</v>
      </c>
      <c r="C60" s="21" t="s">
        <v>994</v>
      </c>
      <c r="D60" s="22" t="s">
        <v>199</v>
      </c>
      <c r="E60" s="16">
        <v>11</v>
      </c>
      <c r="F60" s="16">
        <v>10</v>
      </c>
      <c r="G60" s="16">
        <v>2</v>
      </c>
      <c r="H60" s="23">
        <f>100-E60*3+100-F60*3+100-G60*15</f>
        <v>207</v>
      </c>
      <c r="I60" s="24">
        <f>H60/3</f>
        <v>69</v>
      </c>
      <c r="J60" s="16">
        <f>RANK(H60,$H$8:$H$66)</f>
        <v>26</v>
      </c>
      <c r="K60" s="16" t="str">
        <f>IF(I60&lt;11.1,"TIDAK HADIR",IF(I60&lt;13.1,"TIDAK BACA",IF(I60&lt;$K$7,"TIDAK TUNTAS","TUNTAS")))</f>
        <v>TUNTAS</v>
      </c>
      <c r="L60" s="16" t="str">
        <f>IF(G60&gt;5,"TM"," ")</f>
        <v xml:space="preserve"> </v>
      </c>
      <c r="N60" s="2">
        <f t="shared" si="0"/>
        <v>6.9</v>
      </c>
    </row>
    <row r="61" spans="1:14">
      <c r="A61" s="16">
        <v>54</v>
      </c>
      <c r="B61" s="20" t="s">
        <v>139</v>
      </c>
      <c r="C61" s="21" t="s">
        <v>995</v>
      </c>
      <c r="D61" s="22" t="s">
        <v>199</v>
      </c>
      <c r="E61" s="16">
        <v>3</v>
      </c>
      <c r="F61" s="16">
        <v>3</v>
      </c>
      <c r="G61" s="16">
        <v>2</v>
      </c>
      <c r="H61" s="23">
        <f>100-E61*3+100-F61*3+100-G61*15</f>
        <v>252</v>
      </c>
      <c r="I61" s="24">
        <f>H61/3</f>
        <v>84</v>
      </c>
      <c r="J61" s="16">
        <f>RANK(H61,$H$8:$H$66)</f>
        <v>11</v>
      </c>
      <c r="K61" s="16" t="str">
        <f>IF(I61&lt;11.1,"TIDAK HADIR",IF(I61&lt;13.1,"TIDAK BACA",IF(I61&lt;$K$7,"TIDAK TUNTAS","TUNTAS")))</f>
        <v>TUNTAS</v>
      </c>
      <c r="L61" s="16" t="str">
        <f>IF(G61&gt;5,"TM"," ")</f>
        <v xml:space="preserve"> </v>
      </c>
      <c r="N61" s="2">
        <f t="shared" si="0"/>
        <v>8.4</v>
      </c>
    </row>
    <row r="62" spans="1:14">
      <c r="A62" s="16">
        <v>55</v>
      </c>
      <c r="B62" s="20" t="s">
        <v>142</v>
      </c>
      <c r="C62" s="26" t="s">
        <v>996</v>
      </c>
      <c r="D62" s="27" t="s">
        <v>368</v>
      </c>
      <c r="E62" s="16">
        <v>21</v>
      </c>
      <c r="F62" s="16">
        <v>14</v>
      </c>
      <c r="G62" s="16">
        <v>6</v>
      </c>
      <c r="H62" s="23">
        <f>100-E62*3+100-F62*3+100-G62*15</f>
        <v>105</v>
      </c>
      <c r="I62" s="24">
        <f>H62/3</f>
        <v>35</v>
      </c>
      <c r="J62" s="16">
        <f>RANK(H62,$H$8:$H$66)</f>
        <v>46</v>
      </c>
      <c r="K62" s="16" t="str">
        <f>IF(I62&lt;11.1,"TIDAK HADIR",IF(I62&lt;13.1,"TIDAK BACA",IF(I62&lt;$K$7,"TIDAK TUNTAS","TUNTAS")))</f>
        <v>TIDAK TUNTAS</v>
      </c>
      <c r="L62" s="16" t="str">
        <f>IF(G62&gt;5,"TM"," ")</f>
        <v>TM</v>
      </c>
      <c r="N62" s="2">
        <f t="shared" si="0"/>
        <v>3.5</v>
      </c>
    </row>
    <row r="63" spans="1:14">
      <c r="A63" s="16">
        <v>56</v>
      </c>
      <c r="B63" s="20" t="s">
        <v>143</v>
      </c>
      <c r="C63" s="21" t="s">
        <v>997</v>
      </c>
      <c r="D63" s="22" t="s">
        <v>204</v>
      </c>
      <c r="E63" s="16">
        <v>12</v>
      </c>
      <c r="F63" s="16">
        <v>3</v>
      </c>
      <c r="G63" s="16">
        <v>5</v>
      </c>
      <c r="H63" s="23">
        <f>100-E63*3+100-F63*3+100-G63*15</f>
        <v>180</v>
      </c>
      <c r="I63" s="24">
        <f>H63/3</f>
        <v>60</v>
      </c>
      <c r="J63" s="16">
        <f>RANK(H63,$H$8:$H$66)</f>
        <v>33</v>
      </c>
      <c r="K63" s="16" t="str">
        <f>IF(I63&lt;11.1,"TIDAK HADIR",IF(I63&lt;13.1,"TIDAK BACA",IF(I63&lt;$K$7,"TIDAK TUNTAS","TUNTAS")))</f>
        <v>TUNTAS</v>
      </c>
      <c r="L63" s="16" t="str">
        <f>IF(G63&gt;5,"TM"," ")</f>
        <v xml:space="preserve"> </v>
      </c>
      <c r="N63" s="2">
        <f t="shared" si="0"/>
        <v>6</v>
      </c>
    </row>
    <row r="64" spans="1:14">
      <c r="A64" s="16">
        <v>57</v>
      </c>
      <c r="B64" s="20" t="s">
        <v>145</v>
      </c>
      <c r="C64" s="21" t="s">
        <v>927</v>
      </c>
      <c r="D64" s="22" t="s">
        <v>204</v>
      </c>
      <c r="E64" s="16">
        <v>32</v>
      </c>
      <c r="F64" s="16">
        <v>32</v>
      </c>
      <c r="G64" s="16">
        <v>5</v>
      </c>
      <c r="H64" s="23">
        <f>100-E64*3+100-F64*3+100-G64*15</f>
        <v>33</v>
      </c>
      <c r="I64" s="24">
        <f>H64/3</f>
        <v>11</v>
      </c>
      <c r="J64" s="16">
        <f>RANK(H64,$H$8:$H$66)</f>
        <v>51</v>
      </c>
      <c r="K64" s="16" t="str">
        <f>IF(I64&lt;11.1,"TIDAK HADIR",IF(I64&lt;13.1,"TIDAK BACA",IF(I64&lt;$K$7,"TIDAK TUNTAS","TUNTAS")))</f>
        <v>TIDAK HADIR</v>
      </c>
      <c r="L64" s="16" t="s">
        <v>1143</v>
      </c>
      <c r="N64" s="2">
        <f t="shared" si="0"/>
        <v>1.1000000000000001</v>
      </c>
    </row>
    <row r="65" spans="1:14">
      <c r="A65" s="16">
        <v>58</v>
      </c>
      <c r="B65" s="20" t="s">
        <v>147</v>
      </c>
      <c r="C65" s="26" t="s">
        <v>998</v>
      </c>
      <c r="D65" s="27" t="s">
        <v>207</v>
      </c>
      <c r="E65" s="16">
        <v>13</v>
      </c>
      <c r="F65" s="16">
        <v>12</v>
      </c>
      <c r="G65" s="16">
        <v>5</v>
      </c>
      <c r="H65" s="23">
        <f>100-E65*3+100-F65*3+100-G65*15</f>
        <v>150</v>
      </c>
      <c r="I65" s="24">
        <f>H65/3</f>
        <v>50</v>
      </c>
      <c r="J65" s="16">
        <f>RANK(H65,$H$8:$H$66)</f>
        <v>39</v>
      </c>
      <c r="K65" s="16" t="str">
        <f>IF(I65&lt;11.1,"TIDAK HADIR",IF(I65&lt;13.1,"TIDAK BACA",IF(I65&lt;$K$7,"TIDAK TUNTAS","TUNTAS")))</f>
        <v>TIDAK TUNTAS</v>
      </c>
      <c r="L65" s="16" t="str">
        <f>IF(G65&gt;5,"TM"," ")</f>
        <v xml:space="preserve"> </v>
      </c>
      <c r="N65" s="2">
        <f t="shared" si="0"/>
        <v>5</v>
      </c>
    </row>
    <row r="66" spans="1:14">
      <c r="A66" s="16">
        <v>59</v>
      </c>
      <c r="B66" s="20" t="s">
        <v>149</v>
      </c>
      <c r="C66" s="21" t="s">
        <v>999</v>
      </c>
      <c r="D66" s="22" t="s">
        <v>212</v>
      </c>
      <c r="E66" s="16">
        <v>7</v>
      </c>
      <c r="F66" s="16">
        <v>7</v>
      </c>
      <c r="G66" s="16">
        <v>1</v>
      </c>
      <c r="H66" s="23">
        <f>100-E66*3+100-F66*3+100-G66*15</f>
        <v>243</v>
      </c>
      <c r="I66" s="24">
        <f>H66/3</f>
        <v>81</v>
      </c>
      <c r="J66" s="16">
        <f>RANK(H66,$H$8:$H$66)</f>
        <v>15</v>
      </c>
      <c r="K66" s="16" t="str">
        <f>IF(I66&lt;11.1,"TIDAK HADIR",IF(I66&lt;13.1,"TIDAK BACA",IF(I66&lt;$K$7,"TIDAK TUNTAS","TUNTAS")))</f>
        <v>TUNTAS</v>
      </c>
      <c r="L66" s="16" t="str">
        <f>IF(G66&gt;5,"TM"," ")</f>
        <v xml:space="preserve"> </v>
      </c>
      <c r="N66" s="2">
        <f t="shared" si="0"/>
        <v>8.1</v>
      </c>
    </row>
  </sheetData>
  <autoFilter ref="B5:L7" xr:uid="{00000000-0001-0000-0100-000000000000}">
    <filterColumn colId="3" showButton="0"/>
    <filterColumn colId="4" showButton="0"/>
    <sortState xmlns:xlrd2="http://schemas.microsoft.com/office/spreadsheetml/2017/richdata2" ref="B10:L66">
      <sortCondition ref="B5:B7"/>
    </sortState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79" priority="9" operator="equal">
      <formula>0</formula>
    </cfRule>
  </conditionalFormatting>
  <conditionalFormatting sqref="I5:I7">
    <cfRule type="cellIs" dxfId="78" priority="10" operator="lessThan">
      <formula>100</formula>
    </cfRule>
  </conditionalFormatting>
  <conditionalFormatting sqref="I5:I66">
    <cfRule type="cellIs" dxfId="77" priority="7" operator="lessThan">
      <formula>60</formula>
    </cfRule>
  </conditionalFormatting>
  <conditionalFormatting sqref="I8:I66">
    <cfRule type="cellIs" dxfId="76" priority="6" operator="lessThan">
      <formula>60</formula>
    </cfRule>
    <cfRule type="cellIs" dxfId="75" priority="8" operator="lessThan">
      <formula>50</formula>
    </cfRule>
  </conditionalFormatting>
  <conditionalFormatting sqref="K8:K66">
    <cfRule type="cellIs" dxfId="74" priority="1" operator="equal">
      <formula>"TIDAK BACA"</formula>
    </cfRule>
    <cfRule type="cellIs" dxfId="73" priority="2" operator="equal">
      <formula>"TIDAK TUNTAS"</formula>
    </cfRule>
    <cfRule type="cellIs" dxfId="72" priority="3" operator="equal">
      <formula>"TUNTAS"</formula>
    </cfRule>
    <cfRule type="cellIs" dxfId="71" priority="4" operator="equal">
      <formula>"TIDAK HADIR"</formula>
    </cfRule>
    <cfRule type="cellIs" dxfId="7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0AB77FB1-3837-4FEC-B7D6-E8E96B392F07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N66"/>
  <sheetViews>
    <sheetView workbookViewId="0">
      <pane xSplit="1" ySplit="7" topLeftCell="B8" activePane="bottomRight" state="frozen"/>
      <selection activeCell="N8" sqref="N8:N66"/>
      <selection pane="topRight" activeCell="N8" sqref="N8:N66"/>
      <selection pane="bottomLeft" activeCell="N8" sqref="N8:N66"/>
      <selection pane="bottomRight" activeCell="N8" sqref="N8:N66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ht="16.5">
      <c r="A1" s="12" t="s">
        <v>940</v>
      </c>
      <c r="B1" s="13"/>
      <c r="C1" s="14"/>
      <c r="D1" s="13"/>
      <c r="E1" s="13"/>
      <c r="F1" s="13"/>
      <c r="G1" s="13"/>
      <c r="H1" s="13"/>
      <c r="I1" s="13"/>
      <c r="J1" s="13"/>
      <c r="K1" s="13"/>
      <c r="L1" s="30"/>
    </row>
    <row r="2" spans="1:14" s="1" customFormat="1" ht="15.75" customHeight="1">
      <c r="A2" s="12" t="s">
        <v>941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30"/>
    </row>
    <row r="3" spans="1:14" s="1" customFormat="1" ht="16.5">
      <c r="A3" s="15" t="s">
        <v>942</v>
      </c>
      <c r="B3" s="13"/>
      <c r="C3" s="14"/>
      <c r="D3" s="13"/>
      <c r="E3" s="13"/>
      <c r="F3" s="13"/>
      <c r="G3" s="13"/>
      <c r="H3" s="13"/>
      <c r="I3" s="13"/>
      <c r="J3" s="13"/>
      <c r="K3" s="13"/>
      <c r="L3" s="30"/>
    </row>
    <row r="4" spans="1:14" s="32" customFormat="1" ht="19.899999999999999" customHeight="1">
      <c r="A4" s="48" t="s">
        <v>1138</v>
      </c>
      <c r="B4" s="48"/>
      <c r="C4" s="48"/>
      <c r="D4" s="48"/>
      <c r="E4" s="48"/>
      <c r="F4" s="48"/>
      <c r="G4" s="48"/>
      <c r="H4" s="48"/>
      <c r="I4" s="48"/>
      <c r="J4" s="30"/>
      <c r="K4" s="33" t="s">
        <v>1135</v>
      </c>
      <c r="L4" s="30"/>
    </row>
    <row r="5" spans="1:14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152</v>
      </c>
      <c r="C8" s="21" t="s">
        <v>1000</v>
      </c>
      <c r="D8" s="22" t="s">
        <v>815</v>
      </c>
      <c r="E8" s="16">
        <v>1</v>
      </c>
      <c r="F8" s="16">
        <v>3</v>
      </c>
      <c r="G8" s="16">
        <v>1</v>
      </c>
      <c r="H8" s="23">
        <f>100-E8*3+100-F8*3+100-G8*15</f>
        <v>273</v>
      </c>
      <c r="I8" s="24">
        <f t="shared" ref="I8:I66" si="0">H8/3</f>
        <v>91</v>
      </c>
      <c r="J8" s="16">
        <f t="shared" ref="J8:J39" si="1">RANK(H8,$H$8:$H$66)</f>
        <v>5</v>
      </c>
      <c r="K8" s="16" t="str">
        <f>IF(I8&lt;11.1,"TIDAK HADIR",IF(I8&lt;13.1,"TIDAK BACA",IF(I8&lt;$K$7,"TIDAK TUNTAS","TUNTAS")))</f>
        <v>TUNTAS</v>
      </c>
      <c r="L8" s="16" t="str">
        <f>IF(G8&gt;5,"TM"," ")</f>
        <v xml:space="preserve"> </v>
      </c>
      <c r="N8" s="2">
        <f>I8/10</f>
        <v>9.1</v>
      </c>
    </row>
    <row r="9" spans="1:14">
      <c r="A9" s="16">
        <v>2</v>
      </c>
      <c r="B9" s="20" t="s">
        <v>154</v>
      </c>
      <c r="C9" s="25" t="s">
        <v>1001</v>
      </c>
      <c r="D9" s="22" t="s">
        <v>472</v>
      </c>
      <c r="E9" s="16">
        <v>10</v>
      </c>
      <c r="F9" s="16">
        <v>11</v>
      </c>
      <c r="G9" s="16">
        <v>4</v>
      </c>
      <c r="H9" s="23">
        <f t="shared" ref="H9:H66" si="2">100-E9*3+100-F9*3+100-G9*15</f>
        <v>177</v>
      </c>
      <c r="I9" s="24">
        <f t="shared" si="0"/>
        <v>59</v>
      </c>
      <c r="J9" s="16">
        <f t="shared" si="1"/>
        <v>30</v>
      </c>
      <c r="K9" s="16" t="str">
        <f t="shared" ref="K9:K66" si="3">IF(I9&lt;11.1,"TIDAK HADIR",IF(I9&lt;13.1,"TIDAK BACA",IF(I9&lt;$K$7,"TIDAK TUNTAS","TUNTAS")))</f>
        <v>TIDAK TUNTAS</v>
      </c>
      <c r="L9" s="16" t="str">
        <f t="shared" ref="L9:L65" si="4">IF(G9&gt;5,"TM"," ")</f>
        <v xml:space="preserve"> </v>
      </c>
      <c r="N9" s="2">
        <f t="shared" ref="N9:N66" si="5">I9/10</f>
        <v>5.9</v>
      </c>
    </row>
    <row r="10" spans="1:14">
      <c r="A10" s="16">
        <v>3</v>
      </c>
      <c r="B10" s="20" t="s">
        <v>156</v>
      </c>
      <c r="C10" s="25" t="s">
        <v>386</v>
      </c>
      <c r="D10" s="22" t="s">
        <v>25</v>
      </c>
      <c r="E10" s="16">
        <v>0</v>
      </c>
      <c r="F10" s="16">
        <v>0</v>
      </c>
      <c r="G10" s="16">
        <v>0</v>
      </c>
      <c r="H10" s="23">
        <f t="shared" si="2"/>
        <v>300</v>
      </c>
      <c r="I10" s="24">
        <f t="shared" si="0"/>
        <v>100</v>
      </c>
      <c r="J10" s="16">
        <f t="shared" si="1"/>
        <v>1</v>
      </c>
      <c r="K10" s="16" t="str">
        <f t="shared" si="3"/>
        <v>TUNTAS</v>
      </c>
      <c r="L10" s="16" t="str">
        <f t="shared" si="4"/>
        <v xml:space="preserve"> </v>
      </c>
      <c r="N10" s="2">
        <f t="shared" si="5"/>
        <v>10</v>
      </c>
    </row>
    <row r="11" spans="1:14">
      <c r="A11" s="16">
        <v>4</v>
      </c>
      <c r="B11" s="20" t="s">
        <v>158</v>
      </c>
      <c r="C11" s="21" t="s">
        <v>710</v>
      </c>
      <c r="D11" s="22" t="s">
        <v>25</v>
      </c>
      <c r="E11" s="16">
        <v>1</v>
      </c>
      <c r="F11" s="16">
        <v>1</v>
      </c>
      <c r="G11" s="16">
        <v>1</v>
      </c>
      <c r="H11" s="23">
        <f t="shared" si="2"/>
        <v>279</v>
      </c>
      <c r="I11" s="24">
        <f t="shared" si="0"/>
        <v>93</v>
      </c>
      <c r="J11" s="16">
        <f t="shared" si="1"/>
        <v>3</v>
      </c>
      <c r="K11" s="16" t="str">
        <f t="shared" si="3"/>
        <v>TUNTAS</v>
      </c>
      <c r="L11" s="16" t="str">
        <f t="shared" si="4"/>
        <v xml:space="preserve"> </v>
      </c>
      <c r="N11" s="2">
        <f t="shared" si="5"/>
        <v>9.3000000000000007</v>
      </c>
    </row>
    <row r="12" spans="1:14">
      <c r="A12" s="16">
        <v>5</v>
      </c>
      <c r="B12" s="20" t="s">
        <v>161</v>
      </c>
      <c r="C12" s="25" t="s">
        <v>1002</v>
      </c>
      <c r="D12" s="22" t="s">
        <v>36</v>
      </c>
      <c r="E12" s="16">
        <v>31</v>
      </c>
      <c r="F12" s="16">
        <v>31</v>
      </c>
      <c r="G12" s="16">
        <v>5</v>
      </c>
      <c r="H12" s="23">
        <f t="shared" si="2"/>
        <v>39</v>
      </c>
      <c r="I12" s="24">
        <f t="shared" si="0"/>
        <v>13</v>
      </c>
      <c r="J12" s="16">
        <f t="shared" si="1"/>
        <v>49</v>
      </c>
      <c r="K12" s="16" t="str">
        <f t="shared" si="3"/>
        <v>TIDAK BACA</v>
      </c>
      <c r="L12" s="16" t="str">
        <f t="shared" si="4"/>
        <v xml:space="preserve"> </v>
      </c>
      <c r="N12" s="2">
        <f t="shared" si="5"/>
        <v>1.3</v>
      </c>
    </row>
    <row r="13" spans="1:14">
      <c r="A13" s="16">
        <v>6</v>
      </c>
      <c r="B13" s="20" t="s">
        <v>162</v>
      </c>
      <c r="C13" s="21" t="s">
        <v>1003</v>
      </c>
      <c r="D13" s="22" t="s">
        <v>485</v>
      </c>
      <c r="E13" s="16">
        <v>6</v>
      </c>
      <c r="F13" s="16">
        <v>3</v>
      </c>
      <c r="G13" s="16">
        <v>1</v>
      </c>
      <c r="H13" s="23">
        <f t="shared" si="2"/>
        <v>258</v>
      </c>
      <c r="I13" s="24">
        <f t="shared" si="0"/>
        <v>86</v>
      </c>
      <c r="J13" s="16">
        <f t="shared" si="1"/>
        <v>13</v>
      </c>
      <c r="K13" s="16" t="str">
        <f t="shared" si="3"/>
        <v>TUNTAS</v>
      </c>
      <c r="L13" s="16" t="str">
        <f t="shared" si="4"/>
        <v xml:space="preserve"> </v>
      </c>
      <c r="N13" s="2">
        <f t="shared" si="5"/>
        <v>8.6</v>
      </c>
    </row>
    <row r="14" spans="1:14">
      <c r="A14" s="16">
        <v>7</v>
      </c>
      <c r="B14" s="20" t="s">
        <v>165</v>
      </c>
      <c r="C14" s="25" t="s">
        <v>1004</v>
      </c>
      <c r="D14" s="22" t="s">
        <v>232</v>
      </c>
      <c r="E14" s="16">
        <v>11</v>
      </c>
      <c r="F14" s="16">
        <v>11</v>
      </c>
      <c r="G14" s="16">
        <v>5</v>
      </c>
      <c r="H14" s="23">
        <f t="shared" si="2"/>
        <v>159</v>
      </c>
      <c r="I14" s="24">
        <f t="shared" si="0"/>
        <v>53</v>
      </c>
      <c r="J14" s="16">
        <f t="shared" si="1"/>
        <v>33</v>
      </c>
      <c r="K14" s="16" t="str">
        <f t="shared" si="3"/>
        <v>TIDAK TUNTAS</v>
      </c>
      <c r="L14" s="16" t="str">
        <f t="shared" si="4"/>
        <v xml:space="preserve"> </v>
      </c>
      <c r="N14" s="2">
        <f t="shared" si="5"/>
        <v>5.3</v>
      </c>
    </row>
    <row r="15" spans="1:14">
      <c r="A15" s="16">
        <v>8</v>
      </c>
      <c r="B15" s="20" t="s">
        <v>167</v>
      </c>
      <c r="C15" s="21" t="s">
        <v>1005</v>
      </c>
      <c r="D15" s="22" t="s">
        <v>236</v>
      </c>
      <c r="E15" s="16">
        <v>19</v>
      </c>
      <c r="F15" s="16">
        <v>8</v>
      </c>
      <c r="G15" s="16">
        <v>4</v>
      </c>
      <c r="H15" s="23">
        <f t="shared" si="2"/>
        <v>159</v>
      </c>
      <c r="I15" s="24">
        <f t="shared" si="0"/>
        <v>53</v>
      </c>
      <c r="J15" s="16">
        <f t="shared" si="1"/>
        <v>33</v>
      </c>
      <c r="K15" s="16" t="str">
        <f t="shared" si="3"/>
        <v>TIDAK TUNTAS</v>
      </c>
      <c r="L15" s="16" t="str">
        <f t="shared" si="4"/>
        <v xml:space="preserve"> </v>
      </c>
      <c r="N15" s="2">
        <f t="shared" si="5"/>
        <v>5.3</v>
      </c>
    </row>
    <row r="16" spans="1:14">
      <c r="A16" s="16">
        <v>9</v>
      </c>
      <c r="B16" s="20" t="s">
        <v>169</v>
      </c>
      <c r="C16" s="21" t="s">
        <v>1006</v>
      </c>
      <c r="D16" s="22" t="s">
        <v>55</v>
      </c>
      <c r="E16" s="16">
        <v>5</v>
      </c>
      <c r="F16" s="16">
        <v>3</v>
      </c>
      <c r="G16" s="16">
        <v>1</v>
      </c>
      <c r="H16" s="23">
        <f t="shared" si="2"/>
        <v>261</v>
      </c>
      <c r="I16" s="24">
        <f t="shared" si="0"/>
        <v>87</v>
      </c>
      <c r="J16" s="16">
        <f t="shared" si="1"/>
        <v>12</v>
      </c>
      <c r="K16" s="16" t="str">
        <f t="shared" si="3"/>
        <v>TUNTAS</v>
      </c>
      <c r="L16" s="16" t="str">
        <f t="shared" si="4"/>
        <v xml:space="preserve"> </v>
      </c>
      <c r="N16" s="2">
        <f t="shared" si="5"/>
        <v>8.6999999999999993</v>
      </c>
    </row>
    <row r="17" spans="1:14">
      <c r="A17" s="16">
        <v>10</v>
      </c>
      <c r="B17" s="20" t="s">
        <v>172</v>
      </c>
      <c r="C17" s="21" t="s">
        <v>402</v>
      </c>
      <c r="D17" s="22" t="s">
        <v>55</v>
      </c>
      <c r="E17" s="16">
        <v>32</v>
      </c>
      <c r="F17" s="16">
        <v>32</v>
      </c>
      <c r="G17" s="16">
        <v>5</v>
      </c>
      <c r="H17" s="23">
        <f t="shared" si="2"/>
        <v>33</v>
      </c>
      <c r="I17" s="24">
        <f t="shared" si="0"/>
        <v>11</v>
      </c>
      <c r="J17" s="16">
        <f t="shared" si="1"/>
        <v>51</v>
      </c>
      <c r="K17" s="16" t="str">
        <f t="shared" si="3"/>
        <v>TIDAK HADIR</v>
      </c>
      <c r="L17" s="16" t="s">
        <v>1147</v>
      </c>
      <c r="N17" s="2">
        <f t="shared" si="5"/>
        <v>1.1000000000000001</v>
      </c>
    </row>
    <row r="18" spans="1:14">
      <c r="A18" s="16">
        <v>11</v>
      </c>
      <c r="B18" s="20" t="s">
        <v>174</v>
      </c>
      <c r="C18" s="21" t="s">
        <v>1007</v>
      </c>
      <c r="D18" s="22" t="s">
        <v>243</v>
      </c>
      <c r="E18" s="16">
        <v>12</v>
      </c>
      <c r="F18" s="16">
        <v>18</v>
      </c>
      <c r="G18" s="16">
        <v>6</v>
      </c>
      <c r="H18" s="23">
        <f t="shared" si="2"/>
        <v>120</v>
      </c>
      <c r="I18" s="24">
        <f t="shared" si="0"/>
        <v>40</v>
      </c>
      <c r="J18" s="16">
        <f t="shared" si="1"/>
        <v>44</v>
      </c>
      <c r="K18" s="16" t="str">
        <f t="shared" si="3"/>
        <v>TIDAK TUNTAS</v>
      </c>
      <c r="L18" s="16" t="str">
        <f t="shared" si="4"/>
        <v>TM</v>
      </c>
      <c r="N18" s="2">
        <f t="shared" si="5"/>
        <v>4</v>
      </c>
    </row>
    <row r="19" spans="1:14">
      <c r="A19" s="16">
        <v>12</v>
      </c>
      <c r="B19" s="20" t="s">
        <v>177</v>
      </c>
      <c r="C19" s="21" t="s">
        <v>1008</v>
      </c>
      <c r="D19" s="22" t="s">
        <v>501</v>
      </c>
      <c r="E19" s="16">
        <v>32</v>
      </c>
      <c r="F19" s="16">
        <v>32</v>
      </c>
      <c r="G19" s="16">
        <v>5</v>
      </c>
      <c r="H19" s="23">
        <f t="shared" si="2"/>
        <v>33</v>
      </c>
      <c r="I19" s="24">
        <f t="shared" si="0"/>
        <v>11</v>
      </c>
      <c r="J19" s="16">
        <f t="shared" si="1"/>
        <v>51</v>
      </c>
      <c r="K19" s="16" t="str">
        <f t="shared" si="3"/>
        <v>TIDAK HADIR</v>
      </c>
      <c r="L19" s="16" t="s">
        <v>1143</v>
      </c>
      <c r="N19" s="2">
        <f t="shared" si="5"/>
        <v>1.1000000000000001</v>
      </c>
    </row>
    <row r="20" spans="1:14">
      <c r="A20" s="16">
        <v>13</v>
      </c>
      <c r="B20" s="20" t="s">
        <v>180</v>
      </c>
      <c r="C20" s="21" t="s">
        <v>1009</v>
      </c>
      <c r="D20" s="22" t="s">
        <v>404</v>
      </c>
      <c r="E20" s="16">
        <v>12</v>
      </c>
      <c r="F20" s="16">
        <v>1</v>
      </c>
      <c r="G20" s="16">
        <v>4</v>
      </c>
      <c r="H20" s="23">
        <f t="shared" si="2"/>
        <v>201</v>
      </c>
      <c r="I20" s="24">
        <f t="shared" si="0"/>
        <v>67</v>
      </c>
      <c r="J20" s="16">
        <f t="shared" si="1"/>
        <v>23</v>
      </c>
      <c r="K20" s="16" t="str">
        <f t="shared" si="3"/>
        <v>TUNTAS</v>
      </c>
      <c r="L20" s="16" t="str">
        <f t="shared" si="4"/>
        <v xml:space="preserve"> </v>
      </c>
      <c r="N20" s="2">
        <f t="shared" si="5"/>
        <v>6.7</v>
      </c>
    </row>
    <row r="21" spans="1:14">
      <c r="A21" s="16">
        <v>14</v>
      </c>
      <c r="B21" s="20" t="s">
        <v>183</v>
      </c>
      <c r="C21" s="21" t="s">
        <v>1010</v>
      </c>
      <c r="D21" s="22" t="s">
        <v>63</v>
      </c>
      <c r="E21" s="16">
        <v>14</v>
      </c>
      <c r="F21" s="16">
        <v>0</v>
      </c>
      <c r="G21" s="16">
        <v>3</v>
      </c>
      <c r="H21" s="23">
        <f t="shared" si="2"/>
        <v>213</v>
      </c>
      <c r="I21" s="24">
        <f t="shared" si="0"/>
        <v>71</v>
      </c>
      <c r="J21" s="16">
        <f t="shared" si="1"/>
        <v>22</v>
      </c>
      <c r="K21" s="16" t="str">
        <f t="shared" si="3"/>
        <v>TUNTAS</v>
      </c>
      <c r="L21" s="16" t="str">
        <f t="shared" si="4"/>
        <v xml:space="preserve"> </v>
      </c>
      <c r="N21" s="2">
        <f t="shared" si="5"/>
        <v>7.1</v>
      </c>
    </row>
    <row r="22" spans="1:14">
      <c r="A22" s="16">
        <v>15</v>
      </c>
      <c r="B22" s="20" t="s">
        <v>184</v>
      </c>
      <c r="C22" s="21" t="s">
        <v>1011</v>
      </c>
      <c r="D22" s="22" t="s">
        <v>66</v>
      </c>
      <c r="E22" s="16">
        <v>9</v>
      </c>
      <c r="F22" s="16">
        <v>0</v>
      </c>
      <c r="G22" s="16">
        <v>0</v>
      </c>
      <c r="H22" s="23">
        <f t="shared" si="2"/>
        <v>273</v>
      </c>
      <c r="I22" s="24">
        <f t="shared" si="0"/>
        <v>91</v>
      </c>
      <c r="J22" s="16">
        <f t="shared" si="1"/>
        <v>5</v>
      </c>
      <c r="K22" s="16" t="str">
        <f t="shared" si="3"/>
        <v>TUNTAS</v>
      </c>
      <c r="L22" s="16" t="str">
        <f t="shared" si="4"/>
        <v xml:space="preserve"> </v>
      </c>
      <c r="N22" s="2">
        <f t="shared" si="5"/>
        <v>9.1</v>
      </c>
    </row>
    <row r="23" spans="1:14">
      <c r="A23" s="16">
        <v>16</v>
      </c>
      <c r="B23" s="20" t="s">
        <v>187</v>
      </c>
      <c r="C23" s="21" t="s">
        <v>1012</v>
      </c>
      <c r="D23" s="22" t="s">
        <v>69</v>
      </c>
      <c r="E23" s="16">
        <v>5</v>
      </c>
      <c r="F23" s="16">
        <v>3</v>
      </c>
      <c r="G23" s="16">
        <v>2</v>
      </c>
      <c r="H23" s="23">
        <f t="shared" si="2"/>
        <v>246</v>
      </c>
      <c r="I23" s="24">
        <f t="shared" si="0"/>
        <v>82</v>
      </c>
      <c r="J23" s="16">
        <f t="shared" si="1"/>
        <v>16</v>
      </c>
      <c r="K23" s="16" t="str">
        <f t="shared" si="3"/>
        <v>TUNTAS</v>
      </c>
      <c r="L23" s="16" t="str">
        <f t="shared" si="4"/>
        <v xml:space="preserve"> </v>
      </c>
      <c r="N23" s="2">
        <f t="shared" si="5"/>
        <v>8.1999999999999993</v>
      </c>
    </row>
    <row r="24" spans="1:14">
      <c r="A24" s="16">
        <v>17</v>
      </c>
      <c r="B24" s="20" t="s">
        <v>190</v>
      </c>
      <c r="C24" s="26" t="s">
        <v>1013</v>
      </c>
      <c r="D24" s="27" t="s">
        <v>1014</v>
      </c>
      <c r="E24" s="16">
        <v>32</v>
      </c>
      <c r="F24" s="16">
        <v>32</v>
      </c>
      <c r="G24" s="16">
        <v>5</v>
      </c>
      <c r="H24" s="23">
        <f t="shared" si="2"/>
        <v>33</v>
      </c>
      <c r="I24" s="24">
        <f t="shared" si="0"/>
        <v>11</v>
      </c>
      <c r="J24" s="16">
        <f t="shared" si="1"/>
        <v>51</v>
      </c>
      <c r="K24" s="16" t="str">
        <f t="shared" si="3"/>
        <v>TIDAK HADIR</v>
      </c>
      <c r="L24" s="16" t="s">
        <v>1143</v>
      </c>
      <c r="N24" s="2">
        <f t="shared" si="5"/>
        <v>1.1000000000000001</v>
      </c>
    </row>
    <row r="25" spans="1:14">
      <c r="A25" s="28">
        <v>18</v>
      </c>
      <c r="B25" s="20" t="s">
        <v>191</v>
      </c>
      <c r="C25" s="21" t="s">
        <v>1015</v>
      </c>
      <c r="D25" s="22" t="s">
        <v>80</v>
      </c>
      <c r="E25" s="16">
        <v>2</v>
      </c>
      <c r="F25" s="16">
        <v>2</v>
      </c>
      <c r="G25" s="16">
        <v>1</v>
      </c>
      <c r="H25" s="23">
        <f t="shared" si="2"/>
        <v>273</v>
      </c>
      <c r="I25" s="24">
        <f t="shared" si="0"/>
        <v>91</v>
      </c>
      <c r="J25" s="16">
        <f t="shared" si="1"/>
        <v>5</v>
      </c>
      <c r="K25" s="16" t="str">
        <f t="shared" si="3"/>
        <v>TUNTAS</v>
      </c>
      <c r="L25" s="16" t="str">
        <f t="shared" si="4"/>
        <v xml:space="preserve"> </v>
      </c>
      <c r="N25" s="2">
        <f t="shared" si="5"/>
        <v>9.1</v>
      </c>
    </row>
    <row r="26" spans="1:14">
      <c r="A26" s="16">
        <v>19</v>
      </c>
      <c r="B26" s="20" t="s">
        <v>193</v>
      </c>
      <c r="C26" s="21" t="s">
        <v>1016</v>
      </c>
      <c r="D26" s="22" t="s">
        <v>84</v>
      </c>
      <c r="E26" s="16">
        <v>2</v>
      </c>
      <c r="F26" s="16">
        <v>1</v>
      </c>
      <c r="G26" s="16">
        <v>1</v>
      </c>
      <c r="H26" s="23">
        <f t="shared" si="2"/>
        <v>276</v>
      </c>
      <c r="I26" s="24">
        <f t="shared" si="0"/>
        <v>92</v>
      </c>
      <c r="J26" s="16">
        <f t="shared" si="1"/>
        <v>4</v>
      </c>
      <c r="K26" s="16" t="str">
        <f t="shared" si="3"/>
        <v>TUNTAS</v>
      </c>
      <c r="L26" s="16" t="str">
        <f t="shared" si="4"/>
        <v xml:space="preserve"> </v>
      </c>
      <c r="N26" s="2">
        <f t="shared" si="5"/>
        <v>9.1999999999999993</v>
      </c>
    </row>
    <row r="27" spans="1:14">
      <c r="A27" s="16">
        <v>20</v>
      </c>
      <c r="B27" s="20" t="s">
        <v>194</v>
      </c>
      <c r="C27" s="21" t="s">
        <v>1017</v>
      </c>
      <c r="D27" s="22" t="s">
        <v>89</v>
      </c>
      <c r="E27" s="16">
        <v>0</v>
      </c>
      <c r="F27" s="16">
        <v>0</v>
      </c>
      <c r="G27" s="16">
        <v>2</v>
      </c>
      <c r="H27" s="23">
        <f t="shared" si="2"/>
        <v>270</v>
      </c>
      <c r="I27" s="24">
        <f t="shared" si="0"/>
        <v>90</v>
      </c>
      <c r="J27" s="16">
        <f t="shared" si="1"/>
        <v>8</v>
      </c>
      <c r="K27" s="16" t="str">
        <f t="shared" si="3"/>
        <v>TUNTAS</v>
      </c>
      <c r="L27" s="16" t="str">
        <f t="shared" si="4"/>
        <v xml:space="preserve"> </v>
      </c>
      <c r="N27" s="2">
        <f t="shared" si="5"/>
        <v>9</v>
      </c>
    </row>
    <row r="28" spans="1:14">
      <c r="A28" s="16">
        <v>21</v>
      </c>
      <c r="B28" s="20" t="s">
        <v>197</v>
      </c>
      <c r="C28" s="21" t="s">
        <v>1018</v>
      </c>
      <c r="D28" s="22" t="s">
        <v>91</v>
      </c>
      <c r="E28" s="16">
        <v>3</v>
      </c>
      <c r="F28" s="16">
        <v>10</v>
      </c>
      <c r="G28" s="16">
        <v>4</v>
      </c>
      <c r="H28" s="23">
        <f t="shared" si="2"/>
        <v>201</v>
      </c>
      <c r="I28" s="24">
        <f t="shared" si="0"/>
        <v>67</v>
      </c>
      <c r="J28" s="16">
        <f t="shared" si="1"/>
        <v>23</v>
      </c>
      <c r="K28" s="16" t="str">
        <f t="shared" si="3"/>
        <v>TUNTAS</v>
      </c>
      <c r="L28" s="16" t="str">
        <f t="shared" si="4"/>
        <v xml:space="preserve"> </v>
      </c>
      <c r="N28" s="2">
        <f t="shared" si="5"/>
        <v>6.7</v>
      </c>
    </row>
    <row r="29" spans="1:14">
      <c r="A29" s="16">
        <v>22</v>
      </c>
      <c r="B29" s="20" t="s">
        <v>200</v>
      </c>
      <c r="C29" s="26" t="s">
        <v>1019</v>
      </c>
      <c r="D29" s="27" t="s">
        <v>96</v>
      </c>
      <c r="E29" s="16">
        <v>5</v>
      </c>
      <c r="F29" s="16">
        <v>1</v>
      </c>
      <c r="G29" s="16">
        <v>4</v>
      </c>
      <c r="H29" s="23">
        <f t="shared" si="2"/>
        <v>222</v>
      </c>
      <c r="I29" s="24">
        <f t="shared" si="0"/>
        <v>74</v>
      </c>
      <c r="J29" s="16">
        <f t="shared" si="1"/>
        <v>19</v>
      </c>
      <c r="K29" s="16" t="str">
        <f t="shared" si="3"/>
        <v>TUNTAS</v>
      </c>
      <c r="L29" s="16" t="str">
        <f t="shared" si="4"/>
        <v xml:space="preserve"> </v>
      </c>
      <c r="N29" s="2">
        <f t="shared" si="5"/>
        <v>7.4</v>
      </c>
    </row>
    <row r="30" spans="1:14">
      <c r="A30" s="16">
        <v>23</v>
      </c>
      <c r="B30" s="20" t="s">
        <v>202</v>
      </c>
      <c r="C30" s="21" t="s">
        <v>1020</v>
      </c>
      <c r="D30" s="22" t="s">
        <v>100</v>
      </c>
      <c r="E30" s="16">
        <v>4</v>
      </c>
      <c r="F30" s="16">
        <v>0</v>
      </c>
      <c r="G30" s="16">
        <v>2</v>
      </c>
      <c r="H30" s="23">
        <f t="shared" si="2"/>
        <v>258</v>
      </c>
      <c r="I30" s="24">
        <f t="shared" si="0"/>
        <v>86</v>
      </c>
      <c r="J30" s="16">
        <f t="shared" si="1"/>
        <v>13</v>
      </c>
      <c r="K30" s="16" t="str">
        <f t="shared" si="3"/>
        <v>TUNTAS</v>
      </c>
      <c r="L30" s="16" t="str">
        <f t="shared" si="4"/>
        <v xml:space="preserve"> </v>
      </c>
      <c r="N30" s="2">
        <f t="shared" si="5"/>
        <v>8.6</v>
      </c>
    </row>
    <row r="31" spans="1:14">
      <c r="A31" s="16">
        <v>24</v>
      </c>
      <c r="B31" s="20" t="s">
        <v>205</v>
      </c>
      <c r="C31" s="25" t="s">
        <v>1021</v>
      </c>
      <c r="D31" s="22" t="s">
        <v>537</v>
      </c>
      <c r="E31" s="16">
        <v>32</v>
      </c>
      <c r="F31" s="16">
        <v>32</v>
      </c>
      <c r="G31" s="16">
        <v>5</v>
      </c>
      <c r="H31" s="23">
        <f t="shared" si="2"/>
        <v>33</v>
      </c>
      <c r="I31" s="24">
        <f t="shared" si="0"/>
        <v>11</v>
      </c>
      <c r="J31" s="16">
        <f t="shared" si="1"/>
        <v>51</v>
      </c>
      <c r="K31" s="16" t="str">
        <f t="shared" si="3"/>
        <v>TIDAK HADIR</v>
      </c>
      <c r="L31" s="16" t="s">
        <v>1147</v>
      </c>
      <c r="N31" s="2">
        <f t="shared" si="5"/>
        <v>1.1000000000000001</v>
      </c>
    </row>
    <row r="32" spans="1:14">
      <c r="A32" s="16">
        <v>25</v>
      </c>
      <c r="B32" s="20" t="s">
        <v>208</v>
      </c>
      <c r="C32" s="21" t="s">
        <v>1022</v>
      </c>
      <c r="D32" s="22" t="s">
        <v>423</v>
      </c>
      <c r="E32" s="16">
        <v>10</v>
      </c>
      <c r="F32" s="16">
        <v>9</v>
      </c>
      <c r="G32" s="16">
        <v>4</v>
      </c>
      <c r="H32" s="23">
        <f t="shared" si="2"/>
        <v>183</v>
      </c>
      <c r="I32" s="24">
        <f t="shared" si="0"/>
        <v>61</v>
      </c>
      <c r="J32" s="16">
        <f t="shared" si="1"/>
        <v>28</v>
      </c>
      <c r="K32" s="16" t="str">
        <f t="shared" si="3"/>
        <v>TUNTAS</v>
      </c>
      <c r="L32" s="16" t="str">
        <f t="shared" si="4"/>
        <v xml:space="preserve"> </v>
      </c>
      <c r="N32" s="2">
        <f t="shared" si="5"/>
        <v>6.1</v>
      </c>
    </row>
    <row r="33" spans="1:14">
      <c r="A33" s="16">
        <v>26</v>
      </c>
      <c r="B33" s="20" t="s">
        <v>210</v>
      </c>
      <c r="C33" s="21" t="s">
        <v>1023</v>
      </c>
      <c r="D33" s="22" t="s">
        <v>111</v>
      </c>
      <c r="E33" s="16">
        <v>8</v>
      </c>
      <c r="F33" s="16">
        <v>9</v>
      </c>
      <c r="G33" s="16">
        <v>4</v>
      </c>
      <c r="H33" s="23">
        <f t="shared" si="2"/>
        <v>189</v>
      </c>
      <c r="I33" s="24">
        <f t="shared" si="0"/>
        <v>63</v>
      </c>
      <c r="J33" s="16">
        <f t="shared" si="1"/>
        <v>27</v>
      </c>
      <c r="K33" s="16" t="str">
        <f t="shared" si="3"/>
        <v>TUNTAS</v>
      </c>
      <c r="L33" s="16" t="str">
        <f t="shared" si="4"/>
        <v xml:space="preserve"> </v>
      </c>
      <c r="N33" s="2">
        <f t="shared" si="5"/>
        <v>6.3</v>
      </c>
    </row>
    <row r="34" spans="1:14">
      <c r="A34" s="16">
        <v>27</v>
      </c>
      <c r="B34" s="20" t="s">
        <v>213</v>
      </c>
      <c r="C34" s="21" t="s">
        <v>1024</v>
      </c>
      <c r="D34" s="22" t="s">
        <v>115</v>
      </c>
      <c r="E34" s="16">
        <v>1</v>
      </c>
      <c r="F34" s="16">
        <v>1</v>
      </c>
      <c r="G34" s="16">
        <v>2</v>
      </c>
      <c r="H34" s="23">
        <f t="shared" si="2"/>
        <v>264</v>
      </c>
      <c r="I34" s="24">
        <f t="shared" si="0"/>
        <v>88</v>
      </c>
      <c r="J34" s="16">
        <f t="shared" si="1"/>
        <v>10</v>
      </c>
      <c r="K34" s="16" t="str">
        <f t="shared" si="3"/>
        <v>TUNTAS</v>
      </c>
      <c r="L34" s="16" t="str">
        <f t="shared" si="4"/>
        <v xml:space="preserve"> </v>
      </c>
      <c r="N34" s="2">
        <f t="shared" si="5"/>
        <v>8.8000000000000007</v>
      </c>
    </row>
    <row r="35" spans="1:14">
      <c r="A35" s="16">
        <v>28</v>
      </c>
      <c r="B35" s="20" t="s">
        <v>215</v>
      </c>
      <c r="C35" s="25" t="s">
        <v>1025</v>
      </c>
      <c r="D35" s="22" t="s">
        <v>559</v>
      </c>
      <c r="E35" s="16">
        <v>10</v>
      </c>
      <c r="F35" s="16">
        <v>13</v>
      </c>
      <c r="G35" s="16">
        <v>5</v>
      </c>
      <c r="H35" s="23">
        <f t="shared" si="2"/>
        <v>156</v>
      </c>
      <c r="I35" s="24">
        <f t="shared" si="0"/>
        <v>52</v>
      </c>
      <c r="J35" s="16">
        <f t="shared" si="1"/>
        <v>36</v>
      </c>
      <c r="K35" s="16" t="str">
        <f t="shared" si="3"/>
        <v>TIDAK TUNTAS</v>
      </c>
      <c r="L35" s="16" t="str">
        <f t="shared" si="4"/>
        <v xml:space="preserve"> </v>
      </c>
      <c r="N35" s="2">
        <f t="shared" si="5"/>
        <v>5.2</v>
      </c>
    </row>
    <row r="36" spans="1:14">
      <c r="A36" s="16">
        <v>29</v>
      </c>
      <c r="B36" s="20" t="s">
        <v>217</v>
      </c>
      <c r="C36" s="21" t="s">
        <v>1026</v>
      </c>
      <c r="D36" s="22" t="s">
        <v>559</v>
      </c>
      <c r="E36" s="16">
        <v>5</v>
      </c>
      <c r="F36" s="16">
        <v>3</v>
      </c>
      <c r="G36" s="16">
        <v>5</v>
      </c>
      <c r="H36" s="23">
        <f t="shared" si="2"/>
        <v>201</v>
      </c>
      <c r="I36" s="24">
        <f t="shared" si="0"/>
        <v>67</v>
      </c>
      <c r="J36" s="16">
        <f t="shared" si="1"/>
        <v>23</v>
      </c>
      <c r="K36" s="16" t="str">
        <f t="shared" si="3"/>
        <v>TUNTAS</v>
      </c>
      <c r="L36" s="16" t="str">
        <f t="shared" si="4"/>
        <v xml:space="preserve"> </v>
      </c>
      <c r="N36" s="2">
        <f t="shared" si="5"/>
        <v>6.7</v>
      </c>
    </row>
    <row r="37" spans="1:14">
      <c r="A37" s="16">
        <v>30</v>
      </c>
      <c r="B37" s="20" t="s">
        <v>218</v>
      </c>
      <c r="C37" s="21" t="s">
        <v>1027</v>
      </c>
      <c r="D37" s="22" t="s">
        <v>133</v>
      </c>
      <c r="E37" s="16">
        <v>25</v>
      </c>
      <c r="F37" s="16">
        <v>28</v>
      </c>
      <c r="G37" s="16">
        <v>6</v>
      </c>
      <c r="H37" s="23">
        <f t="shared" si="2"/>
        <v>51</v>
      </c>
      <c r="I37" s="24">
        <f t="shared" si="0"/>
        <v>17</v>
      </c>
      <c r="J37" s="16">
        <f t="shared" si="1"/>
        <v>48</v>
      </c>
      <c r="K37" s="16" t="str">
        <f t="shared" si="3"/>
        <v>TIDAK TUNTAS</v>
      </c>
      <c r="L37" s="16" t="str">
        <f t="shared" si="4"/>
        <v>TM</v>
      </c>
      <c r="N37" s="2">
        <f t="shared" si="5"/>
        <v>1.7</v>
      </c>
    </row>
    <row r="38" spans="1:14">
      <c r="A38" s="16">
        <v>31</v>
      </c>
      <c r="B38" s="20" t="s">
        <v>220</v>
      </c>
      <c r="C38" s="21" t="s">
        <v>1028</v>
      </c>
      <c r="D38" s="22" t="s">
        <v>436</v>
      </c>
      <c r="E38" s="16">
        <v>8</v>
      </c>
      <c r="F38" s="16">
        <v>2</v>
      </c>
      <c r="G38" s="16">
        <v>0</v>
      </c>
      <c r="H38" s="23">
        <f t="shared" si="2"/>
        <v>270</v>
      </c>
      <c r="I38" s="24">
        <f t="shared" si="0"/>
        <v>90</v>
      </c>
      <c r="J38" s="16">
        <f t="shared" si="1"/>
        <v>8</v>
      </c>
      <c r="K38" s="16" t="str">
        <f t="shared" si="3"/>
        <v>TUNTAS</v>
      </c>
      <c r="L38" s="16" t="str">
        <f t="shared" si="4"/>
        <v xml:space="preserve"> </v>
      </c>
      <c r="N38" s="2">
        <f t="shared" si="5"/>
        <v>9</v>
      </c>
    </row>
    <row r="39" spans="1:14">
      <c r="A39" s="16">
        <v>32</v>
      </c>
      <c r="B39" s="20" t="s">
        <v>221</v>
      </c>
      <c r="C39" s="26" t="s">
        <v>1029</v>
      </c>
      <c r="D39" s="27" t="s">
        <v>135</v>
      </c>
      <c r="E39" s="16">
        <v>2</v>
      </c>
      <c r="F39" s="16">
        <v>1</v>
      </c>
      <c r="G39" s="16">
        <v>3</v>
      </c>
      <c r="H39" s="23">
        <f t="shared" si="2"/>
        <v>246</v>
      </c>
      <c r="I39" s="24">
        <f t="shared" si="0"/>
        <v>82</v>
      </c>
      <c r="J39" s="16">
        <f t="shared" si="1"/>
        <v>16</v>
      </c>
      <c r="K39" s="16" t="str">
        <f t="shared" si="3"/>
        <v>TUNTAS</v>
      </c>
      <c r="L39" s="16" t="str">
        <f t="shared" si="4"/>
        <v xml:space="preserve"> </v>
      </c>
      <c r="N39" s="2">
        <f t="shared" si="5"/>
        <v>8.1999999999999993</v>
      </c>
    </row>
    <row r="40" spans="1:14">
      <c r="A40" s="16">
        <v>33</v>
      </c>
      <c r="B40" s="20" t="s">
        <v>223</v>
      </c>
      <c r="C40" s="25" t="s">
        <v>1030</v>
      </c>
      <c r="D40" s="22" t="s">
        <v>138</v>
      </c>
      <c r="E40" s="16">
        <v>2</v>
      </c>
      <c r="F40" s="16">
        <v>0</v>
      </c>
      <c r="G40" s="16">
        <v>2</v>
      </c>
      <c r="H40" s="23">
        <f t="shared" si="2"/>
        <v>264</v>
      </c>
      <c r="I40" s="24">
        <f t="shared" si="0"/>
        <v>88</v>
      </c>
      <c r="J40" s="16">
        <f t="shared" ref="J40:J66" si="6">RANK(H40,$H$8:$H$66)</f>
        <v>10</v>
      </c>
      <c r="K40" s="16" t="str">
        <f t="shared" si="3"/>
        <v>TUNTAS</v>
      </c>
      <c r="L40" s="16" t="str">
        <f t="shared" si="4"/>
        <v xml:space="preserve"> </v>
      </c>
      <c r="N40" s="2">
        <f t="shared" si="5"/>
        <v>8.8000000000000007</v>
      </c>
    </row>
    <row r="41" spans="1:14">
      <c r="A41" s="16">
        <v>34</v>
      </c>
      <c r="B41" s="20" t="s">
        <v>225</v>
      </c>
      <c r="C41" s="21" t="s">
        <v>1031</v>
      </c>
      <c r="D41" s="22" t="s">
        <v>144</v>
      </c>
      <c r="E41" s="16">
        <v>1</v>
      </c>
      <c r="F41" s="16">
        <v>1</v>
      </c>
      <c r="G41" s="16">
        <v>3</v>
      </c>
      <c r="H41" s="23">
        <f t="shared" si="2"/>
        <v>249</v>
      </c>
      <c r="I41" s="24">
        <f t="shared" si="0"/>
        <v>83</v>
      </c>
      <c r="J41" s="16">
        <f t="shared" si="6"/>
        <v>15</v>
      </c>
      <c r="K41" s="16" t="str">
        <f t="shared" si="3"/>
        <v>TUNTAS</v>
      </c>
      <c r="L41" s="16" t="str">
        <f t="shared" si="4"/>
        <v xml:space="preserve"> </v>
      </c>
      <c r="N41" s="2">
        <f t="shared" si="5"/>
        <v>8.3000000000000007</v>
      </c>
    </row>
    <row r="42" spans="1:14">
      <c r="A42" s="16">
        <v>35</v>
      </c>
      <c r="B42" s="20" t="s">
        <v>226</v>
      </c>
      <c r="C42" s="21" t="s">
        <v>1032</v>
      </c>
      <c r="D42" s="22" t="s">
        <v>146</v>
      </c>
      <c r="E42" s="16">
        <v>11</v>
      </c>
      <c r="F42" s="16">
        <v>2</v>
      </c>
      <c r="G42" s="16">
        <v>3</v>
      </c>
      <c r="H42" s="23">
        <f t="shared" si="2"/>
        <v>216</v>
      </c>
      <c r="I42" s="24">
        <f t="shared" si="0"/>
        <v>72</v>
      </c>
      <c r="J42" s="16">
        <f t="shared" si="6"/>
        <v>21</v>
      </c>
      <c r="K42" s="16" t="str">
        <f t="shared" si="3"/>
        <v>TUNTAS</v>
      </c>
      <c r="L42" s="16" t="str">
        <f t="shared" si="4"/>
        <v xml:space="preserve"> </v>
      </c>
      <c r="N42" s="2">
        <f t="shared" si="5"/>
        <v>7.2</v>
      </c>
    </row>
    <row r="43" spans="1:14">
      <c r="A43" s="16">
        <v>36</v>
      </c>
      <c r="B43" s="20" t="s">
        <v>228</v>
      </c>
      <c r="C43" s="21" t="s">
        <v>1033</v>
      </c>
      <c r="D43" s="22" t="s">
        <v>155</v>
      </c>
      <c r="E43" s="16">
        <v>16</v>
      </c>
      <c r="F43" s="16">
        <v>15</v>
      </c>
      <c r="G43" s="16">
        <v>5</v>
      </c>
      <c r="H43" s="23">
        <f t="shared" si="2"/>
        <v>132</v>
      </c>
      <c r="I43" s="24">
        <f t="shared" si="0"/>
        <v>44</v>
      </c>
      <c r="J43" s="16">
        <f t="shared" si="6"/>
        <v>42</v>
      </c>
      <c r="K43" s="16" t="str">
        <f t="shared" si="3"/>
        <v>TIDAK TUNTAS</v>
      </c>
      <c r="L43" s="16" t="str">
        <f t="shared" si="4"/>
        <v xml:space="preserve"> </v>
      </c>
      <c r="N43" s="2">
        <f t="shared" si="5"/>
        <v>4.4000000000000004</v>
      </c>
    </row>
    <row r="44" spans="1:14">
      <c r="A44" s="16">
        <v>37</v>
      </c>
      <c r="B44" s="20" t="s">
        <v>229</v>
      </c>
      <c r="C44" s="21" t="s">
        <v>157</v>
      </c>
      <c r="D44" s="22" t="s">
        <v>155</v>
      </c>
      <c r="E44" s="16">
        <v>31</v>
      </c>
      <c r="F44" s="16">
        <v>31</v>
      </c>
      <c r="G44" s="16">
        <v>5</v>
      </c>
      <c r="H44" s="23">
        <f t="shared" si="2"/>
        <v>39</v>
      </c>
      <c r="I44" s="24">
        <f t="shared" si="0"/>
        <v>13</v>
      </c>
      <c r="J44" s="16">
        <f t="shared" si="6"/>
        <v>49</v>
      </c>
      <c r="K44" s="16" t="str">
        <f t="shared" si="3"/>
        <v>TIDAK BACA</v>
      </c>
      <c r="L44" s="16" t="str">
        <f t="shared" si="4"/>
        <v xml:space="preserve"> </v>
      </c>
      <c r="N44" s="2">
        <f t="shared" si="5"/>
        <v>1.3</v>
      </c>
    </row>
    <row r="45" spans="1:14">
      <c r="A45" s="16">
        <v>38</v>
      </c>
      <c r="B45" s="20" t="s">
        <v>231</v>
      </c>
      <c r="C45" s="21" t="s">
        <v>1034</v>
      </c>
      <c r="D45" s="22" t="s">
        <v>160</v>
      </c>
      <c r="E45" s="16">
        <v>5</v>
      </c>
      <c r="F45" s="16">
        <v>5</v>
      </c>
      <c r="G45" s="16">
        <v>6</v>
      </c>
      <c r="H45" s="23">
        <f t="shared" si="2"/>
        <v>180</v>
      </c>
      <c r="I45" s="24">
        <f t="shared" si="0"/>
        <v>60</v>
      </c>
      <c r="J45" s="16">
        <f t="shared" si="6"/>
        <v>29</v>
      </c>
      <c r="K45" s="16" t="str">
        <f t="shared" si="3"/>
        <v>TUNTAS</v>
      </c>
      <c r="L45" s="16" t="str">
        <f t="shared" si="4"/>
        <v>TM</v>
      </c>
      <c r="N45" s="2">
        <f t="shared" si="5"/>
        <v>6</v>
      </c>
    </row>
    <row r="46" spans="1:14">
      <c r="A46" s="16">
        <v>39</v>
      </c>
      <c r="B46" s="20" t="s">
        <v>233</v>
      </c>
      <c r="C46" s="21" t="s">
        <v>1035</v>
      </c>
      <c r="D46" s="22" t="s">
        <v>447</v>
      </c>
      <c r="E46" s="16">
        <v>16</v>
      </c>
      <c r="F46" s="16">
        <v>13</v>
      </c>
      <c r="G46" s="16">
        <v>5</v>
      </c>
      <c r="H46" s="23">
        <f t="shared" si="2"/>
        <v>138</v>
      </c>
      <c r="I46" s="24">
        <f t="shared" si="0"/>
        <v>46</v>
      </c>
      <c r="J46" s="16">
        <f t="shared" si="6"/>
        <v>40</v>
      </c>
      <c r="K46" s="16" t="str">
        <f t="shared" si="3"/>
        <v>TIDAK TUNTAS</v>
      </c>
      <c r="L46" s="16" t="str">
        <f t="shared" si="4"/>
        <v xml:space="preserve"> </v>
      </c>
      <c r="N46" s="2">
        <f t="shared" si="5"/>
        <v>4.5999999999999996</v>
      </c>
    </row>
    <row r="47" spans="1:14">
      <c r="A47" s="16">
        <v>40</v>
      </c>
      <c r="B47" s="20" t="s">
        <v>234</v>
      </c>
      <c r="C47" s="21" t="s">
        <v>1036</v>
      </c>
      <c r="D47" s="22" t="s">
        <v>330</v>
      </c>
      <c r="E47" s="16">
        <v>13</v>
      </c>
      <c r="F47" s="16">
        <v>20</v>
      </c>
      <c r="G47" s="16">
        <v>4</v>
      </c>
      <c r="H47" s="23">
        <f t="shared" si="2"/>
        <v>141</v>
      </c>
      <c r="I47" s="24">
        <f t="shared" si="0"/>
        <v>47</v>
      </c>
      <c r="J47" s="16">
        <f t="shared" si="6"/>
        <v>39</v>
      </c>
      <c r="K47" s="16" t="str">
        <f t="shared" si="3"/>
        <v>TIDAK TUNTAS</v>
      </c>
      <c r="L47" s="16" t="str">
        <f t="shared" si="4"/>
        <v xml:space="preserve"> </v>
      </c>
      <c r="N47" s="2">
        <f t="shared" si="5"/>
        <v>4.7</v>
      </c>
    </row>
    <row r="48" spans="1:14">
      <c r="A48" s="16">
        <v>41</v>
      </c>
      <c r="B48" s="20" t="s">
        <v>237</v>
      </c>
      <c r="C48" s="26" t="s">
        <v>437</v>
      </c>
      <c r="D48" s="27" t="s">
        <v>171</v>
      </c>
      <c r="E48" s="16">
        <v>9</v>
      </c>
      <c r="F48" s="16">
        <v>17</v>
      </c>
      <c r="G48" s="16">
        <v>4</v>
      </c>
      <c r="H48" s="23">
        <f t="shared" si="2"/>
        <v>162</v>
      </c>
      <c r="I48" s="24">
        <f t="shared" si="0"/>
        <v>54</v>
      </c>
      <c r="J48" s="16">
        <f t="shared" si="6"/>
        <v>32</v>
      </c>
      <c r="K48" s="16" t="str">
        <f t="shared" si="3"/>
        <v>TIDAK TUNTAS</v>
      </c>
      <c r="L48" s="16" t="str">
        <f t="shared" si="4"/>
        <v xml:space="preserve"> </v>
      </c>
      <c r="N48" s="2">
        <f t="shared" si="5"/>
        <v>5.4</v>
      </c>
    </row>
    <row r="49" spans="1:14">
      <c r="A49" s="16">
        <v>42</v>
      </c>
      <c r="B49" s="20" t="s">
        <v>239</v>
      </c>
      <c r="C49" s="21" t="s">
        <v>1037</v>
      </c>
      <c r="D49" s="22" t="s">
        <v>1038</v>
      </c>
      <c r="E49" s="16">
        <v>4</v>
      </c>
      <c r="F49" s="16">
        <v>6</v>
      </c>
      <c r="G49" s="16">
        <v>3</v>
      </c>
      <c r="H49" s="23">
        <f t="shared" si="2"/>
        <v>225</v>
      </c>
      <c r="I49" s="24">
        <f t="shared" si="0"/>
        <v>75</v>
      </c>
      <c r="J49" s="16">
        <f t="shared" si="6"/>
        <v>18</v>
      </c>
      <c r="K49" s="16" t="str">
        <f t="shared" si="3"/>
        <v>TUNTAS</v>
      </c>
      <c r="L49" s="16" t="str">
        <f t="shared" si="4"/>
        <v xml:space="preserve"> </v>
      </c>
      <c r="N49" s="2">
        <f t="shared" si="5"/>
        <v>7.5</v>
      </c>
    </row>
    <row r="50" spans="1:14">
      <c r="A50" s="16">
        <v>43</v>
      </c>
      <c r="B50" s="20" t="s">
        <v>242</v>
      </c>
      <c r="C50" s="21" t="s">
        <v>1039</v>
      </c>
      <c r="D50" s="22" t="s">
        <v>341</v>
      </c>
      <c r="E50" s="16">
        <v>11</v>
      </c>
      <c r="F50" s="16">
        <v>17</v>
      </c>
      <c r="G50" s="16">
        <v>6</v>
      </c>
      <c r="H50" s="23">
        <f t="shared" si="2"/>
        <v>126</v>
      </c>
      <c r="I50" s="24">
        <f t="shared" si="0"/>
        <v>42</v>
      </c>
      <c r="J50" s="16">
        <f t="shared" si="6"/>
        <v>43</v>
      </c>
      <c r="K50" s="16" t="str">
        <f t="shared" si="3"/>
        <v>TIDAK TUNTAS</v>
      </c>
      <c r="L50" s="16" t="str">
        <f t="shared" si="4"/>
        <v>TM</v>
      </c>
      <c r="N50" s="2">
        <f t="shared" si="5"/>
        <v>4.2</v>
      </c>
    </row>
    <row r="51" spans="1:14">
      <c r="A51" s="16">
        <v>44</v>
      </c>
      <c r="B51" s="20" t="s">
        <v>244</v>
      </c>
      <c r="C51" s="21" t="s">
        <v>1040</v>
      </c>
      <c r="D51" s="22" t="s">
        <v>346</v>
      </c>
      <c r="E51" s="16">
        <v>4</v>
      </c>
      <c r="F51" s="16">
        <v>7</v>
      </c>
      <c r="G51" s="16">
        <v>3</v>
      </c>
      <c r="H51" s="23">
        <f t="shared" si="2"/>
        <v>222</v>
      </c>
      <c r="I51" s="24">
        <f t="shared" si="0"/>
        <v>74</v>
      </c>
      <c r="J51" s="16">
        <f t="shared" si="6"/>
        <v>19</v>
      </c>
      <c r="K51" s="16" t="str">
        <f t="shared" si="3"/>
        <v>TUNTAS</v>
      </c>
      <c r="L51" s="16" t="str">
        <f t="shared" si="4"/>
        <v xml:space="preserve"> </v>
      </c>
      <c r="N51" s="2">
        <f t="shared" si="5"/>
        <v>7.4</v>
      </c>
    </row>
    <row r="52" spans="1:14">
      <c r="A52" s="16">
        <v>45</v>
      </c>
      <c r="B52" s="20" t="s">
        <v>246</v>
      </c>
      <c r="C52" s="26" t="s">
        <v>1041</v>
      </c>
      <c r="D52" s="27" t="s">
        <v>348</v>
      </c>
      <c r="E52" s="16">
        <v>1</v>
      </c>
      <c r="F52" s="16">
        <v>2</v>
      </c>
      <c r="G52" s="16">
        <v>0</v>
      </c>
      <c r="H52" s="23">
        <f t="shared" si="2"/>
        <v>291</v>
      </c>
      <c r="I52" s="24">
        <f t="shared" si="0"/>
        <v>97</v>
      </c>
      <c r="J52" s="16">
        <f t="shared" si="6"/>
        <v>2</v>
      </c>
      <c r="K52" s="16" t="str">
        <f t="shared" si="3"/>
        <v>TUNTAS</v>
      </c>
      <c r="L52" s="16" t="str">
        <f t="shared" si="4"/>
        <v xml:space="preserve"> </v>
      </c>
      <c r="N52" s="2">
        <f t="shared" si="5"/>
        <v>9.6999999999999993</v>
      </c>
    </row>
    <row r="53" spans="1:14">
      <c r="A53" s="16">
        <v>46</v>
      </c>
      <c r="B53" s="20" t="s">
        <v>248</v>
      </c>
      <c r="C53" s="25" t="s">
        <v>1042</v>
      </c>
      <c r="D53" s="22" t="s">
        <v>350</v>
      </c>
      <c r="E53" s="16">
        <v>14</v>
      </c>
      <c r="F53" s="16">
        <v>16</v>
      </c>
      <c r="G53" s="16">
        <v>5</v>
      </c>
      <c r="H53" s="23">
        <f t="shared" si="2"/>
        <v>135</v>
      </c>
      <c r="I53" s="24">
        <f t="shared" si="0"/>
        <v>45</v>
      </c>
      <c r="J53" s="16">
        <f t="shared" si="6"/>
        <v>41</v>
      </c>
      <c r="K53" s="16" t="str">
        <f t="shared" si="3"/>
        <v>TIDAK TUNTAS</v>
      </c>
      <c r="L53" s="16" t="str">
        <f t="shared" si="4"/>
        <v xml:space="preserve"> </v>
      </c>
      <c r="N53" s="2">
        <f t="shared" si="5"/>
        <v>4.5</v>
      </c>
    </row>
    <row r="54" spans="1:14">
      <c r="A54" s="16">
        <v>47</v>
      </c>
      <c r="B54" s="20" t="s">
        <v>249</v>
      </c>
      <c r="C54" s="21" t="s">
        <v>1043</v>
      </c>
      <c r="D54" s="22" t="s">
        <v>186</v>
      </c>
      <c r="E54" s="16">
        <v>17</v>
      </c>
      <c r="F54" s="16">
        <v>13</v>
      </c>
      <c r="G54" s="16">
        <v>6</v>
      </c>
      <c r="H54" s="23">
        <f t="shared" si="2"/>
        <v>120</v>
      </c>
      <c r="I54" s="24">
        <f t="shared" si="0"/>
        <v>40</v>
      </c>
      <c r="J54" s="16">
        <f t="shared" si="6"/>
        <v>44</v>
      </c>
      <c r="K54" s="16" t="str">
        <f t="shared" si="3"/>
        <v>TIDAK TUNTAS</v>
      </c>
      <c r="L54" s="16" t="str">
        <f t="shared" si="4"/>
        <v>TM</v>
      </c>
      <c r="N54" s="2">
        <f t="shared" si="5"/>
        <v>4</v>
      </c>
    </row>
    <row r="55" spans="1:14">
      <c r="A55" s="16">
        <v>48</v>
      </c>
      <c r="B55" s="20" t="s">
        <v>251</v>
      </c>
      <c r="C55" s="21" t="s">
        <v>1044</v>
      </c>
      <c r="D55" s="22" t="s">
        <v>355</v>
      </c>
      <c r="E55" s="16">
        <v>32</v>
      </c>
      <c r="F55" s="16">
        <v>32</v>
      </c>
      <c r="G55" s="16">
        <v>5</v>
      </c>
      <c r="H55" s="23">
        <f t="shared" si="2"/>
        <v>33</v>
      </c>
      <c r="I55" s="24">
        <f t="shared" si="0"/>
        <v>11</v>
      </c>
      <c r="J55" s="16">
        <f t="shared" si="6"/>
        <v>51</v>
      </c>
      <c r="K55" s="16" t="str">
        <f t="shared" si="3"/>
        <v>TIDAK HADIR</v>
      </c>
      <c r="L55" s="16" t="s">
        <v>1144</v>
      </c>
      <c r="N55" s="2">
        <f t="shared" si="5"/>
        <v>1.1000000000000001</v>
      </c>
    </row>
    <row r="56" spans="1:14">
      <c r="A56" s="16">
        <v>49</v>
      </c>
      <c r="B56" s="20" t="s">
        <v>254</v>
      </c>
      <c r="C56" s="21" t="s">
        <v>1045</v>
      </c>
      <c r="D56" s="22" t="s">
        <v>189</v>
      </c>
      <c r="E56" s="16">
        <v>21</v>
      </c>
      <c r="F56" s="16">
        <v>21</v>
      </c>
      <c r="G56" s="16">
        <v>5</v>
      </c>
      <c r="H56" s="23">
        <f t="shared" si="2"/>
        <v>99</v>
      </c>
      <c r="I56" s="24">
        <f t="shared" si="0"/>
        <v>33</v>
      </c>
      <c r="J56" s="16">
        <f t="shared" si="6"/>
        <v>46</v>
      </c>
      <c r="K56" s="16" t="str">
        <f t="shared" si="3"/>
        <v>TIDAK TUNTAS</v>
      </c>
      <c r="L56" s="16" t="str">
        <f t="shared" si="4"/>
        <v xml:space="preserve"> </v>
      </c>
      <c r="N56" s="2">
        <f t="shared" si="5"/>
        <v>3.3</v>
      </c>
    </row>
    <row r="57" spans="1:14">
      <c r="A57" s="16">
        <v>50</v>
      </c>
      <c r="B57" s="20" t="s">
        <v>256</v>
      </c>
      <c r="C57" s="26" t="s">
        <v>1046</v>
      </c>
      <c r="D57" s="27" t="s">
        <v>803</v>
      </c>
      <c r="E57" s="16">
        <v>13</v>
      </c>
      <c r="F57" s="16">
        <v>14</v>
      </c>
      <c r="G57" s="16">
        <v>5</v>
      </c>
      <c r="H57" s="23">
        <f t="shared" si="2"/>
        <v>144</v>
      </c>
      <c r="I57" s="24">
        <f t="shared" si="0"/>
        <v>48</v>
      </c>
      <c r="J57" s="16">
        <f t="shared" si="6"/>
        <v>38</v>
      </c>
      <c r="K57" s="16" t="str">
        <f t="shared" si="3"/>
        <v>TIDAK TUNTAS</v>
      </c>
      <c r="L57" s="16" t="str">
        <f t="shared" si="4"/>
        <v xml:space="preserve"> </v>
      </c>
      <c r="N57" s="2">
        <f t="shared" si="5"/>
        <v>4.8</v>
      </c>
    </row>
    <row r="58" spans="1:14">
      <c r="A58" s="16">
        <v>51</v>
      </c>
      <c r="B58" s="20" t="s">
        <v>258</v>
      </c>
      <c r="C58" s="21" t="s">
        <v>1047</v>
      </c>
      <c r="D58" s="22" t="s">
        <v>199</v>
      </c>
      <c r="E58" s="16">
        <v>22</v>
      </c>
      <c r="F58" s="16">
        <v>21</v>
      </c>
      <c r="G58" s="16">
        <v>6</v>
      </c>
      <c r="H58" s="23">
        <f t="shared" si="2"/>
        <v>81</v>
      </c>
      <c r="I58" s="24">
        <f t="shared" si="0"/>
        <v>27</v>
      </c>
      <c r="J58" s="16">
        <f t="shared" si="6"/>
        <v>47</v>
      </c>
      <c r="K58" s="16" t="str">
        <f t="shared" si="3"/>
        <v>TIDAK TUNTAS</v>
      </c>
      <c r="L58" s="16" t="str">
        <f t="shared" si="4"/>
        <v>TM</v>
      </c>
      <c r="N58" s="2">
        <f t="shared" si="5"/>
        <v>2.7</v>
      </c>
    </row>
    <row r="59" spans="1:14">
      <c r="A59" s="16">
        <v>52</v>
      </c>
      <c r="B59" s="20" t="s">
        <v>260</v>
      </c>
      <c r="C59" s="26" t="s">
        <v>1048</v>
      </c>
      <c r="D59" s="27" t="s">
        <v>201</v>
      </c>
      <c r="E59" s="16">
        <v>32</v>
      </c>
      <c r="F59" s="16">
        <v>32</v>
      </c>
      <c r="G59" s="16">
        <v>5</v>
      </c>
      <c r="H59" s="23">
        <f t="shared" si="2"/>
        <v>33</v>
      </c>
      <c r="I59" s="24">
        <f t="shared" si="0"/>
        <v>11</v>
      </c>
      <c r="J59" s="16">
        <f t="shared" si="6"/>
        <v>51</v>
      </c>
      <c r="K59" s="16" t="str">
        <f t="shared" si="3"/>
        <v>TIDAK HADIR</v>
      </c>
      <c r="L59" s="16" t="s">
        <v>1144</v>
      </c>
      <c r="N59" s="2">
        <f t="shared" si="5"/>
        <v>1.1000000000000001</v>
      </c>
    </row>
    <row r="60" spans="1:14">
      <c r="A60" s="16">
        <v>53</v>
      </c>
      <c r="B60" s="20" t="s">
        <v>262</v>
      </c>
      <c r="C60" s="21" t="s">
        <v>370</v>
      </c>
      <c r="D60" s="22" t="s">
        <v>368</v>
      </c>
      <c r="E60" s="16">
        <v>32</v>
      </c>
      <c r="F60" s="16">
        <v>32</v>
      </c>
      <c r="G60" s="16">
        <v>5</v>
      </c>
      <c r="H60" s="23">
        <f t="shared" si="2"/>
        <v>33</v>
      </c>
      <c r="I60" s="24">
        <f t="shared" si="0"/>
        <v>11</v>
      </c>
      <c r="J60" s="16">
        <f t="shared" si="6"/>
        <v>51</v>
      </c>
      <c r="K60" s="16" t="str">
        <f t="shared" si="3"/>
        <v>TIDAK HADIR</v>
      </c>
      <c r="L60" s="16" t="str">
        <f t="shared" si="4"/>
        <v xml:space="preserve"> </v>
      </c>
      <c r="N60" s="2">
        <f t="shared" si="5"/>
        <v>1.1000000000000001</v>
      </c>
    </row>
    <row r="61" spans="1:14">
      <c r="A61" s="16">
        <v>54</v>
      </c>
      <c r="B61" s="20" t="s">
        <v>264</v>
      </c>
      <c r="C61" s="21" t="s">
        <v>1049</v>
      </c>
      <c r="D61" s="22" t="s">
        <v>368</v>
      </c>
      <c r="E61" s="16">
        <v>10</v>
      </c>
      <c r="F61" s="16">
        <v>7</v>
      </c>
      <c r="G61" s="16">
        <v>5</v>
      </c>
      <c r="H61" s="23">
        <f t="shared" si="2"/>
        <v>174</v>
      </c>
      <c r="I61" s="24">
        <f t="shared" si="0"/>
        <v>58</v>
      </c>
      <c r="J61" s="16">
        <f t="shared" si="6"/>
        <v>31</v>
      </c>
      <c r="K61" s="16" t="str">
        <f t="shared" si="3"/>
        <v>TIDAK TUNTAS</v>
      </c>
      <c r="L61" s="16" t="str">
        <f t="shared" si="4"/>
        <v xml:space="preserve"> </v>
      </c>
      <c r="N61" s="2">
        <f t="shared" si="5"/>
        <v>5.8</v>
      </c>
    </row>
    <row r="62" spans="1:14">
      <c r="A62" s="16">
        <v>55</v>
      </c>
      <c r="B62" s="20" t="s">
        <v>266</v>
      </c>
      <c r="C62" s="26" t="s">
        <v>1050</v>
      </c>
      <c r="D62" s="27" t="s">
        <v>204</v>
      </c>
      <c r="E62" s="16">
        <v>8</v>
      </c>
      <c r="F62" s="16">
        <v>14</v>
      </c>
      <c r="G62" s="16">
        <v>5</v>
      </c>
      <c r="H62" s="23">
        <f t="shared" si="2"/>
        <v>159</v>
      </c>
      <c r="I62" s="24">
        <f t="shared" si="0"/>
        <v>53</v>
      </c>
      <c r="J62" s="16">
        <f t="shared" si="6"/>
        <v>33</v>
      </c>
      <c r="K62" s="16" t="str">
        <f t="shared" si="3"/>
        <v>TIDAK TUNTAS</v>
      </c>
      <c r="L62" s="16" t="str">
        <f t="shared" si="4"/>
        <v xml:space="preserve"> </v>
      </c>
      <c r="N62" s="2">
        <f t="shared" si="5"/>
        <v>5.3</v>
      </c>
    </row>
    <row r="63" spans="1:14">
      <c r="A63" s="16">
        <v>56</v>
      </c>
      <c r="B63" s="20" t="s">
        <v>268</v>
      </c>
      <c r="C63" s="21" t="s">
        <v>1051</v>
      </c>
      <c r="D63" s="22" t="s">
        <v>204</v>
      </c>
      <c r="E63" s="16">
        <v>32</v>
      </c>
      <c r="F63" s="16">
        <v>32</v>
      </c>
      <c r="G63" s="16">
        <v>5</v>
      </c>
      <c r="H63" s="23">
        <f t="shared" si="2"/>
        <v>33</v>
      </c>
      <c r="I63" s="24">
        <f t="shared" si="0"/>
        <v>11</v>
      </c>
      <c r="J63" s="16">
        <f t="shared" si="6"/>
        <v>51</v>
      </c>
      <c r="K63" s="16" t="str">
        <f t="shared" si="3"/>
        <v>TIDAK HADIR</v>
      </c>
      <c r="L63" s="16" t="s">
        <v>1144</v>
      </c>
      <c r="N63" s="2">
        <f t="shared" si="5"/>
        <v>1.1000000000000001</v>
      </c>
    </row>
    <row r="64" spans="1:14">
      <c r="A64" s="16">
        <v>57</v>
      </c>
      <c r="B64" s="20" t="s">
        <v>270</v>
      </c>
      <c r="C64" s="21" t="s">
        <v>1052</v>
      </c>
      <c r="D64" s="22" t="s">
        <v>207</v>
      </c>
      <c r="E64" s="16">
        <v>11</v>
      </c>
      <c r="F64" s="16">
        <v>5</v>
      </c>
      <c r="G64" s="16">
        <v>4</v>
      </c>
      <c r="H64" s="23">
        <f t="shared" si="2"/>
        <v>192</v>
      </c>
      <c r="I64" s="24">
        <f t="shared" si="0"/>
        <v>64</v>
      </c>
      <c r="J64" s="16">
        <f t="shared" si="6"/>
        <v>26</v>
      </c>
      <c r="K64" s="16" t="str">
        <f t="shared" si="3"/>
        <v>TUNTAS</v>
      </c>
      <c r="L64" s="16" t="str">
        <f t="shared" si="4"/>
        <v xml:space="preserve"> </v>
      </c>
      <c r="N64" s="2">
        <f t="shared" si="5"/>
        <v>6.4</v>
      </c>
    </row>
    <row r="65" spans="1:14">
      <c r="A65" s="16">
        <v>58</v>
      </c>
      <c r="B65" s="20" t="s">
        <v>271</v>
      </c>
      <c r="C65" s="26" t="s">
        <v>1053</v>
      </c>
      <c r="D65" s="27" t="s">
        <v>377</v>
      </c>
      <c r="E65" s="16">
        <v>10</v>
      </c>
      <c r="F65" s="16">
        <v>8</v>
      </c>
      <c r="G65" s="16">
        <v>6</v>
      </c>
      <c r="H65" s="23">
        <f t="shared" si="2"/>
        <v>156</v>
      </c>
      <c r="I65" s="24">
        <f t="shared" si="0"/>
        <v>52</v>
      </c>
      <c r="J65" s="16">
        <f t="shared" si="6"/>
        <v>36</v>
      </c>
      <c r="K65" s="16" t="str">
        <f t="shared" si="3"/>
        <v>TIDAK TUNTAS</v>
      </c>
      <c r="L65" s="16" t="str">
        <f t="shared" si="4"/>
        <v>TM</v>
      </c>
      <c r="N65" s="2">
        <f t="shared" si="5"/>
        <v>5.2</v>
      </c>
    </row>
    <row r="66" spans="1:14">
      <c r="A66" s="16">
        <v>59</v>
      </c>
      <c r="B66" s="20" t="s">
        <v>273</v>
      </c>
      <c r="C66" s="21" t="s">
        <v>1054</v>
      </c>
      <c r="D66" s="22" t="s">
        <v>212</v>
      </c>
      <c r="E66" s="16">
        <v>32</v>
      </c>
      <c r="F66" s="16">
        <v>32</v>
      </c>
      <c r="G66" s="16">
        <v>5</v>
      </c>
      <c r="H66" s="23">
        <f t="shared" si="2"/>
        <v>33</v>
      </c>
      <c r="I66" s="24">
        <f t="shared" si="0"/>
        <v>11</v>
      </c>
      <c r="J66" s="16">
        <f t="shared" si="6"/>
        <v>51</v>
      </c>
      <c r="K66" s="16" t="str">
        <f t="shared" si="3"/>
        <v>TIDAK HADIR</v>
      </c>
      <c r="L66" s="16" t="s">
        <v>1143</v>
      </c>
      <c r="N66" s="2">
        <f t="shared" si="5"/>
        <v>1.1000000000000001</v>
      </c>
    </row>
  </sheetData>
  <autoFilter ref="B5:L7" xr:uid="{00000000-0001-0000-0200-000000000000}">
    <filterColumn colId="3" showButton="0"/>
    <filterColumn colId="4" showButton="0"/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69" priority="9" operator="equal">
      <formula>0</formula>
    </cfRule>
  </conditionalFormatting>
  <conditionalFormatting sqref="I5:I7">
    <cfRule type="cellIs" dxfId="68" priority="10" operator="lessThan">
      <formula>100</formula>
    </cfRule>
  </conditionalFormatting>
  <conditionalFormatting sqref="I5:I66">
    <cfRule type="cellIs" dxfId="67" priority="7" operator="lessThan">
      <formula>60</formula>
    </cfRule>
  </conditionalFormatting>
  <conditionalFormatting sqref="I8:I66">
    <cfRule type="cellIs" dxfId="66" priority="6" operator="lessThan">
      <formula>60</formula>
    </cfRule>
    <cfRule type="cellIs" dxfId="65" priority="8" operator="lessThan">
      <formula>50</formula>
    </cfRule>
  </conditionalFormatting>
  <conditionalFormatting sqref="K8:K66">
    <cfRule type="cellIs" dxfId="64" priority="1" operator="equal">
      <formula>"TIDAK BACA"</formula>
    </cfRule>
    <cfRule type="cellIs" dxfId="63" priority="2" operator="equal">
      <formula>"TIDAK TUNTAS"</formula>
    </cfRule>
    <cfRule type="cellIs" dxfId="62" priority="3" operator="equal">
      <formula>"TUNTAS"</formula>
    </cfRule>
    <cfRule type="cellIs" dxfId="61" priority="4" operator="equal">
      <formula>"TIDAK HADIR"</formula>
    </cfRule>
    <cfRule type="cellIs" dxfId="6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DB8D0F90-6DEB-4AD6-9680-F944F31C7AC7}"/>
  </dataValidations>
  <pageMargins left="0.7" right="0.7" top="0.75" bottom="0.75" header="0.3" footer="0.3"/>
  <pageSetup paperSize="9"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N72"/>
  <sheetViews>
    <sheetView zoomScale="106" zoomScaleNormal="106" workbookViewId="0">
      <pane xSplit="1" ySplit="7" topLeftCell="B8" activePane="bottomRight" state="frozen"/>
      <selection activeCell="N8" sqref="N8:N66"/>
      <selection pane="topRight" activeCell="N8" sqref="N8:N66"/>
      <selection pane="bottomLeft" activeCell="N8" sqref="N8:N66"/>
      <selection pane="bottomRight" activeCell="N8" sqref="N8:N66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4.140625" style="2" customWidth="1"/>
    <col min="12" max="12" width="9.85546875" style="31" bestFit="1" customWidth="1"/>
    <col min="13" max="16384" width="9.140625" style="2"/>
  </cols>
  <sheetData>
    <row r="1" spans="1:14" ht="16.5">
      <c r="A1" s="12" t="s">
        <v>940</v>
      </c>
      <c r="B1" s="13"/>
      <c r="C1" s="14"/>
      <c r="D1" s="13"/>
      <c r="E1" s="13"/>
      <c r="F1" s="13"/>
      <c r="G1" s="13"/>
      <c r="H1" s="13"/>
      <c r="I1" s="13"/>
      <c r="J1" s="13"/>
      <c r="K1" s="13"/>
      <c r="L1" s="30"/>
    </row>
    <row r="2" spans="1:14" s="1" customFormat="1" ht="15.75" customHeight="1">
      <c r="A2" s="12" t="s">
        <v>941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30"/>
    </row>
    <row r="3" spans="1:14" s="1" customFormat="1" ht="16.5">
      <c r="A3" s="15" t="s">
        <v>942</v>
      </c>
      <c r="B3" s="13"/>
      <c r="C3" s="14"/>
      <c r="D3" s="13"/>
      <c r="E3" s="13"/>
      <c r="F3" s="13"/>
      <c r="G3" s="13"/>
      <c r="H3" s="13"/>
      <c r="I3" s="13"/>
      <c r="J3" s="13"/>
      <c r="K3" s="13"/>
      <c r="L3" s="30"/>
    </row>
    <row r="4" spans="1:14" s="32" customFormat="1" ht="19.899999999999999" customHeight="1">
      <c r="A4" s="48" t="s">
        <v>1139</v>
      </c>
      <c r="B4" s="48"/>
      <c r="C4" s="48"/>
      <c r="D4" s="48"/>
      <c r="E4" s="48"/>
      <c r="F4" s="48"/>
      <c r="G4" s="48"/>
      <c r="H4" s="48"/>
      <c r="I4" s="48"/>
      <c r="J4" s="30"/>
      <c r="K4" s="33" t="s">
        <v>1156</v>
      </c>
      <c r="L4" s="30"/>
    </row>
    <row r="5" spans="1:14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274</v>
      </c>
      <c r="C8" s="21" t="s">
        <v>1055</v>
      </c>
      <c r="D8" s="22" t="s">
        <v>472</v>
      </c>
      <c r="E8" s="16">
        <v>16</v>
      </c>
      <c r="F8" s="16">
        <v>13</v>
      </c>
      <c r="G8" s="16">
        <v>4</v>
      </c>
      <c r="H8" s="23">
        <f t="shared" ref="H8:H39" si="0">100-E8*3+100-F8*3+100-G8*15</f>
        <v>153</v>
      </c>
      <c r="I8" s="24">
        <f t="shared" ref="I8:I39" si="1">H8/3</f>
        <v>51</v>
      </c>
      <c r="J8" s="16">
        <f t="shared" ref="J8:J39" si="2">RANK(H8,$H$8:$H$71)</f>
        <v>43</v>
      </c>
      <c r="K8" s="16" t="str">
        <f t="shared" ref="K8:K39" si="3">IF(I8&lt;11.1,"TIDAK HADIR",IF(I8&lt;13.1,"TIDAK BACA",IF(I8&lt;$K$7,"TIDAK TUNTAS","TUNTAS")))</f>
        <v>TIDAK TUNTAS</v>
      </c>
      <c r="L8" s="16" t="str">
        <f t="shared" ref="L8:L39" si="4">IF(G8&gt;5,"TM"," ")</f>
        <v xml:space="preserve"> </v>
      </c>
      <c r="N8" s="2">
        <f>I8/10</f>
        <v>5.0999999999999996</v>
      </c>
    </row>
    <row r="9" spans="1:14">
      <c r="A9" s="16">
        <v>2</v>
      </c>
      <c r="B9" s="20" t="s">
        <v>276</v>
      </c>
      <c r="C9" s="25" t="s">
        <v>1056</v>
      </c>
      <c r="D9" s="22" t="s">
        <v>472</v>
      </c>
      <c r="E9" s="16">
        <v>10</v>
      </c>
      <c r="F9" s="16">
        <v>9</v>
      </c>
      <c r="G9" s="16">
        <v>4</v>
      </c>
      <c r="H9" s="23">
        <f t="shared" si="0"/>
        <v>183</v>
      </c>
      <c r="I9" s="24">
        <f t="shared" si="1"/>
        <v>61</v>
      </c>
      <c r="J9" s="16">
        <f t="shared" si="2"/>
        <v>35</v>
      </c>
      <c r="K9" s="16" t="str">
        <f t="shared" si="3"/>
        <v>TUNTAS</v>
      </c>
      <c r="L9" s="16" t="str">
        <f t="shared" si="4"/>
        <v xml:space="preserve"> </v>
      </c>
      <c r="N9" s="2">
        <f t="shared" ref="N9:N66" si="5">I9/10</f>
        <v>6.1</v>
      </c>
    </row>
    <row r="10" spans="1:14">
      <c r="A10" s="16">
        <v>3</v>
      </c>
      <c r="B10" s="20" t="s">
        <v>279</v>
      </c>
      <c r="C10" s="25" t="s">
        <v>1057</v>
      </c>
      <c r="D10" s="22" t="s">
        <v>25</v>
      </c>
      <c r="E10" s="16">
        <v>16</v>
      </c>
      <c r="F10" s="16">
        <v>8</v>
      </c>
      <c r="G10" s="16">
        <v>4</v>
      </c>
      <c r="H10" s="23">
        <f t="shared" si="0"/>
        <v>168</v>
      </c>
      <c r="I10" s="24">
        <f t="shared" si="1"/>
        <v>56</v>
      </c>
      <c r="J10" s="16">
        <f t="shared" si="2"/>
        <v>39</v>
      </c>
      <c r="K10" s="16" t="str">
        <f t="shared" si="3"/>
        <v>TIDAK TUNTAS</v>
      </c>
      <c r="L10" s="16" t="str">
        <f t="shared" si="4"/>
        <v xml:space="preserve"> </v>
      </c>
      <c r="N10" s="2">
        <f t="shared" si="5"/>
        <v>5.6</v>
      </c>
    </row>
    <row r="11" spans="1:14">
      <c r="A11" s="16">
        <v>4</v>
      </c>
      <c r="B11" s="20" t="s">
        <v>280</v>
      </c>
      <c r="C11" s="21" t="s">
        <v>1058</v>
      </c>
      <c r="D11" s="22" t="s">
        <v>36</v>
      </c>
      <c r="E11" s="16">
        <v>32</v>
      </c>
      <c r="F11" s="16">
        <v>32</v>
      </c>
      <c r="G11" s="16">
        <v>5</v>
      </c>
      <c r="H11" s="23">
        <f t="shared" si="0"/>
        <v>33</v>
      </c>
      <c r="I11" s="24">
        <f t="shared" si="1"/>
        <v>11</v>
      </c>
      <c r="J11" s="16">
        <f t="shared" si="2"/>
        <v>53</v>
      </c>
      <c r="K11" s="16" t="str">
        <f t="shared" si="3"/>
        <v>TIDAK HADIR</v>
      </c>
      <c r="L11" s="16" t="str">
        <f t="shared" si="4"/>
        <v xml:space="preserve"> </v>
      </c>
      <c r="N11" s="2">
        <f t="shared" si="5"/>
        <v>1.1000000000000001</v>
      </c>
    </row>
    <row r="12" spans="1:14">
      <c r="A12" s="16">
        <v>5</v>
      </c>
      <c r="B12" s="20" t="s">
        <v>282</v>
      </c>
      <c r="C12" s="25" t="s">
        <v>1059</v>
      </c>
      <c r="D12" s="22" t="s">
        <v>485</v>
      </c>
      <c r="E12" s="16">
        <v>4</v>
      </c>
      <c r="F12" s="16">
        <v>4</v>
      </c>
      <c r="G12" s="16">
        <v>2</v>
      </c>
      <c r="H12" s="23">
        <f t="shared" si="0"/>
        <v>246</v>
      </c>
      <c r="I12" s="24">
        <f t="shared" si="1"/>
        <v>82</v>
      </c>
      <c r="J12" s="16">
        <f t="shared" si="2"/>
        <v>14</v>
      </c>
      <c r="K12" s="16" t="str">
        <f t="shared" si="3"/>
        <v>TUNTAS</v>
      </c>
      <c r="L12" s="16" t="str">
        <f t="shared" si="4"/>
        <v xml:space="preserve"> </v>
      </c>
      <c r="N12" s="2">
        <f t="shared" si="5"/>
        <v>8.1999999999999993</v>
      </c>
    </row>
    <row r="13" spans="1:14">
      <c r="A13" s="16">
        <v>6</v>
      </c>
      <c r="B13" s="20" t="s">
        <v>283</v>
      </c>
      <c r="C13" s="21" t="s">
        <v>1060</v>
      </c>
      <c r="D13" s="22" t="s">
        <v>232</v>
      </c>
      <c r="E13" s="16">
        <v>4</v>
      </c>
      <c r="F13" s="16">
        <v>11</v>
      </c>
      <c r="G13" s="16">
        <v>3</v>
      </c>
      <c r="H13" s="23">
        <f t="shared" si="0"/>
        <v>210</v>
      </c>
      <c r="I13" s="24">
        <f t="shared" si="1"/>
        <v>70</v>
      </c>
      <c r="J13" s="16">
        <f t="shared" si="2"/>
        <v>27</v>
      </c>
      <c r="K13" s="16" t="str">
        <f t="shared" si="3"/>
        <v>TUNTAS</v>
      </c>
      <c r="L13" s="16" t="str">
        <f t="shared" si="4"/>
        <v xml:space="preserve"> </v>
      </c>
      <c r="N13" s="2">
        <f t="shared" si="5"/>
        <v>7</v>
      </c>
    </row>
    <row r="14" spans="1:14">
      <c r="A14" s="16">
        <v>7</v>
      </c>
      <c r="B14" s="20" t="s">
        <v>284</v>
      </c>
      <c r="C14" s="25" t="s">
        <v>1061</v>
      </c>
      <c r="D14" s="22" t="s">
        <v>47</v>
      </c>
      <c r="E14" s="16">
        <v>14</v>
      </c>
      <c r="F14" s="16">
        <v>15</v>
      </c>
      <c r="G14" s="16">
        <v>4</v>
      </c>
      <c r="H14" s="23">
        <f t="shared" si="0"/>
        <v>153</v>
      </c>
      <c r="I14" s="24">
        <f t="shared" si="1"/>
        <v>51</v>
      </c>
      <c r="J14" s="16">
        <f t="shared" si="2"/>
        <v>43</v>
      </c>
      <c r="K14" s="16" t="str">
        <f t="shared" si="3"/>
        <v>TIDAK TUNTAS</v>
      </c>
      <c r="L14" s="16" t="str">
        <f t="shared" si="4"/>
        <v xml:space="preserve"> </v>
      </c>
      <c r="N14" s="2">
        <f t="shared" si="5"/>
        <v>5.0999999999999996</v>
      </c>
    </row>
    <row r="15" spans="1:14">
      <c r="A15" s="16">
        <v>8</v>
      </c>
      <c r="B15" s="20" t="s">
        <v>286</v>
      </c>
      <c r="C15" s="21" t="s">
        <v>1062</v>
      </c>
      <c r="D15" s="22" t="s">
        <v>243</v>
      </c>
      <c r="E15" s="16">
        <v>1</v>
      </c>
      <c r="F15" s="16">
        <v>1</v>
      </c>
      <c r="G15" s="16">
        <v>1</v>
      </c>
      <c r="H15" s="23">
        <f t="shared" si="0"/>
        <v>279</v>
      </c>
      <c r="I15" s="24">
        <f t="shared" si="1"/>
        <v>93</v>
      </c>
      <c r="J15" s="16">
        <f t="shared" si="2"/>
        <v>4</v>
      </c>
      <c r="K15" s="16" t="str">
        <f t="shared" si="3"/>
        <v>TUNTAS</v>
      </c>
      <c r="L15" s="16" t="str">
        <f t="shared" si="4"/>
        <v xml:space="preserve"> </v>
      </c>
      <c r="N15" s="2">
        <f t="shared" si="5"/>
        <v>9.3000000000000007</v>
      </c>
    </row>
    <row r="16" spans="1:14">
      <c r="A16" s="16">
        <v>9</v>
      </c>
      <c r="B16" s="20" t="s">
        <v>289</v>
      </c>
      <c r="C16" s="21" t="s">
        <v>1063</v>
      </c>
      <c r="D16" s="22" t="s">
        <v>501</v>
      </c>
      <c r="E16" s="16">
        <v>32</v>
      </c>
      <c r="F16" s="16">
        <v>32</v>
      </c>
      <c r="G16" s="16">
        <v>5</v>
      </c>
      <c r="H16" s="23">
        <f t="shared" si="0"/>
        <v>33</v>
      </c>
      <c r="I16" s="24">
        <f t="shared" si="1"/>
        <v>11</v>
      </c>
      <c r="J16" s="16">
        <f t="shared" si="2"/>
        <v>53</v>
      </c>
      <c r="K16" s="16" t="str">
        <f t="shared" si="3"/>
        <v>TIDAK HADIR</v>
      </c>
      <c r="L16" s="16" t="str">
        <f t="shared" si="4"/>
        <v xml:space="preserve"> </v>
      </c>
      <c r="N16" s="2">
        <f t="shared" si="5"/>
        <v>1.1000000000000001</v>
      </c>
    </row>
    <row r="17" spans="1:14">
      <c r="A17" s="16">
        <v>10</v>
      </c>
      <c r="B17" s="20" t="s">
        <v>291</v>
      </c>
      <c r="C17" s="21" t="s">
        <v>1064</v>
      </c>
      <c r="D17" s="22" t="s">
        <v>59</v>
      </c>
      <c r="E17" s="16">
        <v>32</v>
      </c>
      <c r="F17" s="16">
        <v>32</v>
      </c>
      <c r="G17" s="16">
        <v>5</v>
      </c>
      <c r="H17" s="23">
        <f t="shared" si="0"/>
        <v>33</v>
      </c>
      <c r="I17" s="24">
        <f t="shared" si="1"/>
        <v>11</v>
      </c>
      <c r="J17" s="16">
        <f t="shared" si="2"/>
        <v>53</v>
      </c>
      <c r="K17" s="16" t="str">
        <f t="shared" si="3"/>
        <v>TIDAK HADIR</v>
      </c>
      <c r="L17" s="16" t="str">
        <f t="shared" si="4"/>
        <v xml:space="preserve"> </v>
      </c>
      <c r="N17" s="2">
        <f t="shared" si="5"/>
        <v>1.1000000000000001</v>
      </c>
    </row>
    <row r="18" spans="1:14">
      <c r="A18" s="16">
        <v>11</v>
      </c>
      <c r="B18" s="20" t="s">
        <v>293</v>
      </c>
      <c r="C18" s="21" t="s">
        <v>1065</v>
      </c>
      <c r="D18" s="22" t="s">
        <v>63</v>
      </c>
      <c r="E18" s="16">
        <v>3</v>
      </c>
      <c r="F18" s="16">
        <v>0</v>
      </c>
      <c r="G18" s="16">
        <v>3</v>
      </c>
      <c r="H18" s="23">
        <f t="shared" si="0"/>
        <v>246</v>
      </c>
      <c r="I18" s="24">
        <f t="shared" si="1"/>
        <v>82</v>
      </c>
      <c r="J18" s="16">
        <f t="shared" si="2"/>
        <v>14</v>
      </c>
      <c r="K18" s="16" t="str">
        <f t="shared" si="3"/>
        <v>TUNTAS</v>
      </c>
      <c r="L18" s="16" t="str">
        <f t="shared" si="4"/>
        <v xml:space="preserve"> </v>
      </c>
      <c r="N18" s="2">
        <f t="shared" si="5"/>
        <v>8.1999999999999993</v>
      </c>
    </row>
    <row r="19" spans="1:14">
      <c r="A19" s="16">
        <v>12</v>
      </c>
      <c r="B19" s="20" t="s">
        <v>295</v>
      </c>
      <c r="C19" s="21" t="s">
        <v>1066</v>
      </c>
      <c r="D19" s="22" t="s">
        <v>69</v>
      </c>
      <c r="E19" s="16">
        <v>3</v>
      </c>
      <c r="F19" s="16">
        <v>4</v>
      </c>
      <c r="G19" s="16">
        <v>3</v>
      </c>
      <c r="H19" s="23">
        <f t="shared" si="0"/>
        <v>234</v>
      </c>
      <c r="I19" s="24">
        <f t="shared" si="1"/>
        <v>78</v>
      </c>
      <c r="J19" s="16">
        <f t="shared" si="2"/>
        <v>20</v>
      </c>
      <c r="K19" s="16" t="str">
        <f t="shared" si="3"/>
        <v>TUNTAS</v>
      </c>
      <c r="L19" s="16" t="str">
        <f t="shared" si="4"/>
        <v xml:space="preserve"> </v>
      </c>
      <c r="N19" s="2">
        <f t="shared" si="5"/>
        <v>7.8</v>
      </c>
    </row>
    <row r="20" spans="1:14">
      <c r="A20" s="16">
        <v>13</v>
      </c>
      <c r="B20" s="20" t="s">
        <v>297</v>
      </c>
      <c r="C20" s="21" t="s">
        <v>1067</v>
      </c>
      <c r="D20" s="22" t="s">
        <v>71</v>
      </c>
      <c r="E20" s="16">
        <v>6</v>
      </c>
      <c r="F20" s="16">
        <v>1</v>
      </c>
      <c r="G20" s="16">
        <v>1</v>
      </c>
      <c r="H20" s="23">
        <f t="shared" si="0"/>
        <v>264</v>
      </c>
      <c r="I20" s="24">
        <f t="shared" si="1"/>
        <v>88</v>
      </c>
      <c r="J20" s="16">
        <f t="shared" si="2"/>
        <v>12</v>
      </c>
      <c r="K20" s="16" t="str">
        <f t="shared" si="3"/>
        <v>TUNTAS</v>
      </c>
      <c r="L20" s="16" t="str">
        <f t="shared" si="4"/>
        <v xml:space="preserve"> </v>
      </c>
      <c r="N20" s="2">
        <f t="shared" si="5"/>
        <v>8.8000000000000007</v>
      </c>
    </row>
    <row r="21" spans="1:14">
      <c r="A21" s="16">
        <v>14</v>
      </c>
      <c r="B21" s="20" t="s">
        <v>299</v>
      </c>
      <c r="C21" s="21" t="s">
        <v>409</v>
      </c>
      <c r="D21" s="22" t="s">
        <v>71</v>
      </c>
      <c r="E21" s="16">
        <v>11</v>
      </c>
      <c r="F21" s="16">
        <v>17</v>
      </c>
      <c r="G21" s="16">
        <v>5</v>
      </c>
      <c r="H21" s="23">
        <f t="shared" si="0"/>
        <v>141</v>
      </c>
      <c r="I21" s="24">
        <f t="shared" si="1"/>
        <v>47</v>
      </c>
      <c r="J21" s="16">
        <f t="shared" si="2"/>
        <v>46</v>
      </c>
      <c r="K21" s="16" t="str">
        <f t="shared" si="3"/>
        <v>TIDAK TUNTAS</v>
      </c>
      <c r="L21" s="16" t="str">
        <f t="shared" si="4"/>
        <v xml:space="preserve"> </v>
      </c>
      <c r="N21" s="2">
        <f t="shared" si="5"/>
        <v>4.7</v>
      </c>
    </row>
    <row r="22" spans="1:14">
      <c r="A22" s="16">
        <v>15</v>
      </c>
      <c r="B22" s="20" t="s">
        <v>302</v>
      </c>
      <c r="C22" s="21" t="s">
        <v>1068</v>
      </c>
      <c r="D22" s="22" t="s">
        <v>80</v>
      </c>
      <c r="E22" s="16">
        <v>3</v>
      </c>
      <c r="F22" s="16">
        <v>7</v>
      </c>
      <c r="G22" s="16">
        <v>2</v>
      </c>
      <c r="H22" s="23">
        <f t="shared" si="0"/>
        <v>240</v>
      </c>
      <c r="I22" s="24">
        <f t="shared" si="1"/>
        <v>80</v>
      </c>
      <c r="J22" s="16">
        <f t="shared" si="2"/>
        <v>17</v>
      </c>
      <c r="K22" s="16" t="str">
        <f t="shared" si="3"/>
        <v>TUNTAS</v>
      </c>
      <c r="L22" s="16" t="str">
        <f t="shared" si="4"/>
        <v xml:space="preserve"> </v>
      </c>
      <c r="N22" s="2">
        <f t="shared" si="5"/>
        <v>8</v>
      </c>
    </row>
    <row r="23" spans="1:14">
      <c r="A23" s="16">
        <v>16</v>
      </c>
      <c r="B23" s="20" t="s">
        <v>304</v>
      </c>
      <c r="C23" s="21" t="s">
        <v>1069</v>
      </c>
      <c r="D23" s="22" t="s">
        <v>84</v>
      </c>
      <c r="E23" s="16">
        <v>9</v>
      </c>
      <c r="F23" s="16">
        <v>8</v>
      </c>
      <c r="G23" s="16">
        <v>3</v>
      </c>
      <c r="H23" s="23">
        <f t="shared" si="0"/>
        <v>204</v>
      </c>
      <c r="I23" s="24">
        <f t="shared" si="1"/>
        <v>68</v>
      </c>
      <c r="J23" s="16">
        <f t="shared" si="2"/>
        <v>29</v>
      </c>
      <c r="K23" s="16" t="str">
        <f t="shared" si="3"/>
        <v>TUNTAS</v>
      </c>
      <c r="L23" s="16" t="str">
        <f t="shared" si="4"/>
        <v xml:space="preserve"> </v>
      </c>
      <c r="N23" s="2">
        <f t="shared" si="5"/>
        <v>6.8</v>
      </c>
    </row>
    <row r="24" spans="1:14">
      <c r="A24" s="16">
        <v>17</v>
      </c>
      <c r="B24" s="20" t="s">
        <v>305</v>
      </c>
      <c r="C24" s="26" t="s">
        <v>1070</v>
      </c>
      <c r="D24" s="27" t="s">
        <v>89</v>
      </c>
      <c r="E24" s="16">
        <v>2</v>
      </c>
      <c r="F24" s="16">
        <v>0</v>
      </c>
      <c r="G24" s="16">
        <v>0</v>
      </c>
      <c r="H24" s="23">
        <f t="shared" si="0"/>
        <v>294</v>
      </c>
      <c r="I24" s="24">
        <f t="shared" si="1"/>
        <v>98</v>
      </c>
      <c r="J24" s="16">
        <f t="shared" si="2"/>
        <v>1</v>
      </c>
      <c r="K24" s="16" t="str">
        <f t="shared" si="3"/>
        <v>TUNTAS</v>
      </c>
      <c r="L24" s="16" t="str">
        <f t="shared" si="4"/>
        <v xml:space="preserve"> </v>
      </c>
      <c r="N24" s="2">
        <f t="shared" si="5"/>
        <v>9.8000000000000007</v>
      </c>
    </row>
    <row r="25" spans="1:14">
      <c r="A25" s="28">
        <v>18</v>
      </c>
      <c r="B25" s="20" t="s">
        <v>307</v>
      </c>
      <c r="C25" s="21" t="s">
        <v>1071</v>
      </c>
      <c r="D25" s="22" t="s">
        <v>91</v>
      </c>
      <c r="E25" s="16">
        <v>30</v>
      </c>
      <c r="F25" s="16">
        <v>30</v>
      </c>
      <c r="G25" s="16">
        <v>5</v>
      </c>
      <c r="H25" s="23">
        <f t="shared" si="0"/>
        <v>45</v>
      </c>
      <c r="I25" s="24">
        <f t="shared" si="1"/>
        <v>15</v>
      </c>
      <c r="J25" s="16">
        <f t="shared" si="2"/>
        <v>52</v>
      </c>
      <c r="K25" s="16" t="str">
        <f t="shared" si="3"/>
        <v>TIDAK TUNTAS</v>
      </c>
      <c r="L25" s="16" t="str">
        <f t="shared" si="4"/>
        <v xml:space="preserve"> </v>
      </c>
      <c r="N25" s="2">
        <f t="shared" si="5"/>
        <v>1.5</v>
      </c>
    </row>
    <row r="26" spans="1:14">
      <c r="A26" s="16">
        <v>19</v>
      </c>
      <c r="B26" s="20" t="s">
        <v>310</v>
      </c>
      <c r="C26" s="21" t="s">
        <v>1072</v>
      </c>
      <c r="D26" s="22" t="s">
        <v>98</v>
      </c>
      <c r="E26" s="16">
        <v>16</v>
      </c>
      <c r="F26" s="16">
        <v>10</v>
      </c>
      <c r="G26" s="16">
        <v>6</v>
      </c>
      <c r="H26" s="23">
        <f t="shared" si="0"/>
        <v>132</v>
      </c>
      <c r="I26" s="24">
        <f t="shared" si="1"/>
        <v>44</v>
      </c>
      <c r="J26" s="16">
        <f t="shared" si="2"/>
        <v>47</v>
      </c>
      <c r="K26" s="16" t="str">
        <f t="shared" si="3"/>
        <v>TIDAK TUNTAS</v>
      </c>
      <c r="L26" s="16" t="str">
        <f t="shared" si="4"/>
        <v>TM</v>
      </c>
      <c r="N26" s="2">
        <f t="shared" si="5"/>
        <v>4.4000000000000004</v>
      </c>
    </row>
    <row r="27" spans="1:14">
      <c r="A27" s="16">
        <v>20</v>
      </c>
      <c r="B27" s="20" t="s">
        <v>312</v>
      </c>
      <c r="C27" s="21" t="s">
        <v>1073</v>
      </c>
      <c r="D27" s="22" t="s">
        <v>104</v>
      </c>
      <c r="E27" s="16">
        <v>2</v>
      </c>
      <c r="F27" s="16">
        <v>0</v>
      </c>
      <c r="G27" s="16">
        <v>1</v>
      </c>
      <c r="H27" s="23">
        <f t="shared" si="0"/>
        <v>279</v>
      </c>
      <c r="I27" s="24">
        <f t="shared" si="1"/>
        <v>93</v>
      </c>
      <c r="J27" s="16">
        <f t="shared" si="2"/>
        <v>4</v>
      </c>
      <c r="K27" s="16" t="str">
        <f t="shared" si="3"/>
        <v>TUNTAS</v>
      </c>
      <c r="L27" s="16" t="str">
        <f t="shared" si="4"/>
        <v xml:space="preserve"> </v>
      </c>
      <c r="N27" s="2">
        <f t="shared" si="5"/>
        <v>9.3000000000000007</v>
      </c>
    </row>
    <row r="28" spans="1:14">
      <c r="A28" s="16">
        <v>21</v>
      </c>
      <c r="B28" s="20" t="s">
        <v>314</v>
      </c>
      <c r="C28" s="21" t="s">
        <v>1074</v>
      </c>
      <c r="D28" s="22" t="s">
        <v>423</v>
      </c>
      <c r="E28" s="16">
        <v>2</v>
      </c>
      <c r="F28" s="16">
        <v>0</v>
      </c>
      <c r="G28" s="16">
        <v>1</v>
      </c>
      <c r="H28" s="23">
        <f t="shared" si="0"/>
        <v>279</v>
      </c>
      <c r="I28" s="24">
        <f t="shared" si="1"/>
        <v>93</v>
      </c>
      <c r="J28" s="16">
        <f t="shared" si="2"/>
        <v>4</v>
      </c>
      <c r="K28" s="16" t="str">
        <f t="shared" si="3"/>
        <v>TUNTAS</v>
      </c>
      <c r="L28" s="16" t="str">
        <f t="shared" si="4"/>
        <v xml:space="preserve"> </v>
      </c>
      <c r="N28" s="2">
        <f t="shared" si="5"/>
        <v>9.3000000000000007</v>
      </c>
    </row>
    <row r="29" spans="1:14">
      <c r="A29" s="16">
        <v>22</v>
      </c>
      <c r="B29" s="20" t="s">
        <v>316</v>
      </c>
      <c r="C29" s="26" t="s">
        <v>1075</v>
      </c>
      <c r="D29" s="27" t="s">
        <v>107</v>
      </c>
      <c r="E29" s="16">
        <v>4</v>
      </c>
      <c r="F29" s="16">
        <v>1</v>
      </c>
      <c r="G29" s="16">
        <v>1</v>
      </c>
      <c r="H29" s="23">
        <f t="shared" si="0"/>
        <v>270</v>
      </c>
      <c r="I29" s="24">
        <f t="shared" si="1"/>
        <v>90</v>
      </c>
      <c r="J29" s="16">
        <f t="shared" si="2"/>
        <v>9</v>
      </c>
      <c r="K29" s="16" t="str">
        <f t="shared" si="3"/>
        <v>TUNTAS</v>
      </c>
      <c r="L29" s="16" t="str">
        <f t="shared" si="4"/>
        <v xml:space="preserve"> </v>
      </c>
      <c r="N29" s="2">
        <f t="shared" si="5"/>
        <v>9</v>
      </c>
    </row>
    <row r="30" spans="1:14">
      <c r="A30" s="16">
        <v>23</v>
      </c>
      <c r="B30" s="20" t="s">
        <v>318</v>
      </c>
      <c r="C30" s="21" t="s">
        <v>459</v>
      </c>
      <c r="D30" s="22" t="s">
        <v>111</v>
      </c>
      <c r="E30" s="16">
        <v>4</v>
      </c>
      <c r="F30" s="16">
        <v>4</v>
      </c>
      <c r="G30" s="16">
        <v>4</v>
      </c>
      <c r="H30" s="23">
        <f t="shared" si="0"/>
        <v>216</v>
      </c>
      <c r="I30" s="24">
        <f t="shared" si="1"/>
        <v>72</v>
      </c>
      <c r="J30" s="16">
        <f t="shared" si="2"/>
        <v>24</v>
      </c>
      <c r="K30" s="16" t="str">
        <f t="shared" si="3"/>
        <v>TUNTAS</v>
      </c>
      <c r="L30" s="16" t="str">
        <f t="shared" si="4"/>
        <v xml:space="preserve"> </v>
      </c>
      <c r="N30" s="2">
        <f t="shared" si="5"/>
        <v>7.2</v>
      </c>
    </row>
    <row r="31" spans="1:14">
      <c r="A31" s="16">
        <v>24</v>
      </c>
      <c r="B31" s="20" t="s">
        <v>320</v>
      </c>
      <c r="C31" s="25" t="s">
        <v>425</v>
      </c>
      <c r="D31" s="22" t="s">
        <v>426</v>
      </c>
      <c r="E31" s="16">
        <v>5</v>
      </c>
      <c r="F31" s="16">
        <v>10</v>
      </c>
      <c r="G31" s="16">
        <v>4</v>
      </c>
      <c r="H31" s="23">
        <f t="shared" si="0"/>
        <v>195</v>
      </c>
      <c r="I31" s="24">
        <f t="shared" si="1"/>
        <v>65</v>
      </c>
      <c r="J31" s="16">
        <f t="shared" si="2"/>
        <v>33</v>
      </c>
      <c r="K31" s="16" t="str">
        <f t="shared" si="3"/>
        <v>TUNTAS</v>
      </c>
      <c r="L31" s="16" t="str">
        <f t="shared" si="4"/>
        <v xml:space="preserve"> </v>
      </c>
      <c r="N31" s="2">
        <f t="shared" si="5"/>
        <v>6.5</v>
      </c>
    </row>
    <row r="32" spans="1:14">
      <c r="A32" s="16">
        <v>25</v>
      </c>
      <c r="B32" s="20" t="s">
        <v>321</v>
      </c>
      <c r="C32" s="21" t="s">
        <v>1076</v>
      </c>
      <c r="D32" s="22" t="s">
        <v>115</v>
      </c>
      <c r="E32" s="16">
        <v>9</v>
      </c>
      <c r="F32" s="16">
        <v>15</v>
      </c>
      <c r="G32" s="16">
        <v>5</v>
      </c>
      <c r="H32" s="23">
        <f t="shared" si="0"/>
        <v>153</v>
      </c>
      <c r="I32" s="24">
        <f t="shared" si="1"/>
        <v>51</v>
      </c>
      <c r="J32" s="16">
        <f t="shared" si="2"/>
        <v>43</v>
      </c>
      <c r="K32" s="16" t="str">
        <f t="shared" si="3"/>
        <v>TIDAK TUNTAS</v>
      </c>
      <c r="L32" s="16" t="str">
        <f t="shared" si="4"/>
        <v xml:space="preserve"> </v>
      </c>
      <c r="N32" s="2">
        <f t="shared" si="5"/>
        <v>5.0999999999999996</v>
      </c>
    </row>
    <row r="33" spans="1:14">
      <c r="A33" s="16">
        <v>26</v>
      </c>
      <c r="B33" s="20" t="s">
        <v>322</v>
      </c>
      <c r="C33" s="21" t="s">
        <v>1077</v>
      </c>
      <c r="D33" s="22" t="s">
        <v>115</v>
      </c>
      <c r="E33" s="16">
        <v>5</v>
      </c>
      <c r="F33" s="16">
        <v>5</v>
      </c>
      <c r="G33" s="16">
        <v>4</v>
      </c>
      <c r="H33" s="23">
        <f t="shared" si="0"/>
        <v>210</v>
      </c>
      <c r="I33" s="24">
        <f t="shared" si="1"/>
        <v>70</v>
      </c>
      <c r="J33" s="16">
        <f t="shared" si="2"/>
        <v>27</v>
      </c>
      <c r="K33" s="16" t="str">
        <f t="shared" si="3"/>
        <v>TUNTAS</v>
      </c>
      <c r="L33" s="16" t="str">
        <f t="shared" si="4"/>
        <v xml:space="preserve"> </v>
      </c>
      <c r="N33" s="2">
        <f t="shared" si="5"/>
        <v>7</v>
      </c>
    </row>
    <row r="34" spans="1:14">
      <c r="A34" s="16">
        <v>27</v>
      </c>
      <c r="B34" s="20" t="s">
        <v>323</v>
      </c>
      <c r="C34" s="21" t="s">
        <v>1078</v>
      </c>
      <c r="D34" s="22" t="s">
        <v>122</v>
      </c>
      <c r="E34" s="16">
        <v>10</v>
      </c>
      <c r="F34" s="16">
        <v>10</v>
      </c>
      <c r="G34" s="16">
        <v>5</v>
      </c>
      <c r="H34" s="23">
        <f t="shared" si="0"/>
        <v>165</v>
      </c>
      <c r="I34" s="24">
        <f t="shared" si="1"/>
        <v>55</v>
      </c>
      <c r="J34" s="16">
        <f t="shared" si="2"/>
        <v>41</v>
      </c>
      <c r="K34" s="16" t="str">
        <f t="shared" si="3"/>
        <v>TIDAK TUNTAS</v>
      </c>
      <c r="L34" s="16" t="str">
        <f t="shared" si="4"/>
        <v xml:space="preserve"> </v>
      </c>
      <c r="N34" s="2">
        <f t="shared" si="5"/>
        <v>5.5</v>
      </c>
    </row>
    <row r="35" spans="1:14">
      <c r="A35" s="16">
        <v>28</v>
      </c>
      <c r="B35" s="20" t="s">
        <v>325</v>
      </c>
      <c r="C35" s="25" t="s">
        <v>1079</v>
      </c>
      <c r="D35" s="22" t="s">
        <v>559</v>
      </c>
      <c r="E35" s="16">
        <v>20</v>
      </c>
      <c r="F35" s="16">
        <v>20</v>
      </c>
      <c r="G35" s="16">
        <v>6</v>
      </c>
      <c r="H35" s="23">
        <f t="shared" si="0"/>
        <v>90</v>
      </c>
      <c r="I35" s="24">
        <f t="shared" si="1"/>
        <v>30</v>
      </c>
      <c r="J35" s="16">
        <f t="shared" si="2"/>
        <v>50</v>
      </c>
      <c r="K35" s="16" t="str">
        <f t="shared" si="3"/>
        <v>TIDAK TUNTAS</v>
      </c>
      <c r="L35" s="16" t="str">
        <f t="shared" si="4"/>
        <v>TM</v>
      </c>
      <c r="N35" s="2">
        <f t="shared" si="5"/>
        <v>3</v>
      </c>
    </row>
    <row r="36" spans="1:14">
      <c r="A36" s="16">
        <v>29</v>
      </c>
      <c r="B36" s="20" t="s">
        <v>327</v>
      </c>
      <c r="C36" s="21" t="s">
        <v>1080</v>
      </c>
      <c r="D36" s="22" t="s">
        <v>125</v>
      </c>
      <c r="E36" s="16">
        <v>20</v>
      </c>
      <c r="F36" s="16">
        <v>23</v>
      </c>
      <c r="G36" s="16">
        <v>6</v>
      </c>
      <c r="H36" s="23">
        <f t="shared" si="0"/>
        <v>81</v>
      </c>
      <c r="I36" s="24">
        <f t="shared" si="1"/>
        <v>27</v>
      </c>
      <c r="J36" s="16">
        <f t="shared" si="2"/>
        <v>51</v>
      </c>
      <c r="K36" s="16" t="str">
        <f t="shared" si="3"/>
        <v>TIDAK TUNTAS</v>
      </c>
      <c r="L36" s="16" t="str">
        <f t="shared" si="4"/>
        <v>TM</v>
      </c>
      <c r="N36" s="2">
        <f t="shared" si="5"/>
        <v>2.7</v>
      </c>
    </row>
    <row r="37" spans="1:14">
      <c r="A37" s="16">
        <v>30</v>
      </c>
      <c r="B37" s="20" t="s">
        <v>328</v>
      </c>
      <c r="C37" s="21" t="s">
        <v>1081</v>
      </c>
      <c r="D37" s="22" t="s">
        <v>131</v>
      </c>
      <c r="E37" s="16">
        <v>7</v>
      </c>
      <c r="F37" s="16">
        <v>13</v>
      </c>
      <c r="G37" s="16">
        <v>3</v>
      </c>
      <c r="H37" s="23">
        <f t="shared" si="0"/>
        <v>195</v>
      </c>
      <c r="I37" s="24">
        <f t="shared" si="1"/>
        <v>65</v>
      </c>
      <c r="J37" s="16">
        <f t="shared" si="2"/>
        <v>33</v>
      </c>
      <c r="K37" s="16" t="str">
        <f t="shared" si="3"/>
        <v>TUNTAS</v>
      </c>
      <c r="L37" s="16" t="str">
        <f t="shared" si="4"/>
        <v xml:space="preserve"> </v>
      </c>
      <c r="N37" s="2">
        <f t="shared" si="5"/>
        <v>6.5</v>
      </c>
    </row>
    <row r="38" spans="1:14">
      <c r="A38" s="16">
        <v>31</v>
      </c>
      <c r="B38" s="20" t="s">
        <v>331</v>
      </c>
      <c r="C38" s="21" t="s">
        <v>1082</v>
      </c>
      <c r="D38" s="22" t="s">
        <v>973</v>
      </c>
      <c r="E38" s="16">
        <v>32</v>
      </c>
      <c r="F38" s="16">
        <v>32</v>
      </c>
      <c r="G38" s="16">
        <v>5</v>
      </c>
      <c r="H38" s="23">
        <f t="shared" si="0"/>
        <v>33</v>
      </c>
      <c r="I38" s="24">
        <f t="shared" si="1"/>
        <v>11</v>
      </c>
      <c r="J38" s="16">
        <f t="shared" si="2"/>
        <v>53</v>
      </c>
      <c r="K38" s="16" t="str">
        <f t="shared" si="3"/>
        <v>TIDAK HADIR</v>
      </c>
      <c r="L38" s="16" t="str">
        <f t="shared" si="4"/>
        <v xml:space="preserve"> </v>
      </c>
      <c r="N38" s="2">
        <f t="shared" si="5"/>
        <v>1.1000000000000001</v>
      </c>
    </row>
    <row r="39" spans="1:14">
      <c r="A39" s="16">
        <v>32</v>
      </c>
      <c r="B39" s="20" t="s">
        <v>333</v>
      </c>
      <c r="C39" s="26" t="s">
        <v>1083</v>
      </c>
      <c r="D39" s="27" t="s">
        <v>135</v>
      </c>
      <c r="E39" s="16">
        <v>32</v>
      </c>
      <c r="F39" s="16">
        <v>32</v>
      </c>
      <c r="G39" s="16">
        <v>5</v>
      </c>
      <c r="H39" s="23">
        <f t="shared" si="0"/>
        <v>33</v>
      </c>
      <c r="I39" s="24">
        <f t="shared" si="1"/>
        <v>11</v>
      </c>
      <c r="J39" s="16">
        <f t="shared" si="2"/>
        <v>53</v>
      </c>
      <c r="K39" s="16" t="str">
        <f t="shared" si="3"/>
        <v>TIDAK HADIR</v>
      </c>
      <c r="L39" s="16" t="str">
        <f t="shared" si="4"/>
        <v xml:space="preserve"> </v>
      </c>
      <c r="N39" s="2">
        <f t="shared" si="5"/>
        <v>1.1000000000000001</v>
      </c>
    </row>
    <row r="40" spans="1:14">
      <c r="A40" s="16">
        <v>33</v>
      </c>
      <c r="B40" s="20" t="s">
        <v>335</v>
      </c>
      <c r="C40" s="25" t="s">
        <v>1084</v>
      </c>
      <c r="D40" s="22" t="s">
        <v>135</v>
      </c>
      <c r="E40" s="16">
        <v>32</v>
      </c>
      <c r="F40" s="16">
        <v>32</v>
      </c>
      <c r="G40" s="16">
        <v>5</v>
      </c>
      <c r="H40" s="23">
        <f t="shared" ref="H40:H71" si="6">100-E40*3+100-F40*3+100-G40*15</f>
        <v>33</v>
      </c>
      <c r="I40" s="24">
        <f t="shared" ref="I40:I71" si="7">H40/3</f>
        <v>11</v>
      </c>
      <c r="J40" s="16">
        <f t="shared" ref="J40:J71" si="8">RANK(H40,$H$8:$H$71)</f>
        <v>53</v>
      </c>
      <c r="K40" s="16" t="str">
        <f t="shared" ref="K40:K67" si="9">IF(I40&lt;11.1,"TIDAK HADIR",IF(I40&lt;13.1,"TIDAK BACA",IF(I40&lt;$K$7,"TIDAK TUNTAS","TUNTAS")))</f>
        <v>TIDAK HADIR</v>
      </c>
      <c r="L40" s="16" t="str">
        <f t="shared" ref="L40:L67" si="10">IF(G40&gt;5,"TM"," ")</f>
        <v xml:space="preserve"> </v>
      </c>
      <c r="N40" s="2">
        <f t="shared" si="5"/>
        <v>1.1000000000000001</v>
      </c>
    </row>
    <row r="41" spans="1:14">
      <c r="A41" s="16">
        <v>34</v>
      </c>
      <c r="B41" s="20" t="s">
        <v>336</v>
      </c>
      <c r="C41" s="21" t="s">
        <v>1085</v>
      </c>
      <c r="D41" s="22" t="s">
        <v>1086</v>
      </c>
      <c r="E41" s="16">
        <v>5</v>
      </c>
      <c r="F41" s="16">
        <v>4</v>
      </c>
      <c r="G41" s="16">
        <v>2</v>
      </c>
      <c r="H41" s="23">
        <f t="shared" si="6"/>
        <v>243</v>
      </c>
      <c r="I41" s="24">
        <f t="shared" si="7"/>
        <v>81</v>
      </c>
      <c r="J41" s="16">
        <f t="shared" si="8"/>
        <v>16</v>
      </c>
      <c r="K41" s="16" t="str">
        <f t="shared" si="9"/>
        <v>TUNTAS</v>
      </c>
      <c r="L41" s="16" t="str">
        <f t="shared" si="10"/>
        <v xml:space="preserve"> </v>
      </c>
      <c r="N41" s="2">
        <f t="shared" si="5"/>
        <v>8.1</v>
      </c>
    </row>
    <row r="42" spans="1:14">
      <c r="A42" s="16">
        <v>35</v>
      </c>
      <c r="B42" s="20" t="s">
        <v>337</v>
      </c>
      <c r="C42" s="21" t="s">
        <v>1087</v>
      </c>
      <c r="D42" s="22" t="s">
        <v>144</v>
      </c>
      <c r="E42" s="16">
        <v>10</v>
      </c>
      <c r="F42" s="16">
        <v>7</v>
      </c>
      <c r="G42" s="16">
        <v>3</v>
      </c>
      <c r="H42" s="23">
        <f t="shared" si="6"/>
        <v>204</v>
      </c>
      <c r="I42" s="24">
        <f t="shared" si="7"/>
        <v>68</v>
      </c>
      <c r="J42" s="16">
        <f t="shared" si="8"/>
        <v>29</v>
      </c>
      <c r="K42" s="16" t="str">
        <f t="shared" si="9"/>
        <v>TUNTAS</v>
      </c>
      <c r="L42" s="16" t="str">
        <f t="shared" si="10"/>
        <v xml:space="preserve"> </v>
      </c>
      <c r="N42" s="2">
        <f t="shared" si="5"/>
        <v>6.8</v>
      </c>
    </row>
    <row r="43" spans="1:14">
      <c r="A43" s="16">
        <v>36</v>
      </c>
      <c r="B43" s="20" t="s">
        <v>339</v>
      </c>
      <c r="C43" s="21" t="s">
        <v>1088</v>
      </c>
      <c r="D43" s="22" t="s">
        <v>574</v>
      </c>
      <c r="E43" s="16">
        <v>7</v>
      </c>
      <c r="F43" s="16">
        <v>10</v>
      </c>
      <c r="G43" s="16">
        <v>5</v>
      </c>
      <c r="H43" s="23">
        <f t="shared" si="6"/>
        <v>174</v>
      </c>
      <c r="I43" s="24">
        <f t="shared" si="7"/>
        <v>58</v>
      </c>
      <c r="J43" s="16">
        <f t="shared" si="8"/>
        <v>37</v>
      </c>
      <c r="K43" s="16" t="str">
        <f t="shared" si="9"/>
        <v>TIDAK TUNTAS</v>
      </c>
      <c r="L43" s="16" t="str">
        <f t="shared" si="10"/>
        <v xml:space="preserve"> </v>
      </c>
      <c r="N43" s="2">
        <f t="shared" si="5"/>
        <v>5.8</v>
      </c>
    </row>
    <row r="44" spans="1:14">
      <c r="A44" s="16">
        <v>37</v>
      </c>
      <c r="B44" s="20" t="s">
        <v>342</v>
      </c>
      <c r="C44" s="21" t="s">
        <v>1089</v>
      </c>
      <c r="D44" s="22" t="s">
        <v>153</v>
      </c>
      <c r="E44" s="16">
        <v>3</v>
      </c>
      <c r="F44" s="16">
        <v>2</v>
      </c>
      <c r="G44" s="16">
        <v>0</v>
      </c>
      <c r="H44" s="23">
        <f t="shared" si="6"/>
        <v>285</v>
      </c>
      <c r="I44" s="24">
        <f t="shared" si="7"/>
        <v>95</v>
      </c>
      <c r="J44" s="16">
        <f t="shared" si="8"/>
        <v>2</v>
      </c>
      <c r="K44" s="16" t="str">
        <f t="shared" si="9"/>
        <v>TUNTAS</v>
      </c>
      <c r="L44" s="16" t="str">
        <f t="shared" si="10"/>
        <v xml:space="preserve"> </v>
      </c>
      <c r="N44" s="2">
        <f t="shared" si="5"/>
        <v>9.5</v>
      </c>
    </row>
    <row r="45" spans="1:14">
      <c r="A45" s="16">
        <v>38</v>
      </c>
      <c r="B45" s="20" t="s">
        <v>344</v>
      </c>
      <c r="C45" s="21" t="s">
        <v>1090</v>
      </c>
      <c r="D45" s="22" t="s">
        <v>155</v>
      </c>
      <c r="E45" s="16">
        <v>8</v>
      </c>
      <c r="F45" s="16">
        <v>7</v>
      </c>
      <c r="G45" s="16">
        <v>1</v>
      </c>
      <c r="H45" s="23">
        <f t="shared" si="6"/>
        <v>240</v>
      </c>
      <c r="I45" s="24">
        <f t="shared" si="7"/>
        <v>80</v>
      </c>
      <c r="J45" s="16">
        <f t="shared" si="8"/>
        <v>17</v>
      </c>
      <c r="K45" s="16" t="str">
        <f t="shared" si="9"/>
        <v>TUNTAS</v>
      </c>
      <c r="L45" s="16" t="str">
        <f t="shared" si="10"/>
        <v xml:space="preserve"> </v>
      </c>
      <c r="N45" s="2">
        <f t="shared" si="5"/>
        <v>8</v>
      </c>
    </row>
    <row r="46" spans="1:14">
      <c r="A46" s="16">
        <v>39</v>
      </c>
      <c r="B46" s="20" t="s">
        <v>347</v>
      </c>
      <c r="C46" s="21" t="s">
        <v>634</v>
      </c>
      <c r="D46" s="22" t="s">
        <v>155</v>
      </c>
      <c r="E46" s="16">
        <v>32</v>
      </c>
      <c r="F46" s="16">
        <v>32</v>
      </c>
      <c r="G46" s="16">
        <v>5</v>
      </c>
      <c r="H46" s="23">
        <f t="shared" si="6"/>
        <v>33</v>
      </c>
      <c r="I46" s="24">
        <f t="shared" si="7"/>
        <v>11</v>
      </c>
      <c r="J46" s="16">
        <f t="shared" si="8"/>
        <v>53</v>
      </c>
      <c r="K46" s="16" t="str">
        <f t="shared" si="9"/>
        <v>TIDAK HADIR</v>
      </c>
      <c r="L46" s="16" t="str">
        <f t="shared" si="10"/>
        <v xml:space="preserve"> </v>
      </c>
      <c r="N46" s="2">
        <f t="shared" si="5"/>
        <v>1.1000000000000001</v>
      </c>
    </row>
    <row r="47" spans="1:14">
      <c r="A47" s="16">
        <v>40</v>
      </c>
      <c r="B47" s="20" t="s">
        <v>349</v>
      </c>
      <c r="C47" s="21" t="s">
        <v>1091</v>
      </c>
      <c r="D47" s="22" t="s">
        <v>160</v>
      </c>
      <c r="E47" s="16">
        <v>32</v>
      </c>
      <c r="F47" s="16">
        <v>32</v>
      </c>
      <c r="G47" s="16">
        <v>5</v>
      </c>
      <c r="H47" s="23">
        <f t="shared" si="6"/>
        <v>33</v>
      </c>
      <c r="I47" s="24">
        <f t="shared" si="7"/>
        <v>11</v>
      </c>
      <c r="J47" s="16">
        <f t="shared" si="8"/>
        <v>53</v>
      </c>
      <c r="K47" s="16" t="str">
        <f t="shared" si="9"/>
        <v>TIDAK HADIR</v>
      </c>
      <c r="L47" s="16" t="str">
        <f t="shared" si="10"/>
        <v xml:space="preserve"> </v>
      </c>
      <c r="N47" s="2">
        <f t="shared" si="5"/>
        <v>1.1000000000000001</v>
      </c>
    </row>
    <row r="48" spans="1:14">
      <c r="A48" s="16">
        <v>41</v>
      </c>
      <c r="B48" s="20" t="s">
        <v>351</v>
      </c>
      <c r="C48" s="26" t="s">
        <v>1092</v>
      </c>
      <c r="D48" s="27" t="s">
        <v>164</v>
      </c>
      <c r="E48" s="16">
        <v>32</v>
      </c>
      <c r="F48" s="16">
        <v>32</v>
      </c>
      <c r="G48" s="16">
        <v>5</v>
      </c>
      <c r="H48" s="23">
        <f t="shared" si="6"/>
        <v>33</v>
      </c>
      <c r="I48" s="24">
        <f t="shared" si="7"/>
        <v>11</v>
      </c>
      <c r="J48" s="16">
        <f t="shared" si="8"/>
        <v>53</v>
      </c>
      <c r="K48" s="16" t="str">
        <f t="shared" si="9"/>
        <v>TIDAK HADIR</v>
      </c>
      <c r="L48" s="16" t="str">
        <f t="shared" si="10"/>
        <v xml:space="preserve"> </v>
      </c>
      <c r="N48" s="2">
        <f t="shared" si="5"/>
        <v>1.1000000000000001</v>
      </c>
    </row>
    <row r="49" spans="1:14">
      <c r="A49" s="16">
        <v>42</v>
      </c>
      <c r="B49" s="20" t="s">
        <v>353</v>
      </c>
      <c r="C49" s="21" t="s">
        <v>1093</v>
      </c>
      <c r="D49" s="22" t="s">
        <v>326</v>
      </c>
      <c r="E49" s="16">
        <v>32</v>
      </c>
      <c r="F49" s="16">
        <v>32</v>
      </c>
      <c r="G49" s="16">
        <v>5</v>
      </c>
      <c r="H49" s="23">
        <f t="shared" si="6"/>
        <v>33</v>
      </c>
      <c r="I49" s="24">
        <f t="shared" si="7"/>
        <v>11</v>
      </c>
      <c r="J49" s="16">
        <f t="shared" si="8"/>
        <v>53</v>
      </c>
      <c r="K49" s="16" t="str">
        <f t="shared" si="9"/>
        <v>TIDAK HADIR</v>
      </c>
      <c r="L49" s="16" t="str">
        <f t="shared" si="10"/>
        <v xml:space="preserve"> </v>
      </c>
      <c r="N49" s="2">
        <f t="shared" si="5"/>
        <v>1.1000000000000001</v>
      </c>
    </row>
    <row r="50" spans="1:14">
      <c r="A50" s="16">
        <v>43</v>
      </c>
      <c r="B50" s="20" t="s">
        <v>356</v>
      </c>
      <c r="C50" s="21" t="s">
        <v>1094</v>
      </c>
      <c r="D50" s="22" t="s">
        <v>330</v>
      </c>
      <c r="E50" s="16">
        <v>6</v>
      </c>
      <c r="F50" s="16">
        <v>1</v>
      </c>
      <c r="G50" s="16">
        <v>1</v>
      </c>
      <c r="H50" s="23">
        <f t="shared" si="6"/>
        <v>264</v>
      </c>
      <c r="I50" s="24">
        <f t="shared" si="7"/>
        <v>88</v>
      </c>
      <c r="J50" s="16">
        <f t="shared" si="8"/>
        <v>12</v>
      </c>
      <c r="K50" s="16" t="str">
        <f t="shared" si="9"/>
        <v>TUNTAS</v>
      </c>
      <c r="L50" s="16" t="str">
        <f t="shared" si="10"/>
        <v xml:space="preserve"> </v>
      </c>
      <c r="N50" s="2">
        <f t="shared" si="5"/>
        <v>8.8000000000000007</v>
      </c>
    </row>
    <row r="51" spans="1:14">
      <c r="A51" s="16">
        <v>44</v>
      </c>
      <c r="B51" s="20" t="s">
        <v>357</v>
      </c>
      <c r="C51" s="21" t="s">
        <v>1095</v>
      </c>
      <c r="D51" s="22" t="s">
        <v>168</v>
      </c>
      <c r="E51" s="16">
        <v>0</v>
      </c>
      <c r="F51" s="16">
        <v>0</v>
      </c>
      <c r="G51" s="16">
        <v>1</v>
      </c>
      <c r="H51" s="23">
        <f t="shared" si="6"/>
        <v>285</v>
      </c>
      <c r="I51" s="24">
        <f t="shared" si="7"/>
        <v>95</v>
      </c>
      <c r="J51" s="16">
        <f t="shared" si="8"/>
        <v>2</v>
      </c>
      <c r="K51" s="16" t="str">
        <f t="shared" si="9"/>
        <v>TUNTAS</v>
      </c>
      <c r="L51" s="16" t="str">
        <f t="shared" si="10"/>
        <v xml:space="preserve"> </v>
      </c>
      <c r="N51" s="2">
        <f t="shared" si="5"/>
        <v>9.5</v>
      </c>
    </row>
    <row r="52" spans="1:14">
      <c r="A52" s="16">
        <v>45</v>
      </c>
      <c r="B52" s="20" t="s">
        <v>359</v>
      </c>
      <c r="C52" s="26" t="s">
        <v>1096</v>
      </c>
      <c r="D52" s="27" t="s">
        <v>772</v>
      </c>
      <c r="E52" s="16">
        <v>2</v>
      </c>
      <c r="F52" s="16">
        <v>0</v>
      </c>
      <c r="G52" s="16">
        <v>1</v>
      </c>
      <c r="H52" s="23">
        <f t="shared" si="6"/>
        <v>279</v>
      </c>
      <c r="I52" s="24">
        <f t="shared" si="7"/>
        <v>93</v>
      </c>
      <c r="J52" s="16">
        <f t="shared" si="8"/>
        <v>4</v>
      </c>
      <c r="K52" s="16" t="str">
        <f t="shared" si="9"/>
        <v>TUNTAS</v>
      </c>
      <c r="L52" s="16" t="str">
        <f t="shared" si="10"/>
        <v xml:space="preserve"> </v>
      </c>
      <c r="N52" s="2">
        <f t="shared" si="5"/>
        <v>9.3000000000000007</v>
      </c>
    </row>
    <row r="53" spans="1:14">
      <c r="A53" s="16">
        <v>46</v>
      </c>
      <c r="B53" s="20" t="s">
        <v>361</v>
      </c>
      <c r="C53" s="25" t="s">
        <v>1097</v>
      </c>
      <c r="D53" s="22" t="s">
        <v>1038</v>
      </c>
      <c r="E53" s="16">
        <v>11</v>
      </c>
      <c r="F53" s="16">
        <v>16</v>
      </c>
      <c r="G53" s="16">
        <v>3</v>
      </c>
      <c r="H53" s="23">
        <f t="shared" si="6"/>
        <v>174</v>
      </c>
      <c r="I53" s="24">
        <f t="shared" si="7"/>
        <v>58</v>
      </c>
      <c r="J53" s="16">
        <f t="shared" si="8"/>
        <v>37</v>
      </c>
      <c r="K53" s="16" t="str">
        <f t="shared" si="9"/>
        <v>TIDAK TUNTAS</v>
      </c>
      <c r="L53" s="16" t="str">
        <f t="shared" si="10"/>
        <v xml:space="preserve"> </v>
      </c>
      <c r="N53" s="2">
        <f t="shared" si="5"/>
        <v>5.8</v>
      </c>
    </row>
    <row r="54" spans="1:14">
      <c r="A54" s="16">
        <v>47</v>
      </c>
      <c r="B54" s="20" t="s">
        <v>364</v>
      </c>
      <c r="C54" s="21" t="s">
        <v>1098</v>
      </c>
      <c r="D54" s="22" t="s">
        <v>341</v>
      </c>
      <c r="E54" s="16">
        <v>3</v>
      </c>
      <c r="F54" s="16">
        <v>3</v>
      </c>
      <c r="G54" s="16">
        <v>4</v>
      </c>
      <c r="H54" s="23">
        <f t="shared" si="6"/>
        <v>222</v>
      </c>
      <c r="I54" s="24">
        <f t="shared" si="7"/>
        <v>74</v>
      </c>
      <c r="J54" s="16">
        <f t="shared" si="8"/>
        <v>23</v>
      </c>
      <c r="K54" s="16" t="str">
        <f t="shared" si="9"/>
        <v>TUNTAS</v>
      </c>
      <c r="L54" s="16" t="str">
        <f t="shared" si="10"/>
        <v xml:space="preserve"> </v>
      </c>
      <c r="N54" s="2">
        <f t="shared" si="5"/>
        <v>7.4</v>
      </c>
    </row>
    <row r="55" spans="1:14">
      <c r="A55" s="16">
        <v>48</v>
      </c>
      <c r="B55" s="20" t="s">
        <v>365</v>
      </c>
      <c r="C55" s="21" t="s">
        <v>1099</v>
      </c>
      <c r="D55" s="22" t="s">
        <v>346</v>
      </c>
      <c r="E55" s="16">
        <v>0</v>
      </c>
      <c r="F55" s="16">
        <v>1</v>
      </c>
      <c r="G55" s="16">
        <v>2</v>
      </c>
      <c r="H55" s="23">
        <f t="shared" si="6"/>
        <v>267</v>
      </c>
      <c r="I55" s="24">
        <f t="shared" si="7"/>
        <v>89</v>
      </c>
      <c r="J55" s="16">
        <f t="shared" si="8"/>
        <v>11</v>
      </c>
      <c r="K55" s="16" t="str">
        <f t="shared" si="9"/>
        <v>TUNTAS</v>
      </c>
      <c r="L55" s="16" t="str">
        <f t="shared" si="10"/>
        <v xml:space="preserve"> </v>
      </c>
      <c r="N55" s="2">
        <f t="shared" si="5"/>
        <v>8.9</v>
      </c>
    </row>
    <row r="56" spans="1:14">
      <c r="A56" s="16">
        <v>49</v>
      </c>
      <c r="B56" s="20" t="s">
        <v>367</v>
      </c>
      <c r="C56" s="21" t="s">
        <v>1100</v>
      </c>
      <c r="D56" s="22" t="s">
        <v>609</v>
      </c>
      <c r="E56" s="16">
        <v>3</v>
      </c>
      <c r="F56" s="16">
        <v>5</v>
      </c>
      <c r="G56" s="16">
        <v>4</v>
      </c>
      <c r="H56" s="23">
        <f t="shared" si="6"/>
        <v>216</v>
      </c>
      <c r="I56" s="24">
        <f t="shared" si="7"/>
        <v>72</v>
      </c>
      <c r="J56" s="16">
        <f t="shared" si="8"/>
        <v>24</v>
      </c>
      <c r="K56" s="16" t="str">
        <f t="shared" si="9"/>
        <v>TUNTAS</v>
      </c>
      <c r="L56" s="16" t="str">
        <f t="shared" si="10"/>
        <v xml:space="preserve"> </v>
      </c>
      <c r="N56" s="2">
        <f t="shared" si="5"/>
        <v>7.2</v>
      </c>
    </row>
    <row r="57" spans="1:14">
      <c r="A57" s="16">
        <v>50</v>
      </c>
      <c r="B57" s="20" t="s">
        <v>369</v>
      </c>
      <c r="C57" s="26" t="s">
        <v>1101</v>
      </c>
      <c r="D57" s="27" t="s">
        <v>348</v>
      </c>
      <c r="E57" s="16">
        <v>9</v>
      </c>
      <c r="F57" s="16">
        <v>5</v>
      </c>
      <c r="G57" s="16">
        <v>5</v>
      </c>
      <c r="H57" s="23">
        <f t="shared" si="6"/>
        <v>183</v>
      </c>
      <c r="I57" s="24">
        <f t="shared" si="7"/>
        <v>61</v>
      </c>
      <c r="J57" s="16">
        <f t="shared" si="8"/>
        <v>35</v>
      </c>
      <c r="K57" s="16" t="str">
        <f t="shared" si="9"/>
        <v>TUNTAS</v>
      </c>
      <c r="L57" s="16" t="str">
        <f t="shared" si="10"/>
        <v xml:space="preserve"> </v>
      </c>
      <c r="N57" s="2">
        <f t="shared" si="5"/>
        <v>6.1</v>
      </c>
    </row>
    <row r="58" spans="1:14">
      <c r="A58" s="16">
        <v>51</v>
      </c>
      <c r="B58" s="20" t="s">
        <v>371</v>
      </c>
      <c r="C58" s="21" t="s">
        <v>1102</v>
      </c>
      <c r="D58" s="22" t="s">
        <v>350</v>
      </c>
      <c r="E58" s="16">
        <v>15</v>
      </c>
      <c r="F58" s="16">
        <v>7</v>
      </c>
      <c r="G58" s="16">
        <v>5</v>
      </c>
      <c r="H58" s="23">
        <f t="shared" si="6"/>
        <v>159</v>
      </c>
      <c r="I58" s="24">
        <f t="shared" si="7"/>
        <v>53</v>
      </c>
      <c r="J58" s="16">
        <f t="shared" si="8"/>
        <v>42</v>
      </c>
      <c r="K58" s="16" t="str">
        <f t="shared" si="9"/>
        <v>TIDAK TUNTAS</v>
      </c>
      <c r="L58" s="16" t="str">
        <f t="shared" si="10"/>
        <v xml:space="preserve"> </v>
      </c>
      <c r="N58" s="2">
        <f t="shared" si="5"/>
        <v>5.3</v>
      </c>
    </row>
    <row r="59" spans="1:14">
      <c r="A59" s="16">
        <v>52</v>
      </c>
      <c r="B59" s="20" t="s">
        <v>373</v>
      </c>
      <c r="C59" s="26" t="s">
        <v>1103</v>
      </c>
      <c r="D59" s="27" t="s">
        <v>1104</v>
      </c>
      <c r="E59" s="16">
        <v>0</v>
      </c>
      <c r="F59" s="16">
        <v>0</v>
      </c>
      <c r="G59" s="16">
        <v>2</v>
      </c>
      <c r="H59" s="23">
        <f t="shared" si="6"/>
        <v>270</v>
      </c>
      <c r="I59" s="24">
        <f t="shared" si="7"/>
        <v>90</v>
      </c>
      <c r="J59" s="16">
        <f t="shared" si="8"/>
        <v>9</v>
      </c>
      <c r="K59" s="16" t="str">
        <f t="shared" si="9"/>
        <v>TUNTAS</v>
      </c>
      <c r="L59" s="16" t="str">
        <f t="shared" si="10"/>
        <v xml:space="preserve"> </v>
      </c>
      <c r="N59" s="2">
        <f t="shared" si="5"/>
        <v>9</v>
      </c>
    </row>
    <row r="60" spans="1:14">
      <c r="A60" s="16">
        <v>53</v>
      </c>
      <c r="B60" s="20" t="s">
        <v>375</v>
      </c>
      <c r="C60" s="21" t="s">
        <v>1105</v>
      </c>
      <c r="D60" s="22" t="s">
        <v>189</v>
      </c>
      <c r="E60" s="16">
        <v>3</v>
      </c>
      <c r="F60" s="16">
        <v>5</v>
      </c>
      <c r="G60" s="16">
        <v>3</v>
      </c>
      <c r="H60" s="23">
        <f t="shared" si="6"/>
        <v>231</v>
      </c>
      <c r="I60" s="24">
        <f t="shared" si="7"/>
        <v>77</v>
      </c>
      <c r="J60" s="16">
        <f t="shared" si="8"/>
        <v>21</v>
      </c>
      <c r="K60" s="16" t="str">
        <f t="shared" si="9"/>
        <v>TUNTAS</v>
      </c>
      <c r="L60" s="16" t="str">
        <f t="shared" si="10"/>
        <v xml:space="preserve"> </v>
      </c>
      <c r="N60" s="2">
        <f t="shared" si="5"/>
        <v>7.7</v>
      </c>
    </row>
    <row r="61" spans="1:14">
      <c r="A61" s="16">
        <v>54</v>
      </c>
      <c r="B61" s="20" t="s">
        <v>378</v>
      </c>
      <c r="C61" s="21" t="s">
        <v>195</v>
      </c>
      <c r="D61" s="22" t="s">
        <v>196</v>
      </c>
      <c r="E61" s="16">
        <v>11</v>
      </c>
      <c r="F61" s="16">
        <v>1</v>
      </c>
      <c r="G61" s="16">
        <v>4</v>
      </c>
      <c r="H61" s="23">
        <f t="shared" si="6"/>
        <v>204</v>
      </c>
      <c r="I61" s="24">
        <f t="shared" si="7"/>
        <v>68</v>
      </c>
      <c r="J61" s="16">
        <f t="shared" si="8"/>
        <v>29</v>
      </c>
      <c r="K61" s="16" t="str">
        <f t="shared" si="9"/>
        <v>TUNTAS</v>
      </c>
      <c r="L61" s="16" t="str">
        <f t="shared" si="10"/>
        <v xml:space="preserve"> </v>
      </c>
      <c r="N61" s="2">
        <f t="shared" si="5"/>
        <v>6.8</v>
      </c>
    </row>
    <row r="62" spans="1:14">
      <c r="A62" s="16">
        <v>55</v>
      </c>
      <c r="B62" s="20" t="s">
        <v>381</v>
      </c>
      <c r="C62" s="26" t="s">
        <v>1106</v>
      </c>
      <c r="D62" s="27" t="s">
        <v>199</v>
      </c>
      <c r="E62" s="16">
        <v>2</v>
      </c>
      <c r="F62" s="16">
        <v>6</v>
      </c>
      <c r="G62" s="16">
        <v>4</v>
      </c>
      <c r="H62" s="23">
        <f t="shared" si="6"/>
        <v>216</v>
      </c>
      <c r="I62" s="24">
        <f t="shared" si="7"/>
        <v>72</v>
      </c>
      <c r="J62" s="16">
        <f t="shared" si="8"/>
        <v>24</v>
      </c>
      <c r="K62" s="16" t="str">
        <f t="shared" si="9"/>
        <v>TUNTAS</v>
      </c>
      <c r="L62" s="16" t="str">
        <f t="shared" si="10"/>
        <v xml:space="preserve"> </v>
      </c>
      <c r="N62" s="2">
        <f t="shared" si="5"/>
        <v>7.2</v>
      </c>
    </row>
    <row r="63" spans="1:14">
      <c r="A63" s="16">
        <v>56</v>
      </c>
      <c r="B63" s="20" t="s">
        <v>383</v>
      </c>
      <c r="C63" s="21" t="s">
        <v>1107</v>
      </c>
      <c r="D63" s="22" t="s">
        <v>201</v>
      </c>
      <c r="E63" s="16">
        <v>15</v>
      </c>
      <c r="F63" s="16">
        <v>16</v>
      </c>
      <c r="G63" s="16">
        <v>5</v>
      </c>
      <c r="H63" s="23">
        <f t="shared" si="6"/>
        <v>132</v>
      </c>
      <c r="I63" s="24">
        <f t="shared" si="7"/>
        <v>44</v>
      </c>
      <c r="J63" s="16">
        <f t="shared" si="8"/>
        <v>47</v>
      </c>
      <c r="K63" s="16" t="str">
        <f t="shared" si="9"/>
        <v>TIDAK TUNTAS</v>
      </c>
      <c r="L63" s="16" t="str">
        <f t="shared" si="10"/>
        <v xml:space="preserve"> </v>
      </c>
      <c r="N63" s="2">
        <f t="shared" si="5"/>
        <v>4.4000000000000004</v>
      </c>
    </row>
    <row r="64" spans="1:14">
      <c r="A64" s="16">
        <v>57</v>
      </c>
      <c r="B64" s="20" t="s">
        <v>385</v>
      </c>
      <c r="C64" s="21" t="s">
        <v>1108</v>
      </c>
      <c r="D64" s="22" t="s">
        <v>201</v>
      </c>
      <c r="E64" s="16">
        <v>20</v>
      </c>
      <c r="F64" s="16">
        <v>19</v>
      </c>
      <c r="G64" s="16">
        <v>5</v>
      </c>
      <c r="H64" s="23">
        <f t="shared" si="6"/>
        <v>108</v>
      </c>
      <c r="I64" s="24">
        <f t="shared" si="7"/>
        <v>36</v>
      </c>
      <c r="J64" s="16">
        <f t="shared" si="8"/>
        <v>49</v>
      </c>
      <c r="K64" s="16" t="str">
        <f t="shared" si="9"/>
        <v>TIDAK TUNTAS</v>
      </c>
      <c r="L64" s="16" t="str">
        <f t="shared" si="10"/>
        <v xml:space="preserve"> </v>
      </c>
      <c r="N64" s="2">
        <f t="shared" si="5"/>
        <v>3.6</v>
      </c>
    </row>
    <row r="65" spans="1:14">
      <c r="A65" s="16">
        <v>58</v>
      </c>
      <c r="B65" s="20" t="s">
        <v>387</v>
      </c>
      <c r="C65" s="26" t="s">
        <v>1109</v>
      </c>
      <c r="D65" s="27" t="s">
        <v>368</v>
      </c>
      <c r="E65" s="16">
        <v>12</v>
      </c>
      <c r="F65" s="16">
        <v>12</v>
      </c>
      <c r="G65" s="16">
        <v>4</v>
      </c>
      <c r="H65" s="23">
        <f t="shared" si="6"/>
        <v>168</v>
      </c>
      <c r="I65" s="24">
        <f t="shared" si="7"/>
        <v>56</v>
      </c>
      <c r="J65" s="16">
        <f t="shared" si="8"/>
        <v>39</v>
      </c>
      <c r="K65" s="16" t="str">
        <f t="shared" si="9"/>
        <v>TIDAK TUNTAS</v>
      </c>
      <c r="L65" s="16" t="str">
        <f t="shared" si="10"/>
        <v xml:space="preserve"> </v>
      </c>
      <c r="N65" s="2">
        <f t="shared" si="5"/>
        <v>5.6</v>
      </c>
    </row>
    <row r="66" spans="1:14">
      <c r="A66" s="16">
        <v>59</v>
      </c>
      <c r="B66" s="20" t="s">
        <v>389</v>
      </c>
      <c r="C66" s="21" t="s">
        <v>1110</v>
      </c>
      <c r="D66" s="22" t="s">
        <v>204</v>
      </c>
      <c r="E66" s="16">
        <v>4</v>
      </c>
      <c r="F66" s="16">
        <v>1</v>
      </c>
      <c r="G66" s="16">
        <v>3</v>
      </c>
      <c r="H66" s="23">
        <f t="shared" si="6"/>
        <v>240</v>
      </c>
      <c r="I66" s="24">
        <f t="shared" si="7"/>
        <v>80</v>
      </c>
      <c r="J66" s="16">
        <f t="shared" si="8"/>
        <v>17</v>
      </c>
      <c r="K66" s="16" t="str">
        <f t="shared" si="9"/>
        <v>TUNTAS</v>
      </c>
      <c r="L66" s="16" t="str">
        <f t="shared" si="10"/>
        <v xml:space="preserve"> </v>
      </c>
      <c r="N66" s="2">
        <f t="shared" si="5"/>
        <v>8</v>
      </c>
    </row>
    <row r="67" spans="1:14">
      <c r="A67" s="16">
        <v>60</v>
      </c>
      <c r="B67" s="20" t="s">
        <v>390</v>
      </c>
      <c r="C67" s="21" t="s">
        <v>1111</v>
      </c>
      <c r="D67" s="22" t="s">
        <v>207</v>
      </c>
      <c r="E67" s="16">
        <v>4</v>
      </c>
      <c r="F67" s="16">
        <v>1</v>
      </c>
      <c r="G67" s="16">
        <v>4</v>
      </c>
      <c r="H67" s="23">
        <f t="shared" si="6"/>
        <v>225</v>
      </c>
      <c r="I67" s="24">
        <f t="shared" si="7"/>
        <v>75</v>
      </c>
      <c r="J67" s="16">
        <f t="shared" si="8"/>
        <v>22</v>
      </c>
      <c r="K67" s="16" t="str">
        <f t="shared" si="9"/>
        <v>TUNTAS</v>
      </c>
      <c r="L67" s="16" t="str">
        <f t="shared" si="10"/>
        <v xml:space="preserve"> </v>
      </c>
    </row>
    <row r="68" spans="1:14">
      <c r="A68" s="16">
        <v>61</v>
      </c>
      <c r="B68" s="20" t="s">
        <v>392</v>
      </c>
      <c r="C68" s="21" t="s">
        <v>376</v>
      </c>
      <c r="D68" s="22" t="s">
        <v>377</v>
      </c>
      <c r="E68" s="16">
        <v>32</v>
      </c>
      <c r="F68" s="16">
        <v>32</v>
      </c>
      <c r="G68" s="16">
        <v>5</v>
      </c>
      <c r="H68" s="23">
        <f t="shared" si="6"/>
        <v>33</v>
      </c>
      <c r="I68" s="24">
        <f t="shared" si="7"/>
        <v>11</v>
      </c>
      <c r="J68" s="16">
        <f t="shared" si="8"/>
        <v>53</v>
      </c>
      <c r="K68" s="16" t="str">
        <f>IF(G68&gt;5,"TIDAK MUROD",IF(I68&lt;2.8,"TIDAK HADIR",IF(I68&lt;4.8,"TIDAK BACA",IF(I68&lt;$K$7,"TIDAK TUNTAS","TUNTAS"))))</f>
        <v>TIDAK TUNTAS</v>
      </c>
      <c r="L68" s="16"/>
    </row>
    <row r="69" spans="1:14">
      <c r="A69" s="16">
        <v>62</v>
      </c>
      <c r="B69" s="20" t="s">
        <v>395</v>
      </c>
      <c r="C69" s="21" t="s">
        <v>1112</v>
      </c>
      <c r="D69" s="22" t="s">
        <v>377</v>
      </c>
      <c r="E69" s="16">
        <v>6</v>
      </c>
      <c r="F69" s="16">
        <v>6</v>
      </c>
      <c r="G69" s="16">
        <v>4</v>
      </c>
      <c r="H69" s="23">
        <f t="shared" si="6"/>
        <v>204</v>
      </c>
      <c r="I69" s="24">
        <f t="shared" si="7"/>
        <v>68</v>
      </c>
      <c r="J69" s="16">
        <f t="shared" si="8"/>
        <v>29</v>
      </c>
      <c r="K69" s="16" t="str">
        <f>IF(G69&gt;5,"TIDAK MUROD",IF(I69&lt;2.8,"TIDAK HADIR",IF(I69&lt;4.8,"TIDAK BACA",IF(I69&lt;$K$7,"TIDAK TUNTAS","TUNTAS"))))</f>
        <v>TUNTAS</v>
      </c>
      <c r="L69" s="16"/>
    </row>
    <row r="70" spans="1:14">
      <c r="A70" s="29">
        <v>63</v>
      </c>
      <c r="B70" s="20" t="s">
        <v>397</v>
      </c>
      <c r="C70" s="26" t="s">
        <v>1113</v>
      </c>
      <c r="D70" s="27" t="s">
        <v>377</v>
      </c>
      <c r="E70" s="16">
        <v>32</v>
      </c>
      <c r="F70" s="16">
        <v>32</v>
      </c>
      <c r="G70" s="16">
        <v>5</v>
      </c>
      <c r="H70" s="23">
        <f t="shared" si="6"/>
        <v>33</v>
      </c>
      <c r="I70" s="24">
        <f t="shared" si="7"/>
        <v>11</v>
      </c>
      <c r="J70" s="16">
        <f t="shared" si="8"/>
        <v>53</v>
      </c>
      <c r="K70" s="16" t="str">
        <f>IF(G70&gt;5,"TIDAK MUROD",IF(I70&lt;2.8,"TIDAK HADIR",IF(I70&lt;4.8,"TIDAK BACA",IF(I70&lt;$K$7,"TIDAK TUNTAS","TUNTAS"))))</f>
        <v>TIDAK TUNTAS</v>
      </c>
      <c r="L70" s="16"/>
    </row>
    <row r="71" spans="1:14">
      <c r="A71" s="16">
        <v>64</v>
      </c>
      <c r="B71" s="20" t="s">
        <v>398</v>
      </c>
      <c r="C71" s="21" t="s">
        <v>839</v>
      </c>
      <c r="D71" s="22" t="s">
        <v>380</v>
      </c>
      <c r="E71" s="16">
        <v>3</v>
      </c>
      <c r="F71" s="16">
        <v>1</v>
      </c>
      <c r="G71" s="16">
        <v>1</v>
      </c>
      <c r="H71" s="23">
        <f t="shared" si="6"/>
        <v>273</v>
      </c>
      <c r="I71" s="24">
        <f t="shared" si="7"/>
        <v>91</v>
      </c>
      <c r="J71" s="16">
        <f t="shared" si="8"/>
        <v>8</v>
      </c>
      <c r="K71" s="16" t="str">
        <f>IF(G71&gt;5,"TIDAK MUROD",IF(I71&lt;2.8,"TIDAK HADIR",IF(I71&lt;4.8,"TIDAK BACA",IF(I71&lt;$K$7,"TIDAK TUNTAS","TUNTAS"))))</f>
        <v>TUNTAS</v>
      </c>
      <c r="L71" s="16"/>
    </row>
    <row r="72" spans="1:14">
      <c r="A72" s="29">
        <v>65</v>
      </c>
      <c r="B72" s="20"/>
      <c r="C72" s="21" t="s">
        <v>1157</v>
      </c>
      <c r="D72" s="22" t="s">
        <v>59</v>
      </c>
      <c r="E72" s="16">
        <v>6</v>
      </c>
      <c r="F72" s="16">
        <v>2</v>
      </c>
      <c r="G72" s="16">
        <v>1</v>
      </c>
      <c r="H72" s="23">
        <f t="shared" ref="H72:H103" si="11">100-E72*3+100-F72*3+100-G72*15</f>
        <v>261</v>
      </c>
      <c r="I72" s="24">
        <f t="shared" ref="I72:I103" si="12">H72/3</f>
        <v>87</v>
      </c>
      <c r="J72" s="16">
        <f>RANK(H72,$H$8:$H$72)</f>
        <v>14</v>
      </c>
      <c r="K72" s="16" t="str">
        <f>IF(G72&gt;5,"TIDAK MUROD",IF(I72&lt;2.8,"TIDAK HADIR",IF(I72&lt;4.8,"TIDAK BACA",IF(I72&lt;$K$7,"TIDAK TUNTAS","TUNTAS"))))</f>
        <v>TUNTAS</v>
      </c>
      <c r="L72" s="16"/>
    </row>
  </sheetData>
  <autoFilter ref="B5:L7" xr:uid="{00000000-0001-0000-0300-000000000000}">
    <filterColumn colId="3" showButton="0"/>
    <filterColumn colId="4" showButton="0"/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59" priority="9" operator="equal">
      <formula>0</formula>
    </cfRule>
  </conditionalFormatting>
  <conditionalFormatting sqref="I5:I7">
    <cfRule type="cellIs" dxfId="58" priority="10" operator="lessThan">
      <formula>100</formula>
    </cfRule>
  </conditionalFormatting>
  <conditionalFormatting sqref="I5:I72">
    <cfRule type="cellIs" dxfId="57" priority="7" operator="lessThan">
      <formula>60</formula>
    </cfRule>
  </conditionalFormatting>
  <conditionalFormatting sqref="I8:I72">
    <cfRule type="cellIs" dxfId="56" priority="6" operator="lessThan">
      <formula>60</formula>
    </cfRule>
    <cfRule type="cellIs" dxfId="55" priority="8" operator="lessThan">
      <formula>50</formula>
    </cfRule>
  </conditionalFormatting>
  <conditionalFormatting sqref="K8:K72">
    <cfRule type="cellIs" dxfId="54" priority="1" operator="equal">
      <formula>"TIDAK BACA"</formula>
    </cfRule>
    <cfRule type="cellIs" dxfId="53" priority="2" operator="equal">
      <formula>"TIDAK TUNTAS"</formula>
    </cfRule>
    <cfRule type="cellIs" dxfId="52" priority="3" operator="equal">
      <formula>"TUNTAS"</formula>
    </cfRule>
    <cfRule type="cellIs" dxfId="51" priority="4" operator="equal">
      <formula>"TIDAK HADIR"</formula>
    </cfRule>
    <cfRule type="cellIs" dxfId="5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7B11135C-BD00-4B14-AFF3-B86D46E0F9AD}"/>
  </dataValidation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4506668294322"/>
  </sheetPr>
  <dimension ref="A1:N66"/>
  <sheetViews>
    <sheetView workbookViewId="0">
      <pane xSplit="1" ySplit="7" topLeftCell="B46" activePane="bottomRight" state="frozen"/>
      <selection activeCell="N11" sqref="N11"/>
      <selection pane="topRight" activeCell="N11" sqref="N11"/>
      <selection pane="bottomLeft" activeCell="N11" sqref="N11"/>
      <selection pane="bottomRight" activeCell="R58" sqref="R58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s="13" customFormat="1" ht="16.5">
      <c r="A1" s="12" t="s">
        <v>940</v>
      </c>
      <c r="C1" s="14"/>
      <c r="L1" s="30"/>
    </row>
    <row r="2" spans="1:14" s="13" customFormat="1" ht="16.5">
      <c r="A2" s="12" t="s">
        <v>941</v>
      </c>
      <c r="C2" s="14"/>
      <c r="L2" s="30"/>
    </row>
    <row r="3" spans="1:14" s="13" customFormat="1" ht="16.5">
      <c r="A3" s="15" t="s">
        <v>942</v>
      </c>
      <c r="C3" s="14"/>
      <c r="L3" s="30"/>
    </row>
    <row r="4" spans="1:14" s="30" customFormat="1" ht="19.899999999999999" customHeight="1">
      <c r="A4" s="48" t="s">
        <v>1140</v>
      </c>
      <c r="B4" s="48"/>
      <c r="C4" s="48"/>
      <c r="D4" s="48"/>
      <c r="E4" s="48"/>
      <c r="F4" s="48"/>
      <c r="G4" s="48"/>
      <c r="H4" s="48"/>
      <c r="I4" s="48"/>
      <c r="K4" s="33" t="s">
        <v>1154</v>
      </c>
    </row>
    <row r="5" spans="1:14" s="1" customFormat="1" ht="15.75" customHeight="1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 s="1" customFormat="1" ht="27" customHeight="1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 s="1" customFormat="1" ht="15" customHeight="1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466</v>
      </c>
      <c r="C8" s="21" t="s">
        <v>382</v>
      </c>
      <c r="D8" s="22" t="s">
        <v>17</v>
      </c>
      <c r="E8" s="16">
        <v>32</v>
      </c>
      <c r="F8" s="16">
        <v>32</v>
      </c>
      <c r="G8" s="16">
        <v>5</v>
      </c>
      <c r="H8" s="23">
        <f t="shared" ref="H8:H39" si="0">100-E8*3+100-F8*3+100-G8*15</f>
        <v>33</v>
      </c>
      <c r="I8" s="24">
        <f t="shared" ref="I8:I39" si="1">H8/3</f>
        <v>11</v>
      </c>
      <c r="J8" s="16">
        <f t="shared" ref="J8:J39" si="2">RANK(H8,$H$8:$H$66)</f>
        <v>48</v>
      </c>
      <c r="K8" s="16" t="str">
        <f t="shared" ref="K8:K39" si="3">IF(I8&lt;11.1,"TIDAK HADIR",IF(I8&lt;13.1,"TIDAK BACA",IF(I8&lt;$K$7,"TIDAK TUNTAS","TUNTAS")))</f>
        <v>TIDAK HADIR</v>
      </c>
      <c r="L8" s="16" t="s">
        <v>1143</v>
      </c>
      <c r="N8" s="50">
        <f>I8/10</f>
        <v>1.1000000000000001</v>
      </c>
    </row>
    <row r="9" spans="1:14">
      <c r="A9" s="16">
        <v>2</v>
      </c>
      <c r="B9" s="20" t="s">
        <v>468</v>
      </c>
      <c r="C9" s="25" t="s">
        <v>21</v>
      </c>
      <c r="D9" s="22" t="s">
        <v>19</v>
      </c>
      <c r="E9" s="16">
        <v>7</v>
      </c>
      <c r="F9" s="16">
        <v>5</v>
      </c>
      <c r="G9" s="16">
        <v>2</v>
      </c>
      <c r="H9" s="23">
        <f t="shared" si="0"/>
        <v>234</v>
      </c>
      <c r="I9" s="24">
        <f t="shared" si="1"/>
        <v>78</v>
      </c>
      <c r="J9" s="16">
        <f t="shared" si="2"/>
        <v>28</v>
      </c>
      <c r="K9" s="16" t="str">
        <f t="shared" si="3"/>
        <v>TUNTAS</v>
      </c>
      <c r="L9" s="16" t="str">
        <f t="shared" ref="L9:L14" si="4">IF(G9&gt;5,"TM"," ")</f>
        <v xml:space="preserve"> </v>
      </c>
      <c r="N9" s="50">
        <f t="shared" ref="N9:N66" si="5">I9/10</f>
        <v>7.8</v>
      </c>
    </row>
    <row r="10" spans="1:14">
      <c r="A10" s="16">
        <v>3</v>
      </c>
      <c r="B10" s="20" t="s">
        <v>470</v>
      </c>
      <c r="C10" s="25" t="s">
        <v>391</v>
      </c>
      <c r="D10" s="22" t="s">
        <v>31</v>
      </c>
      <c r="E10" s="16">
        <v>2</v>
      </c>
      <c r="F10" s="16">
        <v>0</v>
      </c>
      <c r="G10" s="16">
        <v>1</v>
      </c>
      <c r="H10" s="23">
        <f t="shared" si="0"/>
        <v>279</v>
      </c>
      <c r="I10" s="24">
        <f t="shared" si="1"/>
        <v>93</v>
      </c>
      <c r="J10" s="16">
        <f t="shared" si="2"/>
        <v>17</v>
      </c>
      <c r="K10" s="16" t="str">
        <f t="shared" si="3"/>
        <v>TUNTAS</v>
      </c>
      <c r="L10" s="16" t="str">
        <f t="shared" si="4"/>
        <v xml:space="preserve"> </v>
      </c>
      <c r="N10" s="50">
        <f t="shared" si="5"/>
        <v>9.3000000000000007</v>
      </c>
    </row>
    <row r="11" spans="1:14">
      <c r="A11" s="16">
        <v>4</v>
      </c>
      <c r="B11" s="20" t="s">
        <v>473</v>
      </c>
      <c r="C11" s="21" t="s">
        <v>227</v>
      </c>
      <c r="D11" s="22" t="s">
        <v>31</v>
      </c>
      <c r="E11" s="16">
        <v>31</v>
      </c>
      <c r="F11" s="16">
        <v>31</v>
      </c>
      <c r="G11" s="16">
        <v>5</v>
      </c>
      <c r="H11" s="23">
        <f t="shared" si="0"/>
        <v>39</v>
      </c>
      <c r="I11" s="24">
        <f t="shared" si="1"/>
        <v>13</v>
      </c>
      <c r="J11" s="16">
        <f t="shared" si="2"/>
        <v>47</v>
      </c>
      <c r="K11" s="16" t="str">
        <f t="shared" si="3"/>
        <v>TIDAK BACA</v>
      </c>
      <c r="L11" s="16" t="str">
        <f t="shared" si="4"/>
        <v xml:space="preserve"> </v>
      </c>
      <c r="N11" s="50">
        <f t="shared" si="5"/>
        <v>1.3</v>
      </c>
    </row>
    <row r="12" spans="1:14">
      <c r="A12" s="16">
        <v>5</v>
      </c>
      <c r="B12" s="20" t="s">
        <v>477</v>
      </c>
      <c r="C12" s="21" t="s">
        <v>230</v>
      </c>
      <c r="D12" s="22" t="s">
        <v>36</v>
      </c>
      <c r="E12" s="16">
        <v>1</v>
      </c>
      <c r="F12" s="16">
        <v>0</v>
      </c>
      <c r="G12" s="16">
        <v>0</v>
      </c>
      <c r="H12" s="23">
        <f t="shared" si="0"/>
        <v>297</v>
      </c>
      <c r="I12" s="24">
        <f t="shared" si="1"/>
        <v>99</v>
      </c>
      <c r="J12" s="16">
        <f t="shared" si="2"/>
        <v>4</v>
      </c>
      <c r="K12" s="16" t="str">
        <f t="shared" si="3"/>
        <v>TUNTAS</v>
      </c>
      <c r="L12" s="16" t="str">
        <f t="shared" si="4"/>
        <v xml:space="preserve"> </v>
      </c>
      <c r="N12" s="50">
        <f t="shared" si="5"/>
        <v>9.9</v>
      </c>
    </row>
    <row r="13" spans="1:14">
      <c r="A13" s="16">
        <v>6</v>
      </c>
      <c r="B13" s="20" t="s">
        <v>475</v>
      </c>
      <c r="C13" s="25" t="s">
        <v>396</v>
      </c>
      <c r="D13" s="22" t="s">
        <v>36</v>
      </c>
      <c r="E13" s="16">
        <v>11</v>
      </c>
      <c r="F13" s="16">
        <v>0</v>
      </c>
      <c r="G13" s="16">
        <v>1</v>
      </c>
      <c r="H13" s="23">
        <f t="shared" si="0"/>
        <v>252</v>
      </c>
      <c r="I13" s="24">
        <f t="shared" si="1"/>
        <v>84</v>
      </c>
      <c r="J13" s="16">
        <f t="shared" si="2"/>
        <v>24</v>
      </c>
      <c r="K13" s="16" t="str">
        <f t="shared" si="3"/>
        <v>TUNTAS</v>
      </c>
      <c r="L13" s="16" t="str">
        <f t="shared" si="4"/>
        <v xml:space="preserve"> </v>
      </c>
      <c r="N13" s="50">
        <f t="shared" si="5"/>
        <v>8.4</v>
      </c>
    </row>
    <row r="14" spans="1:14">
      <c r="A14" s="16">
        <v>7</v>
      </c>
      <c r="B14" s="20" t="s">
        <v>479</v>
      </c>
      <c r="C14" s="25" t="s">
        <v>487</v>
      </c>
      <c r="D14" s="22" t="s">
        <v>41</v>
      </c>
      <c r="E14" s="16">
        <v>4</v>
      </c>
      <c r="F14" s="16">
        <v>1</v>
      </c>
      <c r="G14" s="16">
        <v>3</v>
      </c>
      <c r="H14" s="23">
        <f t="shared" si="0"/>
        <v>240</v>
      </c>
      <c r="I14" s="24">
        <f t="shared" si="1"/>
        <v>80</v>
      </c>
      <c r="J14" s="16">
        <f t="shared" si="2"/>
        <v>26</v>
      </c>
      <c r="K14" s="16" t="str">
        <f t="shared" si="3"/>
        <v>TUNTAS</v>
      </c>
      <c r="L14" s="16" t="str">
        <f t="shared" si="4"/>
        <v xml:space="preserve"> </v>
      </c>
      <c r="N14" s="50">
        <f t="shared" si="5"/>
        <v>8</v>
      </c>
    </row>
    <row r="15" spans="1:14">
      <c r="A15" s="16">
        <v>8</v>
      </c>
      <c r="B15" s="20" t="s">
        <v>481</v>
      </c>
      <c r="C15" s="21" t="s">
        <v>400</v>
      </c>
      <c r="D15" s="22" t="s">
        <v>232</v>
      </c>
      <c r="E15" s="16">
        <v>32</v>
      </c>
      <c r="F15" s="16">
        <v>32</v>
      </c>
      <c r="G15" s="16">
        <v>5</v>
      </c>
      <c r="H15" s="23">
        <f t="shared" si="0"/>
        <v>33</v>
      </c>
      <c r="I15" s="24">
        <f t="shared" si="1"/>
        <v>11</v>
      </c>
      <c r="J15" s="16">
        <f t="shared" si="2"/>
        <v>48</v>
      </c>
      <c r="K15" s="16" t="str">
        <f t="shared" si="3"/>
        <v>TIDAK HADIR</v>
      </c>
      <c r="L15" s="16" t="s">
        <v>1144</v>
      </c>
      <c r="N15" s="50">
        <f t="shared" si="5"/>
        <v>1.1000000000000001</v>
      </c>
    </row>
    <row r="16" spans="1:14">
      <c r="A16" s="16">
        <v>9</v>
      </c>
      <c r="B16" s="20" t="s">
        <v>483</v>
      </c>
      <c r="C16" s="21" t="s">
        <v>43</v>
      </c>
      <c r="D16" s="22" t="s">
        <v>44</v>
      </c>
      <c r="E16" s="16">
        <v>3</v>
      </c>
      <c r="F16" s="16">
        <v>2</v>
      </c>
      <c r="G16" s="16">
        <v>4</v>
      </c>
      <c r="H16" s="23">
        <f t="shared" si="0"/>
        <v>225</v>
      </c>
      <c r="I16" s="24">
        <f t="shared" si="1"/>
        <v>75</v>
      </c>
      <c r="J16" s="16">
        <f t="shared" si="2"/>
        <v>30</v>
      </c>
      <c r="K16" s="16" t="str">
        <f t="shared" si="3"/>
        <v>TUNTAS</v>
      </c>
      <c r="L16" s="16" t="str">
        <f t="shared" ref="L16:L28" si="6">IF(G16&gt;5,"TM"," ")</f>
        <v xml:space="preserve"> </v>
      </c>
      <c r="N16" s="50">
        <f t="shared" si="5"/>
        <v>7.5</v>
      </c>
    </row>
    <row r="17" spans="1:14">
      <c r="A17" s="16">
        <v>10</v>
      </c>
      <c r="B17" s="20" t="s">
        <v>486</v>
      </c>
      <c r="C17" s="21" t="s">
        <v>401</v>
      </c>
      <c r="D17" s="22" t="s">
        <v>49</v>
      </c>
      <c r="E17" s="16">
        <v>7</v>
      </c>
      <c r="F17" s="16">
        <v>8</v>
      </c>
      <c r="G17" s="16">
        <v>6</v>
      </c>
      <c r="H17" s="23">
        <f t="shared" si="0"/>
        <v>165</v>
      </c>
      <c r="I17" s="24">
        <f t="shared" si="1"/>
        <v>55</v>
      </c>
      <c r="J17" s="16">
        <f t="shared" si="2"/>
        <v>39</v>
      </c>
      <c r="K17" s="16" t="str">
        <f t="shared" si="3"/>
        <v>TIDAK TUNTAS</v>
      </c>
      <c r="L17" s="16" t="str">
        <f t="shared" si="6"/>
        <v>TM</v>
      </c>
      <c r="N17" s="50">
        <f t="shared" si="5"/>
        <v>5.5</v>
      </c>
    </row>
    <row r="18" spans="1:14">
      <c r="A18" s="16">
        <v>11</v>
      </c>
      <c r="B18" s="20" t="s">
        <v>488</v>
      </c>
      <c r="C18" s="21" t="s">
        <v>51</v>
      </c>
      <c r="D18" s="22" t="s">
        <v>52</v>
      </c>
      <c r="E18" s="16">
        <v>5</v>
      </c>
      <c r="F18" s="16">
        <v>3</v>
      </c>
      <c r="G18" s="16">
        <v>1</v>
      </c>
      <c r="H18" s="23">
        <f t="shared" si="0"/>
        <v>261</v>
      </c>
      <c r="I18" s="24">
        <f t="shared" si="1"/>
        <v>87</v>
      </c>
      <c r="J18" s="16">
        <f t="shared" si="2"/>
        <v>22</v>
      </c>
      <c r="K18" s="16" t="str">
        <f t="shared" si="3"/>
        <v>TUNTAS</v>
      </c>
      <c r="L18" s="16" t="str">
        <f t="shared" si="6"/>
        <v xml:space="preserve"> </v>
      </c>
      <c r="N18" s="50">
        <f t="shared" si="5"/>
        <v>8.6999999999999993</v>
      </c>
    </row>
    <row r="19" spans="1:14">
      <c r="A19" s="16">
        <v>12</v>
      </c>
      <c r="B19" s="20" t="s">
        <v>491</v>
      </c>
      <c r="C19" s="21" t="s">
        <v>240</v>
      </c>
      <c r="D19" s="22" t="s">
        <v>241</v>
      </c>
      <c r="E19" s="16">
        <v>32</v>
      </c>
      <c r="F19" s="16">
        <v>32</v>
      </c>
      <c r="G19" s="16">
        <v>5</v>
      </c>
      <c r="H19" s="23">
        <f t="shared" si="0"/>
        <v>33</v>
      </c>
      <c r="I19" s="24">
        <f t="shared" si="1"/>
        <v>11</v>
      </c>
      <c r="J19" s="16">
        <f t="shared" si="2"/>
        <v>48</v>
      </c>
      <c r="K19" s="16" t="str">
        <f t="shared" si="3"/>
        <v>TIDAK HADIR</v>
      </c>
      <c r="L19" s="16" t="str">
        <f t="shared" si="6"/>
        <v xml:space="preserve"> </v>
      </c>
      <c r="N19" s="50">
        <f t="shared" si="5"/>
        <v>1.1000000000000001</v>
      </c>
    </row>
    <row r="20" spans="1:14">
      <c r="A20" s="16">
        <v>13</v>
      </c>
      <c r="B20" s="20" t="s">
        <v>493</v>
      </c>
      <c r="C20" s="21" t="s">
        <v>403</v>
      </c>
      <c r="D20" s="22" t="s">
        <v>57</v>
      </c>
      <c r="E20" s="16">
        <v>8</v>
      </c>
      <c r="F20" s="16">
        <v>10</v>
      </c>
      <c r="G20" s="16">
        <v>5</v>
      </c>
      <c r="H20" s="23">
        <f t="shared" si="0"/>
        <v>171</v>
      </c>
      <c r="I20" s="24">
        <f t="shared" si="1"/>
        <v>57</v>
      </c>
      <c r="J20" s="16">
        <f t="shared" si="2"/>
        <v>38</v>
      </c>
      <c r="K20" s="16" t="str">
        <f t="shared" si="3"/>
        <v>TIDAK TUNTAS</v>
      </c>
      <c r="L20" s="16" t="str">
        <f t="shared" si="6"/>
        <v xml:space="preserve"> </v>
      </c>
      <c r="N20" s="50">
        <f t="shared" si="5"/>
        <v>5.7</v>
      </c>
    </row>
    <row r="21" spans="1:14">
      <c r="A21" s="16">
        <v>14</v>
      </c>
      <c r="B21" s="20" t="s">
        <v>495</v>
      </c>
      <c r="C21" s="21" t="s">
        <v>406</v>
      </c>
      <c r="D21" s="22" t="s">
        <v>63</v>
      </c>
      <c r="E21" s="16">
        <v>32</v>
      </c>
      <c r="F21" s="16">
        <v>32</v>
      </c>
      <c r="G21" s="16">
        <v>5</v>
      </c>
      <c r="H21" s="23">
        <f t="shared" si="0"/>
        <v>33</v>
      </c>
      <c r="I21" s="24">
        <f t="shared" si="1"/>
        <v>11</v>
      </c>
      <c r="J21" s="16">
        <f t="shared" si="2"/>
        <v>48</v>
      </c>
      <c r="K21" s="16" t="str">
        <f t="shared" si="3"/>
        <v>TIDAK HADIR</v>
      </c>
      <c r="L21" s="16" t="str">
        <f t="shared" si="6"/>
        <v xml:space="preserve"> </v>
      </c>
      <c r="N21" s="50">
        <f t="shared" si="5"/>
        <v>1.1000000000000001</v>
      </c>
    </row>
    <row r="22" spans="1:14">
      <c r="A22" s="16">
        <v>15</v>
      </c>
      <c r="B22" s="20" t="s">
        <v>499</v>
      </c>
      <c r="C22" s="21" t="s">
        <v>505</v>
      </c>
      <c r="D22" s="22" t="s">
        <v>66</v>
      </c>
      <c r="E22" s="16">
        <v>2</v>
      </c>
      <c r="F22" s="16">
        <v>0</v>
      </c>
      <c r="G22" s="16">
        <v>0</v>
      </c>
      <c r="H22" s="23">
        <f t="shared" si="0"/>
        <v>294</v>
      </c>
      <c r="I22" s="24">
        <f t="shared" si="1"/>
        <v>98</v>
      </c>
      <c r="J22" s="16">
        <f t="shared" si="2"/>
        <v>7</v>
      </c>
      <c r="K22" s="16" t="str">
        <f t="shared" si="3"/>
        <v>TUNTAS</v>
      </c>
      <c r="L22" s="16" t="str">
        <f t="shared" si="6"/>
        <v xml:space="preserve"> </v>
      </c>
      <c r="N22" s="50">
        <f t="shared" si="5"/>
        <v>9.8000000000000007</v>
      </c>
    </row>
    <row r="23" spans="1:14">
      <c r="A23" s="16">
        <v>16</v>
      </c>
      <c r="B23" s="20" t="s">
        <v>497</v>
      </c>
      <c r="C23" s="21" t="s">
        <v>250</v>
      </c>
      <c r="D23" s="22" t="s">
        <v>66</v>
      </c>
      <c r="E23" s="16">
        <v>2</v>
      </c>
      <c r="F23" s="16">
        <v>2</v>
      </c>
      <c r="G23" s="16">
        <v>0</v>
      </c>
      <c r="H23" s="23">
        <f t="shared" si="0"/>
        <v>288</v>
      </c>
      <c r="I23" s="24">
        <f t="shared" si="1"/>
        <v>96</v>
      </c>
      <c r="J23" s="16">
        <f t="shared" si="2"/>
        <v>12</v>
      </c>
      <c r="K23" s="16" t="str">
        <f t="shared" si="3"/>
        <v>TUNTAS</v>
      </c>
      <c r="L23" s="16" t="str">
        <f t="shared" si="6"/>
        <v xml:space="preserve"> </v>
      </c>
      <c r="N23" s="50">
        <f t="shared" si="5"/>
        <v>9.6</v>
      </c>
    </row>
    <row r="24" spans="1:14">
      <c r="A24" s="16">
        <v>17</v>
      </c>
      <c r="B24" s="20" t="s">
        <v>502</v>
      </c>
      <c r="C24" s="26" t="s">
        <v>252</v>
      </c>
      <c r="D24" s="27" t="s">
        <v>253</v>
      </c>
      <c r="E24" s="16">
        <v>1</v>
      </c>
      <c r="F24" s="16">
        <v>1</v>
      </c>
      <c r="G24" s="16">
        <v>0</v>
      </c>
      <c r="H24" s="23">
        <f t="shared" si="0"/>
        <v>294</v>
      </c>
      <c r="I24" s="24">
        <f t="shared" si="1"/>
        <v>98</v>
      </c>
      <c r="J24" s="16">
        <f t="shared" si="2"/>
        <v>7</v>
      </c>
      <c r="K24" s="16" t="str">
        <f t="shared" si="3"/>
        <v>TUNTAS</v>
      </c>
      <c r="L24" s="16" t="str">
        <f t="shared" si="6"/>
        <v xml:space="preserve"> </v>
      </c>
      <c r="N24" s="50">
        <f t="shared" si="5"/>
        <v>9.8000000000000007</v>
      </c>
    </row>
    <row r="25" spans="1:14">
      <c r="A25" s="28">
        <v>18</v>
      </c>
      <c r="B25" s="20" t="s">
        <v>504</v>
      </c>
      <c r="C25" s="21" t="s">
        <v>410</v>
      </c>
      <c r="D25" s="22" t="s">
        <v>74</v>
      </c>
      <c r="E25" s="16">
        <v>32</v>
      </c>
      <c r="F25" s="16">
        <v>32</v>
      </c>
      <c r="G25" s="16">
        <v>5</v>
      </c>
      <c r="H25" s="23">
        <f t="shared" si="0"/>
        <v>33</v>
      </c>
      <c r="I25" s="24">
        <f t="shared" si="1"/>
        <v>11</v>
      </c>
      <c r="J25" s="16">
        <f t="shared" si="2"/>
        <v>48</v>
      </c>
      <c r="K25" s="16" t="str">
        <f t="shared" si="3"/>
        <v>TIDAK HADIR</v>
      </c>
      <c r="L25" s="16" t="str">
        <f t="shared" si="6"/>
        <v xml:space="preserve"> </v>
      </c>
      <c r="N25" s="50">
        <f t="shared" si="5"/>
        <v>1.1000000000000001</v>
      </c>
    </row>
    <row r="26" spans="1:14">
      <c r="A26" s="16">
        <v>19</v>
      </c>
      <c r="B26" s="20" t="s">
        <v>509</v>
      </c>
      <c r="C26" s="21" t="s">
        <v>259</v>
      </c>
      <c r="D26" s="22" t="s">
        <v>80</v>
      </c>
      <c r="E26" s="16">
        <v>9</v>
      </c>
      <c r="F26" s="16">
        <v>9</v>
      </c>
      <c r="G26" s="16">
        <v>4</v>
      </c>
      <c r="H26" s="23">
        <f t="shared" si="0"/>
        <v>186</v>
      </c>
      <c r="I26" s="24">
        <f t="shared" si="1"/>
        <v>62</v>
      </c>
      <c r="J26" s="16">
        <f t="shared" si="2"/>
        <v>35</v>
      </c>
      <c r="K26" s="16" t="str">
        <f t="shared" si="3"/>
        <v>TUNTAS</v>
      </c>
      <c r="L26" s="16" t="str">
        <f t="shared" si="6"/>
        <v xml:space="preserve"> </v>
      </c>
      <c r="N26" s="50">
        <f t="shared" si="5"/>
        <v>6.2</v>
      </c>
    </row>
    <row r="27" spans="1:14">
      <c r="A27" s="16">
        <v>20</v>
      </c>
      <c r="B27" s="20" t="s">
        <v>506</v>
      </c>
      <c r="C27" s="21" t="s">
        <v>261</v>
      </c>
      <c r="D27" s="22" t="s">
        <v>80</v>
      </c>
      <c r="E27" s="16">
        <v>21</v>
      </c>
      <c r="F27" s="16">
        <v>30</v>
      </c>
      <c r="G27" s="16">
        <v>6</v>
      </c>
      <c r="H27" s="23">
        <f t="shared" si="0"/>
        <v>57</v>
      </c>
      <c r="I27" s="24">
        <f t="shared" si="1"/>
        <v>19</v>
      </c>
      <c r="J27" s="16">
        <f t="shared" si="2"/>
        <v>46</v>
      </c>
      <c r="K27" s="16" t="str">
        <f t="shared" si="3"/>
        <v>TIDAK TUNTAS</v>
      </c>
      <c r="L27" s="16" t="str">
        <f t="shared" si="6"/>
        <v>TM</v>
      </c>
      <c r="N27" s="50">
        <f t="shared" si="5"/>
        <v>1.9</v>
      </c>
    </row>
    <row r="28" spans="1:14">
      <c r="A28" s="16">
        <v>21</v>
      </c>
      <c r="B28" s="20" t="s">
        <v>512</v>
      </c>
      <c r="C28" s="26" t="s">
        <v>413</v>
      </c>
      <c r="D28" s="27" t="s">
        <v>84</v>
      </c>
      <c r="E28" s="16">
        <v>13</v>
      </c>
      <c r="F28" s="16">
        <v>3</v>
      </c>
      <c r="G28" s="16">
        <v>6</v>
      </c>
      <c r="H28" s="23">
        <f t="shared" si="0"/>
        <v>162</v>
      </c>
      <c r="I28" s="24">
        <f t="shared" si="1"/>
        <v>54</v>
      </c>
      <c r="J28" s="16">
        <f t="shared" si="2"/>
        <v>41</v>
      </c>
      <c r="K28" s="16" t="str">
        <f t="shared" si="3"/>
        <v>TIDAK TUNTAS</v>
      </c>
      <c r="L28" s="16" t="str">
        <f t="shared" si="6"/>
        <v>TM</v>
      </c>
      <c r="N28" s="50">
        <f t="shared" si="5"/>
        <v>5.4</v>
      </c>
    </row>
    <row r="29" spans="1:14">
      <c r="A29" s="16">
        <v>22</v>
      </c>
      <c r="B29" s="20" t="s">
        <v>510</v>
      </c>
      <c r="C29" s="21" t="s">
        <v>86</v>
      </c>
      <c r="D29" s="22" t="s">
        <v>84</v>
      </c>
      <c r="E29" s="16">
        <v>32</v>
      </c>
      <c r="F29" s="16">
        <v>32</v>
      </c>
      <c r="G29" s="16">
        <v>5</v>
      </c>
      <c r="H29" s="23">
        <f t="shared" si="0"/>
        <v>33</v>
      </c>
      <c r="I29" s="24">
        <f t="shared" si="1"/>
        <v>11</v>
      </c>
      <c r="J29" s="16">
        <f t="shared" si="2"/>
        <v>48</v>
      </c>
      <c r="K29" s="16" t="str">
        <f t="shared" si="3"/>
        <v>TIDAK HADIR</v>
      </c>
      <c r="L29" s="16" t="s">
        <v>1143</v>
      </c>
      <c r="N29" s="50">
        <f t="shared" si="5"/>
        <v>1.1000000000000001</v>
      </c>
    </row>
    <row r="30" spans="1:14">
      <c r="A30" s="16">
        <v>23</v>
      </c>
      <c r="B30" s="20" t="s">
        <v>513</v>
      </c>
      <c r="C30" s="21" t="s">
        <v>416</v>
      </c>
      <c r="D30" s="22" t="s">
        <v>89</v>
      </c>
      <c r="E30" s="16">
        <v>2</v>
      </c>
      <c r="F30" s="16">
        <v>0</v>
      </c>
      <c r="G30" s="16">
        <v>0</v>
      </c>
      <c r="H30" s="23">
        <f t="shared" si="0"/>
        <v>294</v>
      </c>
      <c r="I30" s="24">
        <f t="shared" si="1"/>
        <v>98</v>
      </c>
      <c r="J30" s="16">
        <f t="shared" si="2"/>
        <v>7</v>
      </c>
      <c r="K30" s="16" t="str">
        <f t="shared" si="3"/>
        <v>TUNTAS</v>
      </c>
      <c r="L30" s="16" t="str">
        <f t="shared" ref="L30:L36" si="7">IF(G30&gt;5,"TM"," ")</f>
        <v xml:space="preserve"> </v>
      </c>
      <c r="N30" s="50">
        <f t="shared" si="5"/>
        <v>9.8000000000000007</v>
      </c>
    </row>
    <row r="31" spans="1:14">
      <c r="A31" s="16">
        <v>24</v>
      </c>
      <c r="B31" s="20" t="s">
        <v>515</v>
      </c>
      <c r="C31" s="25" t="s">
        <v>269</v>
      </c>
      <c r="D31" s="22" t="s">
        <v>91</v>
      </c>
      <c r="E31" s="16">
        <v>15</v>
      </c>
      <c r="F31" s="16">
        <v>4</v>
      </c>
      <c r="G31" s="16">
        <v>2</v>
      </c>
      <c r="H31" s="23">
        <f t="shared" si="0"/>
        <v>213</v>
      </c>
      <c r="I31" s="24">
        <f t="shared" si="1"/>
        <v>71</v>
      </c>
      <c r="J31" s="16">
        <f t="shared" si="2"/>
        <v>31</v>
      </c>
      <c r="K31" s="16" t="str">
        <f t="shared" si="3"/>
        <v>TUNTAS</v>
      </c>
      <c r="L31" s="16" t="str">
        <f t="shared" si="7"/>
        <v xml:space="preserve"> </v>
      </c>
      <c r="N31" s="50">
        <f t="shared" si="5"/>
        <v>7.1</v>
      </c>
    </row>
    <row r="32" spans="1:14">
      <c r="A32" s="16">
        <v>25</v>
      </c>
      <c r="B32" s="20" t="s">
        <v>516</v>
      </c>
      <c r="C32" s="21" t="s">
        <v>95</v>
      </c>
      <c r="D32" s="22" t="s">
        <v>96</v>
      </c>
      <c r="E32" s="16">
        <v>32</v>
      </c>
      <c r="F32" s="16">
        <v>32</v>
      </c>
      <c r="G32" s="16">
        <v>5</v>
      </c>
      <c r="H32" s="23">
        <f t="shared" si="0"/>
        <v>33</v>
      </c>
      <c r="I32" s="24">
        <f t="shared" si="1"/>
        <v>11</v>
      </c>
      <c r="J32" s="16">
        <f t="shared" si="2"/>
        <v>48</v>
      </c>
      <c r="K32" s="16" t="str">
        <f t="shared" si="3"/>
        <v>TIDAK HADIR</v>
      </c>
      <c r="L32" s="16" t="str">
        <f t="shared" si="7"/>
        <v xml:space="preserve"> </v>
      </c>
      <c r="N32" s="50">
        <f t="shared" si="5"/>
        <v>1.1000000000000001</v>
      </c>
    </row>
    <row r="33" spans="1:14">
      <c r="A33" s="16">
        <v>26</v>
      </c>
      <c r="B33" s="20" t="s">
        <v>518</v>
      </c>
      <c r="C33" s="21" t="s">
        <v>418</v>
      </c>
      <c r="D33" s="22" t="s">
        <v>98</v>
      </c>
      <c r="E33" s="16">
        <v>32</v>
      </c>
      <c r="F33" s="16">
        <v>32</v>
      </c>
      <c r="G33" s="16">
        <v>5</v>
      </c>
      <c r="H33" s="23">
        <f t="shared" si="0"/>
        <v>33</v>
      </c>
      <c r="I33" s="24">
        <f t="shared" si="1"/>
        <v>11</v>
      </c>
      <c r="J33" s="16">
        <f t="shared" si="2"/>
        <v>48</v>
      </c>
      <c r="K33" s="16" t="str">
        <f t="shared" si="3"/>
        <v>TIDAK HADIR</v>
      </c>
      <c r="L33" s="16" t="str">
        <f t="shared" si="7"/>
        <v xml:space="preserve"> </v>
      </c>
      <c r="N33" s="50">
        <f t="shared" si="5"/>
        <v>1.1000000000000001</v>
      </c>
    </row>
    <row r="34" spans="1:14">
      <c r="A34" s="16">
        <v>27</v>
      </c>
      <c r="B34" s="20" t="s">
        <v>520</v>
      </c>
      <c r="C34" s="21" t="s">
        <v>707</v>
      </c>
      <c r="D34" s="22" t="s">
        <v>100</v>
      </c>
      <c r="E34" s="16">
        <v>1</v>
      </c>
      <c r="F34" s="16">
        <v>1</v>
      </c>
      <c r="G34" s="16">
        <v>1</v>
      </c>
      <c r="H34" s="23">
        <f t="shared" si="0"/>
        <v>279</v>
      </c>
      <c r="I34" s="24">
        <f t="shared" si="1"/>
        <v>93</v>
      </c>
      <c r="J34" s="16">
        <f t="shared" si="2"/>
        <v>17</v>
      </c>
      <c r="K34" s="16" t="str">
        <f t="shared" si="3"/>
        <v>TUNTAS</v>
      </c>
      <c r="L34" s="16" t="str">
        <f t="shared" si="7"/>
        <v xml:space="preserve"> </v>
      </c>
      <c r="N34" s="50">
        <f t="shared" si="5"/>
        <v>9.3000000000000007</v>
      </c>
    </row>
    <row r="35" spans="1:14">
      <c r="A35" s="16">
        <v>28</v>
      </c>
      <c r="B35" s="20" t="s">
        <v>522</v>
      </c>
      <c r="C35" s="25" t="s">
        <v>422</v>
      </c>
      <c r="D35" s="22" t="s">
        <v>423</v>
      </c>
      <c r="E35" s="16">
        <v>2</v>
      </c>
      <c r="F35" s="16">
        <v>2</v>
      </c>
      <c r="G35" s="16">
        <v>0</v>
      </c>
      <c r="H35" s="23">
        <f t="shared" si="0"/>
        <v>288</v>
      </c>
      <c r="I35" s="24">
        <f t="shared" si="1"/>
        <v>96</v>
      </c>
      <c r="J35" s="16">
        <f t="shared" si="2"/>
        <v>12</v>
      </c>
      <c r="K35" s="16" t="str">
        <f t="shared" si="3"/>
        <v>TUNTAS</v>
      </c>
      <c r="L35" s="16" t="str">
        <f t="shared" si="7"/>
        <v xml:space="preserve"> </v>
      </c>
      <c r="N35" s="50">
        <f t="shared" si="5"/>
        <v>9.6</v>
      </c>
    </row>
    <row r="36" spans="1:14">
      <c r="A36" s="16">
        <v>29</v>
      </c>
      <c r="B36" s="20" t="s">
        <v>524</v>
      </c>
      <c r="C36" s="21" t="s">
        <v>281</v>
      </c>
      <c r="D36" s="22" t="s">
        <v>111</v>
      </c>
      <c r="E36" s="16">
        <v>0</v>
      </c>
      <c r="F36" s="16">
        <v>0</v>
      </c>
      <c r="G36" s="16">
        <v>0</v>
      </c>
      <c r="H36" s="23">
        <f t="shared" si="0"/>
        <v>300</v>
      </c>
      <c r="I36" s="24">
        <f t="shared" si="1"/>
        <v>100</v>
      </c>
      <c r="J36" s="16">
        <f t="shared" si="2"/>
        <v>1</v>
      </c>
      <c r="K36" s="16" t="str">
        <f t="shared" si="3"/>
        <v>TUNTAS</v>
      </c>
      <c r="L36" s="16" t="str">
        <f t="shared" si="7"/>
        <v xml:space="preserve"> </v>
      </c>
      <c r="N36" s="50">
        <f t="shared" si="5"/>
        <v>10</v>
      </c>
    </row>
    <row r="37" spans="1:14">
      <c r="A37" s="16">
        <v>30</v>
      </c>
      <c r="B37" s="20" t="s">
        <v>526</v>
      </c>
      <c r="C37" s="21" t="s">
        <v>717</v>
      </c>
      <c r="D37" s="22" t="s">
        <v>111</v>
      </c>
      <c r="E37" s="16">
        <v>32</v>
      </c>
      <c r="F37" s="16">
        <v>32</v>
      </c>
      <c r="G37" s="16">
        <v>5</v>
      </c>
      <c r="H37" s="23">
        <f t="shared" si="0"/>
        <v>33</v>
      </c>
      <c r="I37" s="24">
        <f t="shared" si="1"/>
        <v>11</v>
      </c>
      <c r="J37" s="16">
        <f t="shared" si="2"/>
        <v>48</v>
      </c>
      <c r="K37" s="16" t="str">
        <f t="shared" si="3"/>
        <v>TIDAK HADIR</v>
      </c>
      <c r="L37" s="16" t="s">
        <v>1143</v>
      </c>
      <c r="N37" s="50">
        <f t="shared" si="5"/>
        <v>1.1000000000000001</v>
      </c>
    </row>
    <row r="38" spans="1:14">
      <c r="A38" s="16">
        <v>31</v>
      </c>
      <c r="B38" s="20" t="s">
        <v>528</v>
      </c>
      <c r="C38" s="21" t="s">
        <v>117</v>
      </c>
      <c r="D38" s="22" t="s">
        <v>115</v>
      </c>
      <c r="E38" s="16">
        <v>3</v>
      </c>
      <c r="F38" s="16">
        <v>5</v>
      </c>
      <c r="G38" s="16">
        <v>1</v>
      </c>
      <c r="H38" s="23">
        <f t="shared" si="0"/>
        <v>261</v>
      </c>
      <c r="I38" s="24">
        <f t="shared" si="1"/>
        <v>87</v>
      </c>
      <c r="J38" s="16">
        <f t="shared" si="2"/>
        <v>22</v>
      </c>
      <c r="K38" s="16" t="str">
        <f t="shared" si="3"/>
        <v>TUNTAS</v>
      </c>
      <c r="L38" s="16" t="str">
        <f t="shared" ref="L38:L43" si="8">IF(G38&gt;5,"TM"," ")</f>
        <v xml:space="preserve"> </v>
      </c>
      <c r="N38" s="50">
        <f t="shared" si="5"/>
        <v>8.6999999999999993</v>
      </c>
    </row>
    <row r="39" spans="1:14">
      <c r="A39" s="16">
        <v>32</v>
      </c>
      <c r="B39" s="20" t="s">
        <v>530</v>
      </c>
      <c r="C39" s="26" t="s">
        <v>121</v>
      </c>
      <c r="D39" s="27" t="s">
        <v>122</v>
      </c>
      <c r="E39" s="16">
        <v>13</v>
      </c>
      <c r="F39" s="16">
        <v>15</v>
      </c>
      <c r="G39" s="16">
        <v>5</v>
      </c>
      <c r="H39" s="23">
        <f t="shared" si="0"/>
        <v>141</v>
      </c>
      <c r="I39" s="24">
        <f t="shared" si="1"/>
        <v>47</v>
      </c>
      <c r="J39" s="16">
        <f t="shared" si="2"/>
        <v>43</v>
      </c>
      <c r="K39" s="16" t="str">
        <f t="shared" si="3"/>
        <v>TIDAK TUNTAS</v>
      </c>
      <c r="L39" s="16" t="str">
        <f t="shared" si="8"/>
        <v xml:space="preserve"> </v>
      </c>
      <c r="N39" s="50">
        <f t="shared" si="5"/>
        <v>4.7</v>
      </c>
    </row>
    <row r="40" spans="1:14">
      <c r="A40" s="16">
        <v>33</v>
      </c>
      <c r="B40" s="20" t="s">
        <v>532</v>
      </c>
      <c r="C40" s="25" t="s">
        <v>431</v>
      </c>
      <c r="D40" s="22" t="s">
        <v>288</v>
      </c>
      <c r="E40" s="16">
        <v>2</v>
      </c>
      <c r="F40" s="16">
        <v>0</v>
      </c>
      <c r="G40" s="16">
        <v>2</v>
      </c>
      <c r="H40" s="23">
        <f t="shared" ref="H40:H71" si="9">100-E40*3+100-F40*3+100-G40*15</f>
        <v>264</v>
      </c>
      <c r="I40" s="24">
        <f t="shared" ref="I40:I71" si="10">H40/3</f>
        <v>88</v>
      </c>
      <c r="J40" s="16">
        <f t="shared" ref="J40:J66" si="11">RANK(H40,$H$8:$H$66)</f>
        <v>21</v>
      </c>
      <c r="K40" s="16" t="str">
        <f t="shared" ref="K40:K66" si="12">IF(I40&lt;11.1,"TIDAK HADIR",IF(I40&lt;13.1,"TIDAK BACA",IF(I40&lt;$K$7,"TIDAK TUNTAS","TUNTAS")))</f>
        <v>TUNTAS</v>
      </c>
      <c r="L40" s="16" t="str">
        <f t="shared" si="8"/>
        <v xml:space="preserve"> </v>
      </c>
      <c r="N40" s="50">
        <f t="shared" si="5"/>
        <v>8.8000000000000007</v>
      </c>
    </row>
    <row r="41" spans="1:14">
      <c r="A41" s="16">
        <v>34</v>
      </c>
      <c r="B41" s="20" t="s">
        <v>533</v>
      </c>
      <c r="C41" s="21" t="s">
        <v>292</v>
      </c>
      <c r="D41" s="22" t="s">
        <v>128</v>
      </c>
      <c r="E41" s="16">
        <v>1</v>
      </c>
      <c r="F41" s="16">
        <v>2</v>
      </c>
      <c r="G41" s="16">
        <v>1</v>
      </c>
      <c r="H41" s="23">
        <f t="shared" si="9"/>
        <v>276</v>
      </c>
      <c r="I41" s="24">
        <f t="shared" si="10"/>
        <v>92</v>
      </c>
      <c r="J41" s="16">
        <f t="shared" si="11"/>
        <v>20</v>
      </c>
      <c r="K41" s="16" t="str">
        <f t="shared" si="12"/>
        <v>TUNTAS</v>
      </c>
      <c r="L41" s="16" t="str">
        <f t="shared" si="8"/>
        <v xml:space="preserve"> </v>
      </c>
      <c r="N41" s="50">
        <f t="shared" si="5"/>
        <v>9.1999999999999993</v>
      </c>
    </row>
    <row r="42" spans="1:14">
      <c r="A42" s="16">
        <v>35</v>
      </c>
      <c r="B42" s="20" t="s">
        <v>535</v>
      </c>
      <c r="C42" s="21" t="s">
        <v>433</v>
      </c>
      <c r="D42" s="22" t="s">
        <v>131</v>
      </c>
      <c r="E42" s="16">
        <v>6</v>
      </c>
      <c r="F42" s="16">
        <v>9</v>
      </c>
      <c r="G42" s="16">
        <v>3</v>
      </c>
      <c r="H42" s="23">
        <f t="shared" si="9"/>
        <v>210</v>
      </c>
      <c r="I42" s="24">
        <f t="shared" si="10"/>
        <v>70</v>
      </c>
      <c r="J42" s="16">
        <f t="shared" si="11"/>
        <v>32</v>
      </c>
      <c r="K42" s="16" t="str">
        <f t="shared" si="12"/>
        <v>TUNTAS</v>
      </c>
      <c r="L42" s="16" t="str">
        <f t="shared" si="8"/>
        <v xml:space="preserve"> </v>
      </c>
      <c r="N42" s="50">
        <f t="shared" si="5"/>
        <v>7</v>
      </c>
    </row>
    <row r="43" spans="1:14">
      <c r="A43" s="16">
        <v>36</v>
      </c>
      <c r="B43" s="20" t="s">
        <v>538</v>
      </c>
      <c r="C43" s="21" t="s">
        <v>300</v>
      </c>
      <c r="D43" s="22" t="s">
        <v>301</v>
      </c>
      <c r="E43" s="16">
        <v>7</v>
      </c>
      <c r="F43" s="16">
        <v>2</v>
      </c>
      <c r="G43" s="16">
        <v>2</v>
      </c>
      <c r="H43" s="23">
        <f t="shared" si="9"/>
        <v>243</v>
      </c>
      <c r="I43" s="24">
        <f t="shared" si="10"/>
        <v>81</v>
      </c>
      <c r="J43" s="16">
        <f t="shared" si="11"/>
        <v>25</v>
      </c>
      <c r="K43" s="16" t="str">
        <f t="shared" si="12"/>
        <v>TUNTAS</v>
      </c>
      <c r="L43" s="16" t="str">
        <f t="shared" si="8"/>
        <v xml:space="preserve"> </v>
      </c>
      <c r="N43" s="50">
        <f t="shared" si="5"/>
        <v>8.1</v>
      </c>
    </row>
    <row r="44" spans="1:14">
      <c r="A44" s="16">
        <v>37</v>
      </c>
      <c r="B44" s="20" t="s">
        <v>540</v>
      </c>
      <c r="C44" s="21" t="s">
        <v>438</v>
      </c>
      <c r="D44" s="22" t="s">
        <v>138</v>
      </c>
      <c r="E44" s="16">
        <v>32</v>
      </c>
      <c r="F44" s="16">
        <v>32</v>
      </c>
      <c r="G44" s="16">
        <v>5</v>
      </c>
      <c r="H44" s="23">
        <f t="shared" si="9"/>
        <v>33</v>
      </c>
      <c r="I44" s="24">
        <f t="shared" si="10"/>
        <v>11</v>
      </c>
      <c r="J44" s="16">
        <f t="shared" si="11"/>
        <v>48</v>
      </c>
      <c r="K44" s="16" t="str">
        <f t="shared" si="12"/>
        <v>TIDAK HADIR</v>
      </c>
      <c r="L44" s="16" t="s">
        <v>1144</v>
      </c>
      <c r="N44" s="50">
        <f t="shared" si="5"/>
        <v>1.1000000000000001</v>
      </c>
    </row>
    <row r="45" spans="1:14">
      <c r="A45" s="16">
        <v>38</v>
      </c>
      <c r="B45" s="20" t="s">
        <v>542</v>
      </c>
      <c r="C45" s="21" t="s">
        <v>148</v>
      </c>
      <c r="D45" s="22" t="s">
        <v>146</v>
      </c>
      <c r="E45" s="16">
        <v>8</v>
      </c>
      <c r="F45" s="16">
        <v>4</v>
      </c>
      <c r="G45" s="16">
        <v>2</v>
      </c>
      <c r="H45" s="23">
        <f t="shared" si="9"/>
        <v>234</v>
      </c>
      <c r="I45" s="24">
        <f t="shared" si="10"/>
        <v>78</v>
      </c>
      <c r="J45" s="16">
        <f t="shared" si="11"/>
        <v>28</v>
      </c>
      <c r="K45" s="16" t="str">
        <f t="shared" si="12"/>
        <v>TUNTAS</v>
      </c>
      <c r="L45" s="16" t="str">
        <f>IF(G45&gt;5,"TM"," ")</f>
        <v xml:space="preserve"> </v>
      </c>
      <c r="N45" s="50">
        <f t="shared" si="5"/>
        <v>7.8</v>
      </c>
    </row>
    <row r="46" spans="1:14">
      <c r="A46" s="16">
        <v>39</v>
      </c>
      <c r="B46" s="20" t="s">
        <v>544</v>
      </c>
      <c r="C46" s="21" t="s">
        <v>440</v>
      </c>
      <c r="D46" s="22" t="s">
        <v>151</v>
      </c>
      <c r="E46" s="16">
        <v>2</v>
      </c>
      <c r="F46" s="16">
        <v>1</v>
      </c>
      <c r="G46" s="16">
        <v>0</v>
      </c>
      <c r="H46" s="23">
        <f t="shared" si="9"/>
        <v>291</v>
      </c>
      <c r="I46" s="24">
        <f t="shared" si="10"/>
        <v>97</v>
      </c>
      <c r="J46" s="16">
        <f t="shared" si="11"/>
        <v>11</v>
      </c>
      <c r="K46" s="16" t="str">
        <f t="shared" si="12"/>
        <v>TUNTAS</v>
      </c>
      <c r="L46" s="16" t="str">
        <f>IF(G46&gt;5,"TM"," ")</f>
        <v xml:space="preserve"> </v>
      </c>
      <c r="N46" s="50">
        <f t="shared" si="5"/>
        <v>9.6999999999999993</v>
      </c>
    </row>
    <row r="47" spans="1:14">
      <c r="A47" s="16">
        <v>40</v>
      </c>
      <c r="B47" s="20" t="s">
        <v>546</v>
      </c>
      <c r="C47" s="21" t="s">
        <v>746</v>
      </c>
      <c r="D47" s="22" t="s">
        <v>151</v>
      </c>
      <c r="E47" s="16">
        <v>32</v>
      </c>
      <c r="F47" s="16">
        <v>32</v>
      </c>
      <c r="G47" s="16">
        <v>5</v>
      </c>
      <c r="H47" s="23">
        <f t="shared" si="9"/>
        <v>33</v>
      </c>
      <c r="I47" s="24">
        <f t="shared" si="10"/>
        <v>11</v>
      </c>
      <c r="J47" s="16">
        <f t="shared" si="11"/>
        <v>48</v>
      </c>
      <c r="K47" s="16" t="str">
        <f t="shared" si="12"/>
        <v>TIDAK HADIR</v>
      </c>
      <c r="L47" s="16" t="s">
        <v>1143</v>
      </c>
      <c r="N47" s="50">
        <f t="shared" si="5"/>
        <v>1.1000000000000001</v>
      </c>
    </row>
    <row r="48" spans="1:14">
      <c r="A48" s="16">
        <v>41</v>
      </c>
      <c r="B48" s="20" t="s">
        <v>547</v>
      </c>
      <c r="C48" s="26" t="s">
        <v>319</v>
      </c>
      <c r="D48" s="27" t="s">
        <v>153</v>
      </c>
      <c r="E48" s="16">
        <v>2</v>
      </c>
      <c r="F48" s="16">
        <v>0</v>
      </c>
      <c r="G48" s="16">
        <v>0</v>
      </c>
      <c r="H48" s="23">
        <f t="shared" si="9"/>
        <v>294</v>
      </c>
      <c r="I48" s="24">
        <f t="shared" si="10"/>
        <v>98</v>
      </c>
      <c r="J48" s="16">
        <f t="shared" si="11"/>
        <v>7</v>
      </c>
      <c r="K48" s="16" t="str">
        <f t="shared" si="12"/>
        <v>TUNTAS</v>
      </c>
      <c r="L48" s="16" t="str">
        <f t="shared" ref="L48:L66" si="13">IF(G48&gt;5,"TM"," ")</f>
        <v xml:space="preserve"> </v>
      </c>
      <c r="N48" s="50">
        <f t="shared" si="5"/>
        <v>9.8000000000000007</v>
      </c>
    </row>
    <row r="49" spans="1:14">
      <c r="A49" s="16">
        <v>42</v>
      </c>
      <c r="B49" s="20" t="s">
        <v>549</v>
      </c>
      <c r="C49" s="21" t="s">
        <v>442</v>
      </c>
      <c r="D49" s="22" t="s">
        <v>160</v>
      </c>
      <c r="E49" s="16">
        <v>11</v>
      </c>
      <c r="F49" s="16">
        <v>9</v>
      </c>
      <c r="G49" s="16">
        <v>2</v>
      </c>
      <c r="H49" s="23">
        <f t="shared" si="9"/>
        <v>210</v>
      </c>
      <c r="I49" s="24">
        <f t="shared" si="10"/>
        <v>70</v>
      </c>
      <c r="J49" s="16">
        <f t="shared" si="11"/>
        <v>32</v>
      </c>
      <c r="K49" s="16" t="str">
        <f t="shared" si="12"/>
        <v>TUNTAS</v>
      </c>
      <c r="L49" s="16" t="str">
        <f t="shared" si="13"/>
        <v xml:space="preserve"> </v>
      </c>
      <c r="N49" s="50">
        <f t="shared" si="5"/>
        <v>7</v>
      </c>
    </row>
    <row r="50" spans="1:14">
      <c r="A50" s="16">
        <v>43</v>
      </c>
      <c r="B50" s="20" t="s">
        <v>551</v>
      </c>
      <c r="C50" s="21" t="s">
        <v>324</v>
      </c>
      <c r="D50" s="22" t="s">
        <v>164</v>
      </c>
      <c r="E50" s="16">
        <v>17</v>
      </c>
      <c r="F50" s="16">
        <v>3</v>
      </c>
      <c r="G50" s="16">
        <v>5</v>
      </c>
      <c r="H50" s="23">
        <f t="shared" si="9"/>
        <v>165</v>
      </c>
      <c r="I50" s="24">
        <f t="shared" si="10"/>
        <v>55</v>
      </c>
      <c r="J50" s="16">
        <f t="shared" si="11"/>
        <v>39</v>
      </c>
      <c r="K50" s="16" t="str">
        <f t="shared" si="12"/>
        <v>TIDAK TUNTAS</v>
      </c>
      <c r="L50" s="16" t="str">
        <f t="shared" si="13"/>
        <v xml:space="preserve"> </v>
      </c>
      <c r="N50" s="50">
        <f t="shared" si="5"/>
        <v>5.5</v>
      </c>
    </row>
    <row r="51" spans="1:14">
      <c r="A51" s="16">
        <v>44</v>
      </c>
      <c r="B51" s="20" t="s">
        <v>553</v>
      </c>
      <c r="C51" s="21" t="s">
        <v>446</v>
      </c>
      <c r="D51" s="22" t="s">
        <v>447</v>
      </c>
      <c r="E51" s="16">
        <v>19</v>
      </c>
      <c r="F51" s="16">
        <v>5</v>
      </c>
      <c r="G51" s="16">
        <v>6</v>
      </c>
      <c r="H51" s="23">
        <f t="shared" si="9"/>
        <v>138</v>
      </c>
      <c r="I51" s="24">
        <f t="shared" si="10"/>
        <v>46</v>
      </c>
      <c r="J51" s="16">
        <f t="shared" si="11"/>
        <v>44</v>
      </c>
      <c r="K51" s="16" t="str">
        <f t="shared" si="12"/>
        <v>TIDAK TUNTAS</v>
      </c>
      <c r="L51" s="16" t="str">
        <f t="shared" si="13"/>
        <v>TM</v>
      </c>
      <c r="N51" s="50">
        <f t="shared" si="5"/>
        <v>4.5999999999999996</v>
      </c>
    </row>
    <row r="52" spans="1:14">
      <c r="A52" s="16">
        <v>45</v>
      </c>
      <c r="B52" s="20" t="s">
        <v>555</v>
      </c>
      <c r="C52" s="26" t="s">
        <v>334</v>
      </c>
      <c r="D52" s="27" t="s">
        <v>173</v>
      </c>
      <c r="E52" s="16">
        <v>1</v>
      </c>
      <c r="F52" s="16">
        <v>0</v>
      </c>
      <c r="G52" s="16">
        <v>0</v>
      </c>
      <c r="H52" s="23">
        <f t="shared" si="9"/>
        <v>297</v>
      </c>
      <c r="I52" s="24">
        <f t="shared" si="10"/>
        <v>99</v>
      </c>
      <c r="J52" s="16">
        <f t="shared" si="11"/>
        <v>4</v>
      </c>
      <c r="K52" s="16" t="str">
        <f t="shared" si="12"/>
        <v>TUNTAS</v>
      </c>
      <c r="L52" s="16" t="str">
        <f t="shared" si="13"/>
        <v xml:space="preserve"> </v>
      </c>
      <c r="N52" s="50">
        <f t="shared" si="5"/>
        <v>9.9</v>
      </c>
    </row>
    <row r="53" spans="1:14">
      <c r="A53" s="16">
        <v>46</v>
      </c>
      <c r="B53" s="20" t="s">
        <v>557</v>
      </c>
      <c r="C53" s="25" t="s">
        <v>338</v>
      </c>
      <c r="D53" s="22" t="s">
        <v>176</v>
      </c>
      <c r="E53" s="16">
        <v>0</v>
      </c>
      <c r="F53" s="16">
        <v>0</v>
      </c>
      <c r="G53" s="16">
        <v>0</v>
      </c>
      <c r="H53" s="23">
        <f t="shared" si="9"/>
        <v>300</v>
      </c>
      <c r="I53" s="24">
        <f t="shared" si="10"/>
        <v>100</v>
      </c>
      <c r="J53" s="16">
        <f t="shared" si="11"/>
        <v>1</v>
      </c>
      <c r="K53" s="16" t="str">
        <f t="shared" si="12"/>
        <v>TUNTAS</v>
      </c>
      <c r="L53" s="16" t="str">
        <f t="shared" si="13"/>
        <v xml:space="preserve"> </v>
      </c>
      <c r="N53" s="50">
        <f t="shared" si="5"/>
        <v>10</v>
      </c>
    </row>
    <row r="54" spans="1:14">
      <c r="A54" s="16">
        <v>47</v>
      </c>
      <c r="B54" s="20" t="s">
        <v>560</v>
      </c>
      <c r="C54" s="21" t="s">
        <v>178</v>
      </c>
      <c r="D54" s="22" t="s">
        <v>179</v>
      </c>
      <c r="E54" s="16">
        <v>2</v>
      </c>
      <c r="F54" s="16">
        <v>0</v>
      </c>
      <c r="G54" s="16">
        <v>1</v>
      </c>
      <c r="H54" s="23">
        <f t="shared" si="9"/>
        <v>279</v>
      </c>
      <c r="I54" s="24">
        <f t="shared" si="10"/>
        <v>93</v>
      </c>
      <c r="J54" s="16">
        <f t="shared" si="11"/>
        <v>17</v>
      </c>
      <c r="K54" s="16" t="str">
        <f t="shared" si="12"/>
        <v>TUNTAS</v>
      </c>
      <c r="L54" s="16" t="str">
        <f t="shared" si="13"/>
        <v xml:space="preserve"> </v>
      </c>
      <c r="N54" s="50">
        <f t="shared" si="5"/>
        <v>9.3000000000000007</v>
      </c>
    </row>
    <row r="55" spans="1:14">
      <c r="A55" s="16">
        <v>48</v>
      </c>
      <c r="B55" s="20" t="s">
        <v>562</v>
      </c>
      <c r="C55" s="21" t="s">
        <v>343</v>
      </c>
      <c r="D55" s="22" t="s">
        <v>182</v>
      </c>
      <c r="E55" s="16">
        <v>7</v>
      </c>
      <c r="F55" s="16">
        <v>3</v>
      </c>
      <c r="G55" s="16">
        <v>2</v>
      </c>
      <c r="H55" s="23">
        <f t="shared" si="9"/>
        <v>240</v>
      </c>
      <c r="I55" s="24">
        <f t="shared" si="10"/>
        <v>80</v>
      </c>
      <c r="J55" s="16">
        <f t="shared" si="11"/>
        <v>26</v>
      </c>
      <c r="K55" s="16" t="str">
        <f t="shared" si="12"/>
        <v>TUNTAS</v>
      </c>
      <c r="L55" s="16" t="str">
        <f t="shared" si="13"/>
        <v xml:space="preserve"> </v>
      </c>
      <c r="N55" s="50">
        <f t="shared" si="5"/>
        <v>8</v>
      </c>
    </row>
    <row r="56" spans="1:14">
      <c r="A56" s="16">
        <v>49</v>
      </c>
      <c r="B56" s="20" t="s">
        <v>563</v>
      </c>
      <c r="C56" s="21" t="s">
        <v>605</v>
      </c>
      <c r="D56" s="22" t="s">
        <v>346</v>
      </c>
      <c r="E56" s="16">
        <v>9</v>
      </c>
      <c r="F56" s="16">
        <v>7</v>
      </c>
      <c r="G56" s="16">
        <v>5</v>
      </c>
      <c r="H56" s="23">
        <f t="shared" si="9"/>
        <v>177</v>
      </c>
      <c r="I56" s="24">
        <f t="shared" si="10"/>
        <v>59</v>
      </c>
      <c r="J56" s="16">
        <f t="shared" si="11"/>
        <v>37</v>
      </c>
      <c r="K56" s="16" t="str">
        <f t="shared" si="12"/>
        <v>TIDAK TUNTAS</v>
      </c>
      <c r="L56" s="16" t="str">
        <f t="shared" si="13"/>
        <v xml:space="preserve"> </v>
      </c>
      <c r="N56" s="50">
        <f t="shared" si="5"/>
        <v>5.9</v>
      </c>
    </row>
    <row r="57" spans="1:14">
      <c r="A57" s="16">
        <v>50</v>
      </c>
      <c r="B57" s="20" t="s">
        <v>565</v>
      </c>
      <c r="C57" s="26" t="s">
        <v>454</v>
      </c>
      <c r="D57" s="27" t="s">
        <v>350</v>
      </c>
      <c r="E57" s="16">
        <v>32</v>
      </c>
      <c r="F57" s="16">
        <v>32</v>
      </c>
      <c r="G57" s="16">
        <v>5</v>
      </c>
      <c r="H57" s="23">
        <f t="shared" si="9"/>
        <v>33</v>
      </c>
      <c r="I57" s="24">
        <f t="shared" si="10"/>
        <v>11</v>
      </c>
      <c r="J57" s="16">
        <f t="shared" si="11"/>
        <v>48</v>
      </c>
      <c r="K57" s="16" t="str">
        <f t="shared" si="12"/>
        <v>TIDAK HADIR</v>
      </c>
      <c r="L57" s="16" t="str">
        <f t="shared" si="13"/>
        <v xml:space="preserve"> </v>
      </c>
      <c r="N57" s="50">
        <f t="shared" si="5"/>
        <v>1.1000000000000001</v>
      </c>
    </row>
    <row r="58" spans="1:14">
      <c r="A58" s="16">
        <v>51</v>
      </c>
      <c r="B58" s="20" t="s">
        <v>567</v>
      </c>
      <c r="C58" s="21" t="s">
        <v>185</v>
      </c>
      <c r="D58" s="22" t="s">
        <v>186</v>
      </c>
      <c r="E58" s="16">
        <v>1</v>
      </c>
      <c r="F58" s="16">
        <v>0</v>
      </c>
      <c r="G58" s="16">
        <v>0</v>
      </c>
      <c r="H58" s="23">
        <f t="shared" si="9"/>
        <v>297</v>
      </c>
      <c r="I58" s="24">
        <f t="shared" si="10"/>
        <v>99</v>
      </c>
      <c r="J58" s="16">
        <f t="shared" si="11"/>
        <v>4</v>
      </c>
      <c r="K58" s="16" t="str">
        <f t="shared" si="12"/>
        <v>TUNTAS</v>
      </c>
      <c r="L58" s="16" t="str">
        <f t="shared" si="13"/>
        <v xml:space="preserve"> </v>
      </c>
      <c r="N58" s="50">
        <f t="shared" si="5"/>
        <v>9.9</v>
      </c>
    </row>
    <row r="59" spans="1:14">
      <c r="A59" s="16">
        <v>52</v>
      </c>
      <c r="B59" s="20" t="s">
        <v>569</v>
      </c>
      <c r="C59" s="26" t="s">
        <v>354</v>
      </c>
      <c r="D59" s="27" t="s">
        <v>355</v>
      </c>
      <c r="E59" s="16">
        <v>12</v>
      </c>
      <c r="F59" s="16">
        <v>12</v>
      </c>
      <c r="G59" s="16">
        <v>5</v>
      </c>
      <c r="H59" s="23">
        <f t="shared" si="9"/>
        <v>153</v>
      </c>
      <c r="I59" s="24">
        <f t="shared" si="10"/>
        <v>51</v>
      </c>
      <c r="J59" s="16">
        <f t="shared" si="11"/>
        <v>42</v>
      </c>
      <c r="K59" s="16" t="str">
        <f t="shared" si="12"/>
        <v>TIDAK TUNTAS</v>
      </c>
      <c r="L59" s="16" t="str">
        <f t="shared" si="13"/>
        <v xml:space="preserve"> </v>
      </c>
      <c r="N59" s="50">
        <f t="shared" si="5"/>
        <v>5.0999999999999996</v>
      </c>
    </row>
    <row r="60" spans="1:14">
      <c r="A60" s="16">
        <v>53</v>
      </c>
      <c r="B60" s="20" t="s">
        <v>571</v>
      </c>
      <c r="C60" s="21" t="s">
        <v>615</v>
      </c>
      <c r="D60" s="22" t="s">
        <v>189</v>
      </c>
      <c r="E60" s="16">
        <v>2</v>
      </c>
      <c r="F60" s="16">
        <v>3</v>
      </c>
      <c r="G60" s="16">
        <v>0</v>
      </c>
      <c r="H60" s="23">
        <f t="shared" si="9"/>
        <v>285</v>
      </c>
      <c r="I60" s="24">
        <f t="shared" si="10"/>
        <v>95</v>
      </c>
      <c r="J60" s="16">
        <f t="shared" si="11"/>
        <v>14</v>
      </c>
      <c r="K60" s="16" t="str">
        <f t="shared" si="12"/>
        <v>TUNTAS</v>
      </c>
      <c r="L60" s="16" t="str">
        <f t="shared" si="13"/>
        <v xml:space="preserve"> </v>
      </c>
      <c r="N60" s="50">
        <f t="shared" si="5"/>
        <v>9.5</v>
      </c>
    </row>
    <row r="61" spans="1:14">
      <c r="A61" s="16">
        <v>54</v>
      </c>
      <c r="B61" s="20" t="s">
        <v>573</v>
      </c>
      <c r="C61" s="21" t="s">
        <v>198</v>
      </c>
      <c r="D61" s="22" t="s">
        <v>199</v>
      </c>
      <c r="E61" s="16">
        <v>3</v>
      </c>
      <c r="F61" s="16">
        <v>3</v>
      </c>
      <c r="G61" s="16">
        <v>0</v>
      </c>
      <c r="H61" s="23">
        <f t="shared" si="9"/>
        <v>282</v>
      </c>
      <c r="I61" s="24">
        <f t="shared" si="10"/>
        <v>94</v>
      </c>
      <c r="J61" s="16">
        <f t="shared" si="11"/>
        <v>16</v>
      </c>
      <c r="K61" s="16" t="str">
        <f t="shared" si="12"/>
        <v>TUNTAS</v>
      </c>
      <c r="L61" s="16" t="str">
        <f t="shared" si="13"/>
        <v xml:space="preserve"> </v>
      </c>
      <c r="N61" s="50">
        <f t="shared" si="5"/>
        <v>9.4</v>
      </c>
    </row>
    <row r="62" spans="1:14">
      <c r="A62" s="16">
        <v>55</v>
      </c>
      <c r="B62" s="20" t="s">
        <v>575</v>
      </c>
      <c r="C62" s="26" t="s">
        <v>366</v>
      </c>
      <c r="D62" s="27" t="s">
        <v>201</v>
      </c>
      <c r="E62" s="16">
        <v>12</v>
      </c>
      <c r="F62" s="16">
        <v>3</v>
      </c>
      <c r="G62" s="16">
        <v>4</v>
      </c>
      <c r="H62" s="23">
        <f t="shared" si="9"/>
        <v>195</v>
      </c>
      <c r="I62" s="24">
        <f t="shared" si="10"/>
        <v>65</v>
      </c>
      <c r="J62" s="16">
        <f t="shared" si="11"/>
        <v>34</v>
      </c>
      <c r="K62" s="16" t="str">
        <f t="shared" si="12"/>
        <v>TUNTAS</v>
      </c>
      <c r="L62" s="16" t="str">
        <f t="shared" si="13"/>
        <v xml:space="preserve"> </v>
      </c>
      <c r="N62" s="50">
        <f t="shared" si="5"/>
        <v>6.5</v>
      </c>
    </row>
    <row r="63" spans="1:14">
      <c r="A63" s="16">
        <v>56</v>
      </c>
      <c r="B63" s="20" t="s">
        <v>577</v>
      </c>
      <c r="C63" s="21" t="s">
        <v>461</v>
      </c>
      <c r="D63" s="22" t="s">
        <v>372</v>
      </c>
      <c r="E63" s="16">
        <v>25</v>
      </c>
      <c r="F63" s="16">
        <v>17</v>
      </c>
      <c r="G63" s="16">
        <v>5</v>
      </c>
      <c r="H63" s="23">
        <f t="shared" si="9"/>
        <v>99</v>
      </c>
      <c r="I63" s="24">
        <f t="shared" si="10"/>
        <v>33</v>
      </c>
      <c r="J63" s="16">
        <f t="shared" si="11"/>
        <v>45</v>
      </c>
      <c r="K63" s="16" t="str">
        <f t="shared" si="12"/>
        <v>TIDAK TUNTAS</v>
      </c>
      <c r="L63" s="16" t="str">
        <f t="shared" si="13"/>
        <v xml:space="preserve"> </v>
      </c>
      <c r="N63" s="50">
        <f t="shared" si="5"/>
        <v>3.3</v>
      </c>
    </row>
    <row r="64" spans="1:14">
      <c r="A64" s="16">
        <v>57</v>
      </c>
      <c r="B64" s="20" t="s">
        <v>580</v>
      </c>
      <c r="C64" s="21" t="s">
        <v>462</v>
      </c>
      <c r="D64" s="22" t="s">
        <v>209</v>
      </c>
      <c r="E64" s="16">
        <v>11</v>
      </c>
      <c r="F64" s="16">
        <v>4</v>
      </c>
      <c r="G64" s="16">
        <v>5</v>
      </c>
      <c r="H64" s="23">
        <f t="shared" si="9"/>
        <v>180</v>
      </c>
      <c r="I64" s="24">
        <f t="shared" si="10"/>
        <v>60</v>
      </c>
      <c r="J64" s="16">
        <f t="shared" si="11"/>
        <v>36</v>
      </c>
      <c r="K64" s="16" t="str">
        <f t="shared" si="12"/>
        <v>TUNTAS</v>
      </c>
      <c r="L64" s="16" t="str">
        <f t="shared" si="13"/>
        <v xml:space="preserve"> </v>
      </c>
      <c r="N64" s="50">
        <f t="shared" si="5"/>
        <v>6</v>
      </c>
    </row>
    <row r="65" spans="1:14">
      <c r="A65" s="16">
        <v>58</v>
      </c>
      <c r="B65" s="20" t="s">
        <v>581</v>
      </c>
      <c r="C65" s="26" t="s">
        <v>211</v>
      </c>
      <c r="D65" s="27" t="s">
        <v>212</v>
      </c>
      <c r="E65" s="16">
        <v>0</v>
      </c>
      <c r="F65" s="16">
        <v>0</v>
      </c>
      <c r="G65" s="16">
        <v>0</v>
      </c>
      <c r="H65" s="23">
        <f t="shared" si="9"/>
        <v>300</v>
      </c>
      <c r="I65" s="24">
        <f t="shared" si="10"/>
        <v>100</v>
      </c>
      <c r="J65" s="16">
        <f t="shared" si="11"/>
        <v>1</v>
      </c>
      <c r="K65" s="16" t="str">
        <f t="shared" si="12"/>
        <v>TUNTAS</v>
      </c>
      <c r="L65" s="16" t="str">
        <f t="shared" si="13"/>
        <v xml:space="preserve"> </v>
      </c>
      <c r="N65" s="50">
        <f t="shared" si="5"/>
        <v>10</v>
      </c>
    </row>
    <row r="66" spans="1:14">
      <c r="A66" s="16">
        <v>59</v>
      </c>
      <c r="B66" s="20" t="s">
        <v>583</v>
      </c>
      <c r="C66" s="21" t="s">
        <v>379</v>
      </c>
      <c r="D66" s="22" t="s">
        <v>380</v>
      </c>
      <c r="E66" s="16">
        <v>3</v>
      </c>
      <c r="F66" s="16">
        <v>2</v>
      </c>
      <c r="G66" s="16">
        <v>0</v>
      </c>
      <c r="H66" s="23">
        <f t="shared" si="9"/>
        <v>285</v>
      </c>
      <c r="I66" s="24">
        <f t="shared" si="10"/>
        <v>95</v>
      </c>
      <c r="J66" s="16">
        <f t="shared" si="11"/>
        <v>14</v>
      </c>
      <c r="K66" s="16" t="str">
        <f t="shared" si="12"/>
        <v>TUNTAS</v>
      </c>
      <c r="L66" s="16" t="str">
        <f t="shared" si="13"/>
        <v xml:space="preserve"> </v>
      </c>
      <c r="N66" s="50">
        <f t="shared" si="5"/>
        <v>9.5</v>
      </c>
    </row>
  </sheetData>
  <autoFilter ref="B5:L7" xr:uid="{00000000-0001-0000-0400-000000000000}">
    <filterColumn colId="3" showButton="0"/>
    <filterColumn colId="4" showButton="0"/>
    <sortState xmlns:xlrd2="http://schemas.microsoft.com/office/spreadsheetml/2017/richdata2" ref="B10:L66">
      <sortCondition ref="D5:D7"/>
    </sortState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49" priority="9" operator="equal">
      <formula>0</formula>
    </cfRule>
  </conditionalFormatting>
  <conditionalFormatting sqref="I5:I7">
    <cfRule type="cellIs" dxfId="48" priority="10" operator="lessThan">
      <formula>100</formula>
    </cfRule>
  </conditionalFormatting>
  <conditionalFormatting sqref="I5:I66">
    <cfRule type="cellIs" dxfId="47" priority="7" operator="lessThan">
      <formula>60</formula>
    </cfRule>
  </conditionalFormatting>
  <conditionalFormatting sqref="I8:I66">
    <cfRule type="cellIs" dxfId="46" priority="6" operator="lessThan">
      <formula>60</formula>
    </cfRule>
    <cfRule type="cellIs" dxfId="45" priority="8" operator="lessThan">
      <formula>50</formula>
    </cfRule>
  </conditionalFormatting>
  <conditionalFormatting sqref="K8:K66">
    <cfRule type="cellIs" dxfId="44" priority="1" operator="equal">
      <formula>"TIDAK BACA"</formula>
    </cfRule>
    <cfRule type="cellIs" dxfId="43" priority="2" operator="equal">
      <formula>"TIDAK TUNTAS"</formula>
    </cfRule>
    <cfRule type="cellIs" dxfId="42" priority="3" operator="equal">
      <formula>"TUNTAS"</formula>
    </cfRule>
    <cfRule type="cellIs" dxfId="41" priority="4" operator="equal">
      <formula>"TIDAK HADIR"</formula>
    </cfRule>
    <cfRule type="cellIs" dxfId="4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0C5186E1-5705-4B4D-9F3D-95CC89B7A164}"/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4506668294322"/>
  </sheetPr>
  <dimension ref="A1:N70"/>
  <sheetViews>
    <sheetView workbookViewId="0">
      <pane xSplit="1" ySplit="7" topLeftCell="B8" activePane="bottomRight" state="frozen"/>
      <selection activeCell="R58" sqref="R58"/>
      <selection pane="topRight" activeCell="R58" sqref="R58"/>
      <selection pane="bottomLeft" activeCell="R58" sqref="R58"/>
      <selection pane="bottomRight" activeCell="R58" sqref="R58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3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s="13" customFormat="1" ht="16.5">
      <c r="A1" s="12" t="s">
        <v>940</v>
      </c>
      <c r="C1" s="14"/>
      <c r="L1" s="30"/>
    </row>
    <row r="2" spans="1:14" s="13" customFormat="1" ht="16.5">
      <c r="A2" s="12" t="s">
        <v>941</v>
      </c>
      <c r="C2" s="14"/>
      <c r="L2" s="30"/>
    </row>
    <row r="3" spans="1:14" s="13" customFormat="1" ht="16.5">
      <c r="A3" s="15" t="s">
        <v>942</v>
      </c>
      <c r="C3" s="14"/>
      <c r="L3" s="30"/>
    </row>
    <row r="4" spans="1:14" s="30" customFormat="1" ht="19.899999999999999" customHeight="1">
      <c r="A4" s="48" t="s">
        <v>1142</v>
      </c>
      <c r="B4" s="48"/>
      <c r="C4" s="48"/>
      <c r="D4" s="48"/>
      <c r="E4" s="48"/>
      <c r="F4" s="48"/>
      <c r="G4" s="48"/>
      <c r="H4" s="48"/>
      <c r="I4" s="48"/>
      <c r="K4" s="33" t="s">
        <v>1149</v>
      </c>
    </row>
    <row r="5" spans="1:14" s="1" customFormat="1" ht="15.75" customHeight="1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 s="1" customFormat="1" ht="27" customHeight="1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 s="1" customFormat="1" ht="15" customHeight="1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585</v>
      </c>
      <c r="C8" s="21" t="s">
        <v>216</v>
      </c>
      <c r="D8" s="22" t="s">
        <v>17</v>
      </c>
      <c r="E8" s="16">
        <v>5</v>
      </c>
      <c r="F8" s="16">
        <v>14</v>
      </c>
      <c r="G8" s="16">
        <v>4</v>
      </c>
      <c r="H8" s="23">
        <f t="shared" ref="H8:H39" si="0">100-E8*3+100-F8*3+100-G8*15</f>
        <v>183</v>
      </c>
      <c r="I8" s="24">
        <f t="shared" ref="I8:I39" si="1">H8/3</f>
        <v>61</v>
      </c>
      <c r="J8" s="16">
        <f t="shared" ref="J8:J39" si="2">RANK(H8,$H$8:$H$69)</f>
        <v>48</v>
      </c>
      <c r="K8" s="16" t="str">
        <f t="shared" ref="K8:K39" si="3">IF(I8&lt;11.1,"TIDAK HADIR",IF(I8&lt;13.1,"TIDAK BACA",IF(I8&lt;$K$7,"TIDAK TUNTAS","TUNTAS")))</f>
        <v>TUNTAS</v>
      </c>
      <c r="L8" s="16" t="str">
        <f t="shared" ref="L8:L15" si="4">IF(G8&gt;5,"TM"," ")</f>
        <v xml:space="preserve"> </v>
      </c>
      <c r="N8" s="51">
        <f>I8/10</f>
        <v>6.1</v>
      </c>
    </row>
    <row r="9" spans="1:14">
      <c r="A9" s="16">
        <v>2</v>
      </c>
      <c r="B9" s="20" t="s">
        <v>587</v>
      </c>
      <c r="C9" s="25" t="s">
        <v>467</v>
      </c>
      <c r="D9" s="22" t="s">
        <v>17</v>
      </c>
      <c r="E9" s="16">
        <v>32</v>
      </c>
      <c r="F9" s="16">
        <v>32</v>
      </c>
      <c r="G9" s="16">
        <v>5</v>
      </c>
      <c r="H9" s="23">
        <f t="shared" si="0"/>
        <v>33</v>
      </c>
      <c r="I9" s="24">
        <f t="shared" si="1"/>
        <v>11</v>
      </c>
      <c r="J9" s="16">
        <f t="shared" si="2"/>
        <v>57</v>
      </c>
      <c r="K9" s="16" t="str">
        <f t="shared" si="3"/>
        <v>TIDAK HADIR</v>
      </c>
      <c r="L9" s="16" t="str">
        <f t="shared" si="4"/>
        <v xml:space="preserve"> </v>
      </c>
      <c r="N9" s="51">
        <f t="shared" ref="N9:N66" si="5">I9/10</f>
        <v>1.1000000000000001</v>
      </c>
    </row>
    <row r="10" spans="1:14">
      <c r="A10" s="16">
        <v>3</v>
      </c>
      <c r="B10" s="20" t="s">
        <v>589</v>
      </c>
      <c r="C10" s="25" t="s">
        <v>384</v>
      </c>
      <c r="D10" s="22" t="s">
        <v>25</v>
      </c>
      <c r="E10" s="16">
        <v>3</v>
      </c>
      <c r="F10" s="16">
        <v>2</v>
      </c>
      <c r="G10" s="16">
        <v>0</v>
      </c>
      <c r="H10" s="23">
        <f t="shared" si="0"/>
        <v>285</v>
      </c>
      <c r="I10" s="24">
        <f t="shared" si="1"/>
        <v>95</v>
      </c>
      <c r="J10" s="16">
        <f t="shared" si="2"/>
        <v>14</v>
      </c>
      <c r="K10" s="16" t="str">
        <f t="shared" si="3"/>
        <v>TUNTAS</v>
      </c>
      <c r="L10" s="16" t="str">
        <f t="shared" si="4"/>
        <v xml:space="preserve"> </v>
      </c>
      <c r="N10" s="51">
        <f t="shared" si="5"/>
        <v>9.5</v>
      </c>
    </row>
    <row r="11" spans="1:14">
      <c r="A11" s="16">
        <v>4</v>
      </c>
      <c r="B11" s="20" t="s">
        <v>590</v>
      </c>
      <c r="C11" s="21" t="s">
        <v>219</v>
      </c>
      <c r="D11" s="22" t="s">
        <v>29</v>
      </c>
      <c r="E11" s="16">
        <v>2</v>
      </c>
      <c r="F11" s="16">
        <v>2</v>
      </c>
      <c r="G11" s="16">
        <v>1</v>
      </c>
      <c r="H11" s="23">
        <f t="shared" si="0"/>
        <v>273</v>
      </c>
      <c r="I11" s="24">
        <f t="shared" si="1"/>
        <v>91</v>
      </c>
      <c r="J11" s="16">
        <f t="shared" si="2"/>
        <v>21</v>
      </c>
      <c r="K11" s="16" t="str">
        <f t="shared" si="3"/>
        <v>TUNTAS</v>
      </c>
      <c r="L11" s="16" t="str">
        <f t="shared" si="4"/>
        <v xml:space="preserve"> </v>
      </c>
      <c r="N11" s="51">
        <f t="shared" si="5"/>
        <v>9.1</v>
      </c>
    </row>
    <row r="12" spans="1:14">
      <c r="A12" s="16">
        <v>5</v>
      </c>
      <c r="B12" s="20" t="s">
        <v>592</v>
      </c>
      <c r="C12" s="25" t="s">
        <v>33</v>
      </c>
      <c r="D12" s="22" t="s">
        <v>31</v>
      </c>
      <c r="E12" s="16">
        <v>20</v>
      </c>
      <c r="F12" s="16">
        <v>17</v>
      </c>
      <c r="G12" s="16">
        <v>6</v>
      </c>
      <c r="H12" s="23">
        <f t="shared" si="0"/>
        <v>99</v>
      </c>
      <c r="I12" s="24">
        <f t="shared" si="1"/>
        <v>33</v>
      </c>
      <c r="J12" s="16">
        <f t="shared" si="2"/>
        <v>55</v>
      </c>
      <c r="K12" s="16" t="str">
        <f t="shared" si="3"/>
        <v>TIDAK TUNTAS</v>
      </c>
      <c r="L12" s="16" t="str">
        <f t="shared" si="4"/>
        <v>TM</v>
      </c>
      <c r="N12" s="51">
        <f t="shared" si="5"/>
        <v>3.3</v>
      </c>
    </row>
    <row r="13" spans="1:14">
      <c r="A13" s="16">
        <v>6</v>
      </c>
      <c r="B13" s="20" t="s">
        <v>594</v>
      </c>
      <c r="C13" s="21" t="s">
        <v>27</v>
      </c>
      <c r="D13" s="22" t="s">
        <v>31</v>
      </c>
      <c r="E13" s="16">
        <v>5</v>
      </c>
      <c r="F13" s="16">
        <v>10</v>
      </c>
      <c r="G13" s="16">
        <v>3</v>
      </c>
      <c r="H13" s="23">
        <f t="shared" si="0"/>
        <v>210</v>
      </c>
      <c r="I13" s="24">
        <f t="shared" si="1"/>
        <v>70</v>
      </c>
      <c r="J13" s="16">
        <f t="shared" si="2"/>
        <v>44</v>
      </c>
      <c r="K13" s="16" t="str">
        <f t="shared" si="3"/>
        <v>TUNTAS</v>
      </c>
      <c r="L13" s="16" t="str">
        <f t="shared" si="4"/>
        <v xml:space="preserve"> </v>
      </c>
      <c r="N13" s="51">
        <f t="shared" si="5"/>
        <v>7</v>
      </c>
    </row>
    <row r="14" spans="1:14">
      <c r="A14" s="16">
        <v>7</v>
      </c>
      <c r="B14" s="20" t="s">
        <v>596</v>
      </c>
      <c r="C14" s="25" t="s">
        <v>393</v>
      </c>
      <c r="D14" s="22" t="s">
        <v>394</v>
      </c>
      <c r="E14" s="16">
        <v>7</v>
      </c>
      <c r="F14" s="16">
        <v>7</v>
      </c>
      <c r="G14" s="16">
        <v>2</v>
      </c>
      <c r="H14" s="23">
        <f t="shared" si="0"/>
        <v>228</v>
      </c>
      <c r="I14" s="24">
        <f t="shared" si="1"/>
        <v>76</v>
      </c>
      <c r="J14" s="16">
        <f t="shared" si="2"/>
        <v>35</v>
      </c>
      <c r="K14" s="16" t="str">
        <f t="shared" si="3"/>
        <v>TUNTAS</v>
      </c>
      <c r="L14" s="16" t="str">
        <f t="shared" si="4"/>
        <v xml:space="preserve"> </v>
      </c>
      <c r="N14" s="51">
        <f t="shared" si="5"/>
        <v>7.6</v>
      </c>
    </row>
    <row r="15" spans="1:14">
      <c r="A15" s="16">
        <v>8</v>
      </c>
      <c r="B15" s="20" t="s">
        <v>598</v>
      </c>
      <c r="C15" s="21" t="s">
        <v>40</v>
      </c>
      <c r="D15" s="22" t="s">
        <v>41</v>
      </c>
      <c r="E15" s="16">
        <v>2</v>
      </c>
      <c r="F15" s="16">
        <v>1</v>
      </c>
      <c r="G15" s="16">
        <v>1</v>
      </c>
      <c r="H15" s="23">
        <f t="shared" si="0"/>
        <v>276</v>
      </c>
      <c r="I15" s="24">
        <f t="shared" si="1"/>
        <v>92</v>
      </c>
      <c r="J15" s="16">
        <f t="shared" si="2"/>
        <v>19</v>
      </c>
      <c r="K15" s="16" t="str">
        <f t="shared" si="3"/>
        <v>TUNTAS</v>
      </c>
      <c r="L15" s="16" t="str">
        <f t="shared" si="4"/>
        <v xml:space="preserve"> </v>
      </c>
      <c r="N15" s="51">
        <f t="shared" si="5"/>
        <v>9.1999999999999993</v>
      </c>
    </row>
    <row r="16" spans="1:14">
      <c r="A16" s="16">
        <v>9</v>
      </c>
      <c r="B16" s="20" t="s">
        <v>600</v>
      </c>
      <c r="C16" s="21" t="s">
        <v>496</v>
      </c>
      <c r="D16" s="22" t="s">
        <v>52</v>
      </c>
      <c r="E16" s="16">
        <v>32</v>
      </c>
      <c r="F16" s="16">
        <v>32</v>
      </c>
      <c r="G16" s="16">
        <v>5</v>
      </c>
      <c r="H16" s="23">
        <f t="shared" si="0"/>
        <v>33</v>
      </c>
      <c r="I16" s="24">
        <f t="shared" si="1"/>
        <v>11</v>
      </c>
      <c r="J16" s="16">
        <f t="shared" si="2"/>
        <v>57</v>
      </c>
      <c r="K16" s="16" t="str">
        <f t="shared" si="3"/>
        <v>TIDAK HADIR</v>
      </c>
      <c r="L16" s="16" t="s">
        <v>1144</v>
      </c>
      <c r="N16" s="51">
        <f t="shared" si="5"/>
        <v>1.1000000000000001</v>
      </c>
    </row>
    <row r="17" spans="1:14">
      <c r="A17" s="16">
        <v>10</v>
      </c>
      <c r="B17" s="20" t="s">
        <v>601</v>
      </c>
      <c r="C17" s="21" t="s">
        <v>238</v>
      </c>
      <c r="D17" s="22" t="s">
        <v>52</v>
      </c>
      <c r="E17" s="16">
        <v>10</v>
      </c>
      <c r="F17" s="16">
        <v>0</v>
      </c>
      <c r="G17" s="16">
        <v>1</v>
      </c>
      <c r="H17" s="23">
        <f t="shared" si="0"/>
        <v>255</v>
      </c>
      <c r="I17" s="24">
        <f t="shared" si="1"/>
        <v>85</v>
      </c>
      <c r="J17" s="16">
        <f t="shared" si="2"/>
        <v>28</v>
      </c>
      <c r="K17" s="16" t="str">
        <f t="shared" si="3"/>
        <v>TUNTAS</v>
      </c>
      <c r="L17" s="16" t="str">
        <f t="shared" ref="L17:L28" si="6">IF(G17&gt;5,"TM"," ")</f>
        <v xml:space="preserve"> </v>
      </c>
      <c r="N17" s="51">
        <f t="shared" si="5"/>
        <v>8.5</v>
      </c>
    </row>
    <row r="18" spans="1:14">
      <c r="A18" s="16">
        <v>11</v>
      </c>
      <c r="B18" s="20" t="s">
        <v>602</v>
      </c>
      <c r="C18" s="21" t="s">
        <v>245</v>
      </c>
      <c r="D18" s="22" t="s">
        <v>243</v>
      </c>
      <c r="E18" s="16">
        <v>4</v>
      </c>
      <c r="F18" s="16">
        <v>1</v>
      </c>
      <c r="G18" s="16">
        <v>2</v>
      </c>
      <c r="H18" s="23">
        <f t="shared" si="0"/>
        <v>255</v>
      </c>
      <c r="I18" s="24">
        <f t="shared" si="1"/>
        <v>85</v>
      </c>
      <c r="J18" s="16">
        <f t="shared" si="2"/>
        <v>28</v>
      </c>
      <c r="K18" s="16" t="str">
        <f t="shared" si="3"/>
        <v>TUNTAS</v>
      </c>
      <c r="L18" s="16" t="str">
        <f t="shared" si="6"/>
        <v xml:space="preserve"> </v>
      </c>
      <c r="N18" s="51">
        <f t="shared" si="5"/>
        <v>8.5</v>
      </c>
    </row>
    <row r="19" spans="1:14">
      <c r="A19" s="16">
        <v>12</v>
      </c>
      <c r="B19" s="20" t="s">
        <v>604</v>
      </c>
      <c r="C19" s="21" t="s">
        <v>247</v>
      </c>
      <c r="D19" s="22" t="s">
        <v>59</v>
      </c>
      <c r="E19" s="16">
        <v>3</v>
      </c>
      <c r="F19" s="16">
        <v>1</v>
      </c>
      <c r="G19" s="16">
        <v>1</v>
      </c>
      <c r="H19" s="23">
        <f t="shared" si="0"/>
        <v>273</v>
      </c>
      <c r="I19" s="24">
        <f t="shared" si="1"/>
        <v>91</v>
      </c>
      <c r="J19" s="16">
        <f t="shared" si="2"/>
        <v>21</v>
      </c>
      <c r="K19" s="16" t="str">
        <f t="shared" si="3"/>
        <v>TUNTAS</v>
      </c>
      <c r="L19" s="16" t="str">
        <f t="shared" si="6"/>
        <v xml:space="preserve"> </v>
      </c>
      <c r="N19" s="51">
        <f t="shared" si="5"/>
        <v>9.1</v>
      </c>
    </row>
    <row r="20" spans="1:14">
      <c r="A20" s="16">
        <v>13</v>
      </c>
      <c r="B20" s="20" t="s">
        <v>606</v>
      </c>
      <c r="C20" s="21" t="s">
        <v>407</v>
      </c>
      <c r="D20" s="22" t="s">
        <v>63</v>
      </c>
      <c r="E20" s="16">
        <v>11</v>
      </c>
      <c r="F20" s="16">
        <v>19</v>
      </c>
      <c r="G20" s="16">
        <v>6</v>
      </c>
      <c r="H20" s="23">
        <f t="shared" si="0"/>
        <v>120</v>
      </c>
      <c r="I20" s="24">
        <f t="shared" si="1"/>
        <v>40</v>
      </c>
      <c r="J20" s="16">
        <f t="shared" si="2"/>
        <v>51</v>
      </c>
      <c r="K20" s="16" t="str">
        <f t="shared" si="3"/>
        <v>TIDAK TUNTAS</v>
      </c>
      <c r="L20" s="16" t="str">
        <f t="shared" si="6"/>
        <v>TM</v>
      </c>
      <c r="N20" s="51">
        <f t="shared" si="5"/>
        <v>4</v>
      </c>
    </row>
    <row r="21" spans="1:14">
      <c r="A21" s="16">
        <v>14</v>
      </c>
      <c r="B21" s="20" t="s">
        <v>608</v>
      </c>
      <c r="C21" s="21" t="s">
        <v>408</v>
      </c>
      <c r="D21" s="22" t="s">
        <v>66</v>
      </c>
      <c r="E21" s="16">
        <v>3</v>
      </c>
      <c r="F21" s="16">
        <v>5</v>
      </c>
      <c r="G21" s="16">
        <v>0</v>
      </c>
      <c r="H21" s="23">
        <f t="shared" si="0"/>
        <v>276</v>
      </c>
      <c r="I21" s="24">
        <f t="shared" si="1"/>
        <v>92</v>
      </c>
      <c r="J21" s="16">
        <f t="shared" si="2"/>
        <v>19</v>
      </c>
      <c r="K21" s="16" t="str">
        <f t="shared" si="3"/>
        <v>TUNTAS</v>
      </c>
      <c r="L21" s="16" t="str">
        <f t="shared" si="6"/>
        <v xml:space="preserve"> </v>
      </c>
      <c r="N21" s="51">
        <f t="shared" si="5"/>
        <v>9.1999999999999993</v>
      </c>
    </row>
    <row r="22" spans="1:14">
      <c r="A22" s="16">
        <v>15</v>
      </c>
      <c r="B22" s="20" t="s">
        <v>610</v>
      </c>
      <c r="C22" s="21" t="s">
        <v>68</v>
      </c>
      <c r="D22" s="22" t="s">
        <v>69</v>
      </c>
      <c r="E22" s="16">
        <v>12</v>
      </c>
      <c r="F22" s="16">
        <v>0</v>
      </c>
      <c r="G22" s="16">
        <v>4</v>
      </c>
      <c r="H22" s="23">
        <f t="shared" si="0"/>
        <v>204</v>
      </c>
      <c r="I22" s="24">
        <f t="shared" si="1"/>
        <v>68</v>
      </c>
      <c r="J22" s="16">
        <f t="shared" si="2"/>
        <v>46</v>
      </c>
      <c r="K22" s="16" t="str">
        <f t="shared" si="3"/>
        <v>TUNTAS</v>
      </c>
      <c r="L22" s="16" t="str">
        <f t="shared" si="6"/>
        <v xml:space="preserve"> </v>
      </c>
      <c r="N22" s="51">
        <f t="shared" si="5"/>
        <v>6.8</v>
      </c>
    </row>
    <row r="23" spans="1:14">
      <c r="A23" s="16">
        <v>16</v>
      </c>
      <c r="B23" s="20" t="s">
        <v>612</v>
      </c>
      <c r="C23" s="21" t="s">
        <v>255</v>
      </c>
      <c r="D23" s="22" t="s">
        <v>74</v>
      </c>
      <c r="E23" s="16">
        <v>12</v>
      </c>
      <c r="F23" s="16">
        <v>1</v>
      </c>
      <c r="G23" s="16">
        <v>3</v>
      </c>
      <c r="H23" s="23">
        <f t="shared" si="0"/>
        <v>216</v>
      </c>
      <c r="I23" s="24">
        <f t="shared" si="1"/>
        <v>72</v>
      </c>
      <c r="J23" s="16">
        <f t="shared" si="2"/>
        <v>41</v>
      </c>
      <c r="K23" s="16" t="str">
        <f t="shared" si="3"/>
        <v>TUNTAS</v>
      </c>
      <c r="L23" s="16" t="str">
        <f t="shared" si="6"/>
        <v xml:space="preserve"> </v>
      </c>
      <c r="N23" s="51">
        <f t="shared" si="5"/>
        <v>7.2</v>
      </c>
    </row>
    <row r="24" spans="1:14">
      <c r="A24" s="16">
        <v>17</v>
      </c>
      <c r="B24" s="20" t="s">
        <v>614</v>
      </c>
      <c r="C24" s="26" t="s">
        <v>76</v>
      </c>
      <c r="D24" s="27" t="s">
        <v>77</v>
      </c>
      <c r="E24" s="16">
        <v>4</v>
      </c>
      <c r="F24" s="16">
        <v>0</v>
      </c>
      <c r="G24" s="16">
        <v>0</v>
      </c>
      <c r="H24" s="23">
        <f t="shared" si="0"/>
        <v>288</v>
      </c>
      <c r="I24" s="24">
        <f t="shared" si="1"/>
        <v>96</v>
      </c>
      <c r="J24" s="16">
        <f t="shared" si="2"/>
        <v>12</v>
      </c>
      <c r="K24" s="16" t="str">
        <f t="shared" si="3"/>
        <v>TUNTAS</v>
      </c>
      <c r="L24" s="16" t="str">
        <f t="shared" si="6"/>
        <v xml:space="preserve"> </v>
      </c>
      <c r="N24" s="51">
        <f t="shared" si="5"/>
        <v>9.6</v>
      </c>
    </row>
    <row r="25" spans="1:14">
      <c r="A25" s="28">
        <v>18</v>
      </c>
      <c r="B25" s="20" t="s">
        <v>616</v>
      </c>
      <c r="C25" s="21" t="s">
        <v>412</v>
      </c>
      <c r="D25" s="22" t="s">
        <v>80</v>
      </c>
      <c r="E25" s="16">
        <v>6</v>
      </c>
      <c r="F25" s="16">
        <v>7</v>
      </c>
      <c r="G25" s="16">
        <v>3</v>
      </c>
      <c r="H25" s="23">
        <f t="shared" si="0"/>
        <v>216</v>
      </c>
      <c r="I25" s="24">
        <f t="shared" si="1"/>
        <v>72</v>
      </c>
      <c r="J25" s="16">
        <f t="shared" si="2"/>
        <v>41</v>
      </c>
      <c r="K25" s="16" t="str">
        <f t="shared" si="3"/>
        <v>TUNTAS</v>
      </c>
      <c r="L25" s="16" t="str">
        <f t="shared" si="6"/>
        <v xml:space="preserve"> </v>
      </c>
      <c r="N25" s="51">
        <f t="shared" si="5"/>
        <v>7.2</v>
      </c>
    </row>
    <row r="26" spans="1:14">
      <c r="A26" s="16">
        <v>19</v>
      </c>
      <c r="B26" s="20" t="s">
        <v>618</v>
      </c>
      <c r="C26" s="21" t="s">
        <v>411</v>
      </c>
      <c r="D26" s="22" t="s">
        <v>80</v>
      </c>
      <c r="E26" s="16">
        <v>0</v>
      </c>
      <c r="F26" s="16">
        <v>0</v>
      </c>
      <c r="G26" s="16">
        <v>0</v>
      </c>
      <c r="H26" s="23">
        <f t="shared" si="0"/>
        <v>300</v>
      </c>
      <c r="I26" s="24">
        <f t="shared" si="1"/>
        <v>100</v>
      </c>
      <c r="J26" s="16">
        <f t="shared" si="2"/>
        <v>1</v>
      </c>
      <c r="K26" s="16" t="str">
        <f t="shared" si="3"/>
        <v>TUNTAS</v>
      </c>
      <c r="L26" s="16" t="str">
        <f t="shared" si="6"/>
        <v xml:space="preserve"> </v>
      </c>
      <c r="N26" s="51">
        <f t="shared" si="5"/>
        <v>10</v>
      </c>
    </row>
    <row r="27" spans="1:14">
      <c r="A27" s="16">
        <v>20</v>
      </c>
      <c r="B27" s="20" t="s">
        <v>619</v>
      </c>
      <c r="C27" s="21" t="s">
        <v>517</v>
      </c>
      <c r="D27" s="22" t="s">
        <v>84</v>
      </c>
      <c r="E27" s="16">
        <v>6</v>
      </c>
      <c r="F27" s="16">
        <v>4</v>
      </c>
      <c r="G27" s="16">
        <v>2</v>
      </c>
      <c r="H27" s="23">
        <f t="shared" si="0"/>
        <v>240</v>
      </c>
      <c r="I27" s="24">
        <f t="shared" si="1"/>
        <v>80</v>
      </c>
      <c r="J27" s="16">
        <f t="shared" si="2"/>
        <v>32</v>
      </c>
      <c r="K27" s="16" t="str">
        <f t="shared" si="3"/>
        <v>TUNTAS</v>
      </c>
      <c r="L27" s="16" t="str">
        <f t="shared" si="6"/>
        <v xml:space="preserve"> </v>
      </c>
      <c r="N27" s="51">
        <f t="shared" si="5"/>
        <v>8</v>
      </c>
    </row>
    <row r="28" spans="1:14">
      <c r="A28" s="16">
        <v>21</v>
      </c>
      <c r="B28" s="20" t="s">
        <v>620</v>
      </c>
      <c r="C28" s="21" t="s">
        <v>83</v>
      </c>
      <c r="D28" s="22" t="s">
        <v>84</v>
      </c>
      <c r="E28" s="16">
        <v>0</v>
      </c>
      <c r="F28" s="16">
        <v>0</v>
      </c>
      <c r="G28" s="16">
        <v>0</v>
      </c>
      <c r="H28" s="23">
        <f t="shared" si="0"/>
        <v>300</v>
      </c>
      <c r="I28" s="24">
        <f t="shared" si="1"/>
        <v>100</v>
      </c>
      <c r="J28" s="16">
        <f t="shared" si="2"/>
        <v>1</v>
      </c>
      <c r="K28" s="16" t="str">
        <f t="shared" si="3"/>
        <v>TUNTAS</v>
      </c>
      <c r="L28" s="16" t="str">
        <f t="shared" si="6"/>
        <v xml:space="preserve"> </v>
      </c>
      <c r="N28" s="51">
        <f t="shared" si="5"/>
        <v>10</v>
      </c>
    </row>
    <row r="29" spans="1:14">
      <c r="A29" s="16">
        <v>22</v>
      </c>
      <c r="B29" s="20" t="s">
        <v>622</v>
      </c>
      <c r="C29" s="26" t="s">
        <v>88</v>
      </c>
      <c r="D29" s="27" t="s">
        <v>89</v>
      </c>
      <c r="E29" s="16">
        <v>29</v>
      </c>
      <c r="F29" s="16">
        <v>29</v>
      </c>
      <c r="G29" s="16">
        <v>5</v>
      </c>
      <c r="H29" s="23">
        <f t="shared" si="0"/>
        <v>51</v>
      </c>
      <c r="I29" s="24">
        <f t="shared" si="1"/>
        <v>17</v>
      </c>
      <c r="J29" s="16">
        <f t="shared" si="2"/>
        <v>56</v>
      </c>
      <c r="K29" s="16" t="str">
        <f t="shared" si="3"/>
        <v>TIDAK TUNTAS</v>
      </c>
      <c r="L29" s="16" t="s">
        <v>1150</v>
      </c>
      <c r="N29" s="51">
        <f t="shared" si="5"/>
        <v>1.7</v>
      </c>
    </row>
    <row r="30" spans="1:14">
      <c r="A30" s="16">
        <v>23</v>
      </c>
      <c r="B30" s="20" t="s">
        <v>624</v>
      </c>
      <c r="C30" s="21" t="s">
        <v>265</v>
      </c>
      <c r="D30" s="22" t="s">
        <v>89</v>
      </c>
      <c r="E30" s="16">
        <v>2</v>
      </c>
      <c r="F30" s="16">
        <v>0</v>
      </c>
      <c r="G30" s="16">
        <v>2</v>
      </c>
      <c r="H30" s="23">
        <f t="shared" si="0"/>
        <v>264</v>
      </c>
      <c r="I30" s="24">
        <f t="shared" si="1"/>
        <v>88</v>
      </c>
      <c r="J30" s="16">
        <f t="shared" si="2"/>
        <v>24</v>
      </c>
      <c r="K30" s="16" t="str">
        <f t="shared" si="3"/>
        <v>TUNTAS</v>
      </c>
      <c r="L30" s="16" t="str">
        <f>IF(G30&gt;5,"TM"," ")</f>
        <v xml:space="preserve"> </v>
      </c>
      <c r="N30" s="51">
        <f t="shared" si="5"/>
        <v>8.8000000000000007</v>
      </c>
    </row>
    <row r="31" spans="1:14">
      <c r="A31" s="16">
        <v>24</v>
      </c>
      <c r="B31" s="20" t="s">
        <v>626</v>
      </c>
      <c r="C31" s="25" t="s">
        <v>417</v>
      </c>
      <c r="D31" s="22" t="s">
        <v>96</v>
      </c>
      <c r="E31" s="16">
        <v>1</v>
      </c>
      <c r="F31" s="16">
        <v>1</v>
      </c>
      <c r="G31" s="16">
        <v>1</v>
      </c>
      <c r="H31" s="23">
        <f t="shared" si="0"/>
        <v>279</v>
      </c>
      <c r="I31" s="24">
        <f t="shared" si="1"/>
        <v>93</v>
      </c>
      <c r="J31" s="16">
        <f t="shared" si="2"/>
        <v>18</v>
      </c>
      <c r="K31" s="16" t="str">
        <f t="shared" si="3"/>
        <v>TUNTAS</v>
      </c>
      <c r="L31" s="16" t="str">
        <f>IF(G31&gt;5,"TM"," ")</f>
        <v xml:space="preserve"> </v>
      </c>
      <c r="N31" s="51">
        <f t="shared" si="5"/>
        <v>9.3000000000000007</v>
      </c>
    </row>
    <row r="32" spans="1:14">
      <c r="A32" s="16">
        <v>25</v>
      </c>
      <c r="B32" s="20" t="s">
        <v>628</v>
      </c>
      <c r="C32" s="21" t="s">
        <v>421</v>
      </c>
      <c r="D32" s="22" t="s">
        <v>104</v>
      </c>
      <c r="E32" s="16">
        <v>2</v>
      </c>
      <c r="F32" s="16">
        <v>0</v>
      </c>
      <c r="G32" s="16">
        <v>3</v>
      </c>
      <c r="H32" s="23">
        <f t="shared" si="0"/>
        <v>249</v>
      </c>
      <c r="I32" s="24">
        <f t="shared" si="1"/>
        <v>83</v>
      </c>
      <c r="J32" s="16">
        <f t="shared" si="2"/>
        <v>31</v>
      </c>
      <c r="K32" s="16" t="str">
        <f t="shared" si="3"/>
        <v>TUNTAS</v>
      </c>
      <c r="L32" s="16" t="str">
        <f>IF(G32&gt;5,"TM"," ")</f>
        <v xml:space="preserve"> </v>
      </c>
      <c r="N32" s="51">
        <f t="shared" si="5"/>
        <v>8.3000000000000007</v>
      </c>
    </row>
    <row r="33" spans="1:14">
      <c r="A33" s="16">
        <v>26</v>
      </c>
      <c r="B33" s="20" t="s">
        <v>630</v>
      </c>
      <c r="C33" s="21" t="s">
        <v>277</v>
      </c>
      <c r="D33" s="22" t="s">
        <v>278</v>
      </c>
      <c r="E33" s="16">
        <v>32</v>
      </c>
      <c r="F33" s="16">
        <v>32</v>
      </c>
      <c r="G33" s="16">
        <v>5</v>
      </c>
      <c r="H33" s="23">
        <f t="shared" si="0"/>
        <v>33</v>
      </c>
      <c r="I33" s="24">
        <f t="shared" si="1"/>
        <v>11</v>
      </c>
      <c r="J33" s="16">
        <f t="shared" si="2"/>
        <v>57</v>
      </c>
      <c r="K33" s="16" t="str">
        <f t="shared" si="3"/>
        <v>TIDAK HADIR</v>
      </c>
      <c r="L33" s="16" t="s">
        <v>1143</v>
      </c>
      <c r="N33" s="51">
        <f t="shared" si="5"/>
        <v>1.1000000000000001</v>
      </c>
    </row>
    <row r="34" spans="1:14">
      <c r="A34" s="16">
        <v>27</v>
      </c>
      <c r="B34" s="20" t="s">
        <v>632</v>
      </c>
      <c r="C34" s="21" t="s">
        <v>713</v>
      </c>
      <c r="D34" s="22" t="s">
        <v>107</v>
      </c>
      <c r="E34" s="16">
        <v>8</v>
      </c>
      <c r="F34" s="16">
        <v>2</v>
      </c>
      <c r="G34" s="16">
        <v>3</v>
      </c>
      <c r="H34" s="23">
        <f t="shared" si="0"/>
        <v>225</v>
      </c>
      <c r="I34" s="24">
        <f t="shared" si="1"/>
        <v>75</v>
      </c>
      <c r="J34" s="16">
        <f t="shared" si="2"/>
        <v>38</v>
      </c>
      <c r="K34" s="16" t="str">
        <f t="shared" si="3"/>
        <v>TUNTAS</v>
      </c>
      <c r="L34" s="16" t="str">
        <f>IF(G34&gt;5,"TM"," ")</f>
        <v xml:space="preserve"> </v>
      </c>
      <c r="N34" s="51">
        <f t="shared" si="5"/>
        <v>7.5</v>
      </c>
    </row>
    <row r="35" spans="1:14">
      <c r="A35" s="16">
        <v>28</v>
      </c>
      <c r="B35" s="20" t="s">
        <v>633</v>
      </c>
      <c r="C35" s="25" t="s">
        <v>110</v>
      </c>
      <c r="D35" s="22" t="s">
        <v>111</v>
      </c>
      <c r="E35" s="16">
        <v>0</v>
      </c>
      <c r="F35" s="16">
        <v>0</v>
      </c>
      <c r="G35" s="16">
        <v>0</v>
      </c>
      <c r="H35" s="23">
        <f t="shared" si="0"/>
        <v>300</v>
      </c>
      <c r="I35" s="24">
        <f t="shared" si="1"/>
        <v>100</v>
      </c>
      <c r="J35" s="16">
        <f t="shared" si="2"/>
        <v>1</v>
      </c>
      <c r="K35" s="16" t="str">
        <f t="shared" si="3"/>
        <v>TUNTAS</v>
      </c>
      <c r="L35" s="16" t="str">
        <f>IF(G35&gt;5,"TM"," ")</f>
        <v xml:space="preserve"> </v>
      </c>
      <c r="N35" s="51">
        <f t="shared" si="5"/>
        <v>10</v>
      </c>
    </row>
    <row r="36" spans="1:14">
      <c r="A36" s="16">
        <v>29</v>
      </c>
      <c r="B36" s="20" t="s">
        <v>636</v>
      </c>
      <c r="C36" s="21" t="s">
        <v>550</v>
      </c>
      <c r="D36" s="22" t="s">
        <v>115</v>
      </c>
      <c r="E36" s="16">
        <v>8</v>
      </c>
      <c r="F36" s="16">
        <v>2</v>
      </c>
      <c r="G36" s="16">
        <v>3</v>
      </c>
      <c r="H36" s="23">
        <f t="shared" si="0"/>
        <v>225</v>
      </c>
      <c r="I36" s="24">
        <f t="shared" si="1"/>
        <v>75</v>
      </c>
      <c r="J36" s="16">
        <f t="shared" si="2"/>
        <v>38</v>
      </c>
      <c r="K36" s="16" t="str">
        <f t="shared" si="3"/>
        <v>TUNTAS</v>
      </c>
      <c r="L36" s="16" t="str">
        <f>IF(G36&gt;5,"TM"," ")</f>
        <v xml:space="preserve"> </v>
      </c>
      <c r="N36" s="51">
        <f t="shared" si="5"/>
        <v>7.5</v>
      </c>
    </row>
    <row r="37" spans="1:14">
      <c r="A37" s="16">
        <v>30</v>
      </c>
      <c r="B37" s="20" t="s">
        <v>638</v>
      </c>
      <c r="C37" s="21" t="s">
        <v>427</v>
      </c>
      <c r="D37" s="22" t="s">
        <v>115</v>
      </c>
      <c r="E37" s="16">
        <v>32</v>
      </c>
      <c r="F37" s="16">
        <v>32</v>
      </c>
      <c r="G37" s="16">
        <v>5</v>
      </c>
      <c r="H37" s="23">
        <f t="shared" si="0"/>
        <v>33</v>
      </c>
      <c r="I37" s="24">
        <f t="shared" si="1"/>
        <v>11</v>
      </c>
      <c r="J37" s="16">
        <f t="shared" si="2"/>
        <v>57</v>
      </c>
      <c r="K37" s="16" t="str">
        <f t="shared" si="3"/>
        <v>TIDAK HADIR</v>
      </c>
      <c r="L37" s="16" t="str">
        <f>IF(G37&gt;5,"TM"," ")</f>
        <v xml:space="preserve"> </v>
      </c>
      <c r="N37" s="51">
        <f t="shared" si="5"/>
        <v>1.1000000000000001</v>
      </c>
    </row>
    <row r="38" spans="1:14">
      <c r="A38" s="16">
        <v>31</v>
      </c>
      <c r="B38" s="20" t="s">
        <v>640</v>
      </c>
      <c r="C38" s="21" t="s">
        <v>430</v>
      </c>
      <c r="D38" s="22" t="s">
        <v>122</v>
      </c>
      <c r="E38" s="16">
        <v>2</v>
      </c>
      <c r="F38" s="16">
        <v>1</v>
      </c>
      <c r="G38" s="16">
        <v>2</v>
      </c>
      <c r="H38" s="23">
        <f t="shared" si="0"/>
        <v>261</v>
      </c>
      <c r="I38" s="24">
        <f t="shared" si="1"/>
        <v>87</v>
      </c>
      <c r="J38" s="16">
        <f t="shared" si="2"/>
        <v>26</v>
      </c>
      <c r="K38" s="16" t="str">
        <f t="shared" si="3"/>
        <v>TUNTAS</v>
      </c>
      <c r="L38" s="16" t="str">
        <f>IF(G38&gt;5,"TM"," ")</f>
        <v xml:space="preserve"> </v>
      </c>
      <c r="N38" s="51">
        <f t="shared" si="5"/>
        <v>8.6999999999999993</v>
      </c>
    </row>
    <row r="39" spans="1:14">
      <c r="A39" s="16">
        <v>32</v>
      </c>
      <c r="B39" s="20" t="s">
        <v>642</v>
      </c>
      <c r="C39" s="26" t="s">
        <v>290</v>
      </c>
      <c r="D39" s="27" t="s">
        <v>288</v>
      </c>
      <c r="E39" s="16">
        <v>32</v>
      </c>
      <c r="F39" s="16">
        <v>32</v>
      </c>
      <c r="G39" s="16">
        <v>5</v>
      </c>
      <c r="H39" s="23">
        <f t="shared" si="0"/>
        <v>33</v>
      </c>
      <c r="I39" s="24">
        <f t="shared" si="1"/>
        <v>11</v>
      </c>
      <c r="J39" s="16">
        <f t="shared" si="2"/>
        <v>57</v>
      </c>
      <c r="K39" s="16" t="str">
        <f t="shared" si="3"/>
        <v>TIDAK HADIR</v>
      </c>
      <c r="L39" s="16" t="s">
        <v>1144</v>
      </c>
      <c r="N39" s="51">
        <f t="shared" si="5"/>
        <v>1.1000000000000001</v>
      </c>
    </row>
    <row r="40" spans="1:14">
      <c r="A40" s="16">
        <v>33</v>
      </c>
      <c r="B40" s="20" t="s">
        <v>643</v>
      </c>
      <c r="C40" s="25" t="s">
        <v>127</v>
      </c>
      <c r="D40" s="22" t="s">
        <v>128</v>
      </c>
      <c r="E40" s="16">
        <v>4</v>
      </c>
      <c r="F40" s="16">
        <v>3</v>
      </c>
      <c r="G40" s="16">
        <v>1</v>
      </c>
      <c r="H40" s="23">
        <f t="shared" ref="H40:H71" si="7">100-E40*3+100-F40*3+100-G40*15</f>
        <v>264</v>
      </c>
      <c r="I40" s="24">
        <f t="shared" ref="I40:I71" si="8">H40/3</f>
        <v>88</v>
      </c>
      <c r="J40" s="16">
        <f t="shared" ref="J40:J69" si="9">RANK(H40,$H$8:$H$69)</f>
        <v>24</v>
      </c>
      <c r="K40" s="16" t="str">
        <f t="shared" ref="K40:K67" si="10">IF(I40&lt;11.1,"TIDAK HADIR",IF(I40&lt;13.1,"TIDAK BACA",IF(I40&lt;$K$7,"TIDAK TUNTAS","TUNTAS")))</f>
        <v>TUNTAS</v>
      </c>
      <c r="L40" s="16" t="str">
        <f t="shared" ref="L40:L67" si="11">IF(G40&gt;5,"TM"," ")</f>
        <v xml:space="preserve"> </v>
      </c>
      <c r="N40" s="51">
        <f t="shared" si="5"/>
        <v>8.8000000000000007</v>
      </c>
    </row>
    <row r="41" spans="1:14">
      <c r="A41" s="16">
        <v>34</v>
      </c>
      <c r="B41" s="20" t="s">
        <v>645</v>
      </c>
      <c r="C41" s="21" t="s">
        <v>294</v>
      </c>
      <c r="D41" s="22" t="s">
        <v>131</v>
      </c>
      <c r="E41" s="16">
        <v>1</v>
      </c>
      <c r="F41" s="16">
        <v>0</v>
      </c>
      <c r="G41" s="16">
        <v>1</v>
      </c>
      <c r="H41" s="23">
        <f t="shared" si="7"/>
        <v>282</v>
      </c>
      <c r="I41" s="24">
        <f t="shared" si="8"/>
        <v>94</v>
      </c>
      <c r="J41" s="16">
        <f t="shared" si="9"/>
        <v>16</v>
      </c>
      <c r="K41" s="16" t="str">
        <f t="shared" si="10"/>
        <v>TUNTAS</v>
      </c>
      <c r="L41" s="16" t="str">
        <f t="shared" si="11"/>
        <v xml:space="preserve"> </v>
      </c>
      <c r="N41" s="51">
        <f t="shared" si="5"/>
        <v>9.4</v>
      </c>
    </row>
    <row r="42" spans="1:14">
      <c r="A42" s="16">
        <v>35</v>
      </c>
      <c r="B42" s="20" t="s">
        <v>647</v>
      </c>
      <c r="C42" s="21" t="s">
        <v>434</v>
      </c>
      <c r="D42" s="22" t="s">
        <v>133</v>
      </c>
      <c r="E42" s="16">
        <v>0</v>
      </c>
      <c r="F42" s="16">
        <v>0</v>
      </c>
      <c r="G42" s="16">
        <v>0</v>
      </c>
      <c r="H42" s="23">
        <f t="shared" si="7"/>
        <v>300</v>
      </c>
      <c r="I42" s="24">
        <f t="shared" si="8"/>
        <v>100</v>
      </c>
      <c r="J42" s="16">
        <f t="shared" si="9"/>
        <v>1</v>
      </c>
      <c r="K42" s="16" t="str">
        <f t="shared" si="10"/>
        <v>TUNTAS</v>
      </c>
      <c r="L42" s="16" t="str">
        <f t="shared" si="11"/>
        <v xml:space="preserve"> </v>
      </c>
      <c r="N42" s="51">
        <f t="shared" si="5"/>
        <v>10</v>
      </c>
    </row>
    <row r="43" spans="1:14">
      <c r="A43" s="16">
        <v>36</v>
      </c>
      <c r="B43" s="20" t="s">
        <v>649</v>
      </c>
      <c r="C43" s="21" t="s">
        <v>734</v>
      </c>
      <c r="D43" s="22" t="s">
        <v>301</v>
      </c>
      <c r="E43" s="16">
        <v>0</v>
      </c>
      <c r="F43" s="16">
        <v>7</v>
      </c>
      <c r="G43" s="16">
        <v>3</v>
      </c>
      <c r="H43" s="23">
        <f t="shared" si="7"/>
        <v>234</v>
      </c>
      <c r="I43" s="24">
        <f t="shared" si="8"/>
        <v>78</v>
      </c>
      <c r="J43" s="16">
        <f t="shared" si="9"/>
        <v>33</v>
      </c>
      <c r="K43" s="16" t="str">
        <f t="shared" si="10"/>
        <v>TUNTAS</v>
      </c>
      <c r="L43" s="16" t="str">
        <f t="shared" si="11"/>
        <v xml:space="preserve"> </v>
      </c>
      <c r="N43" s="51">
        <f t="shared" si="5"/>
        <v>7.8</v>
      </c>
    </row>
    <row r="44" spans="1:14">
      <c r="A44" s="16">
        <v>37</v>
      </c>
      <c r="B44" s="20" t="s">
        <v>651</v>
      </c>
      <c r="C44" s="21" t="s">
        <v>435</v>
      </c>
      <c r="D44" s="22" t="s">
        <v>436</v>
      </c>
      <c r="E44" s="16">
        <v>1</v>
      </c>
      <c r="F44" s="16">
        <v>1</v>
      </c>
      <c r="G44" s="16">
        <v>0</v>
      </c>
      <c r="H44" s="23">
        <f t="shared" si="7"/>
        <v>294</v>
      </c>
      <c r="I44" s="24">
        <f t="shared" si="8"/>
        <v>98</v>
      </c>
      <c r="J44" s="16">
        <f t="shared" si="9"/>
        <v>9</v>
      </c>
      <c r="K44" s="16" t="str">
        <f t="shared" si="10"/>
        <v>TUNTAS</v>
      </c>
      <c r="L44" s="16" t="str">
        <f t="shared" si="11"/>
        <v xml:space="preserve"> </v>
      </c>
      <c r="N44" s="51">
        <f t="shared" si="5"/>
        <v>9.8000000000000007</v>
      </c>
    </row>
    <row r="45" spans="1:14">
      <c r="A45" s="16">
        <v>38</v>
      </c>
      <c r="B45" s="20" t="s">
        <v>653</v>
      </c>
      <c r="C45" s="21" t="s">
        <v>140</v>
      </c>
      <c r="D45" s="22" t="s">
        <v>141</v>
      </c>
      <c r="E45" s="16">
        <v>1</v>
      </c>
      <c r="F45" s="16">
        <v>0</v>
      </c>
      <c r="G45" s="16">
        <v>1</v>
      </c>
      <c r="H45" s="23">
        <f t="shared" si="7"/>
        <v>282</v>
      </c>
      <c r="I45" s="24">
        <f t="shared" si="8"/>
        <v>94</v>
      </c>
      <c r="J45" s="16">
        <f t="shared" si="9"/>
        <v>16</v>
      </c>
      <c r="K45" s="16" t="str">
        <f t="shared" si="10"/>
        <v>TUNTAS</v>
      </c>
      <c r="L45" s="16" t="str">
        <f t="shared" si="11"/>
        <v xml:space="preserve"> </v>
      </c>
      <c r="N45" s="51">
        <f t="shared" si="5"/>
        <v>9.4</v>
      </c>
    </row>
    <row r="46" spans="1:14">
      <c r="A46" s="16">
        <v>39</v>
      </c>
      <c r="B46" s="20" t="s">
        <v>655</v>
      </c>
      <c r="C46" s="21" t="s">
        <v>306</v>
      </c>
      <c r="D46" s="22" t="s">
        <v>141</v>
      </c>
      <c r="E46" s="16">
        <v>5</v>
      </c>
      <c r="F46" s="16">
        <v>5</v>
      </c>
      <c r="G46" s="16">
        <v>3</v>
      </c>
      <c r="H46" s="23">
        <f t="shared" si="7"/>
        <v>225</v>
      </c>
      <c r="I46" s="24">
        <f t="shared" si="8"/>
        <v>75</v>
      </c>
      <c r="J46" s="16">
        <f t="shared" si="9"/>
        <v>38</v>
      </c>
      <c r="K46" s="16" t="str">
        <f t="shared" si="10"/>
        <v>TUNTAS</v>
      </c>
      <c r="L46" s="16" t="str">
        <f t="shared" si="11"/>
        <v xml:space="preserve"> </v>
      </c>
      <c r="N46" s="51">
        <f t="shared" si="5"/>
        <v>7.5</v>
      </c>
    </row>
    <row r="47" spans="1:14">
      <c r="A47" s="16">
        <v>40</v>
      </c>
      <c r="B47" s="20" t="s">
        <v>656</v>
      </c>
      <c r="C47" s="21" t="s">
        <v>439</v>
      </c>
      <c r="D47" s="22" t="s">
        <v>146</v>
      </c>
      <c r="E47" s="16">
        <v>16</v>
      </c>
      <c r="F47" s="16">
        <v>19</v>
      </c>
      <c r="G47" s="16">
        <v>6</v>
      </c>
      <c r="H47" s="23">
        <f t="shared" si="7"/>
        <v>105</v>
      </c>
      <c r="I47" s="24">
        <f t="shared" si="8"/>
        <v>35</v>
      </c>
      <c r="J47" s="16">
        <f t="shared" si="9"/>
        <v>54</v>
      </c>
      <c r="K47" s="16" t="str">
        <f t="shared" si="10"/>
        <v>TIDAK TUNTAS</v>
      </c>
      <c r="L47" s="16" t="str">
        <f t="shared" si="11"/>
        <v>TM</v>
      </c>
      <c r="N47" s="51">
        <f t="shared" si="5"/>
        <v>3.5</v>
      </c>
    </row>
    <row r="48" spans="1:14">
      <c r="A48" s="16">
        <v>41</v>
      </c>
      <c r="B48" s="20" t="s">
        <v>658</v>
      </c>
      <c r="C48" s="26" t="s">
        <v>315</v>
      </c>
      <c r="D48" s="27" t="s">
        <v>151</v>
      </c>
      <c r="E48" s="16">
        <v>11</v>
      </c>
      <c r="F48" s="16">
        <v>4</v>
      </c>
      <c r="G48" s="16">
        <v>3</v>
      </c>
      <c r="H48" s="23">
        <f t="shared" si="7"/>
        <v>210</v>
      </c>
      <c r="I48" s="24">
        <f t="shared" si="8"/>
        <v>70</v>
      </c>
      <c r="J48" s="16">
        <f t="shared" si="9"/>
        <v>44</v>
      </c>
      <c r="K48" s="16" t="str">
        <f t="shared" si="10"/>
        <v>TUNTAS</v>
      </c>
      <c r="L48" s="16" t="str">
        <f t="shared" si="11"/>
        <v xml:space="preserve"> </v>
      </c>
      <c r="N48" s="51">
        <f t="shared" si="5"/>
        <v>7</v>
      </c>
    </row>
    <row r="49" spans="1:14">
      <c r="A49" s="16">
        <v>42</v>
      </c>
      <c r="B49" s="20" t="s">
        <v>659</v>
      </c>
      <c r="C49" s="21" t="s">
        <v>150</v>
      </c>
      <c r="D49" s="22" t="s">
        <v>151</v>
      </c>
      <c r="E49" s="16">
        <v>2</v>
      </c>
      <c r="F49" s="16">
        <v>4</v>
      </c>
      <c r="G49" s="16">
        <v>2</v>
      </c>
      <c r="H49" s="23">
        <f t="shared" si="7"/>
        <v>252</v>
      </c>
      <c r="I49" s="24">
        <f t="shared" si="8"/>
        <v>84</v>
      </c>
      <c r="J49" s="16">
        <f t="shared" si="9"/>
        <v>30</v>
      </c>
      <c r="K49" s="16" t="str">
        <f t="shared" si="10"/>
        <v>TUNTAS</v>
      </c>
      <c r="L49" s="16" t="str">
        <f t="shared" si="11"/>
        <v xml:space="preserve"> </v>
      </c>
      <c r="N49" s="51">
        <f t="shared" si="5"/>
        <v>8.4</v>
      </c>
    </row>
    <row r="50" spans="1:14">
      <c r="A50" s="16">
        <v>43</v>
      </c>
      <c r="B50" s="20" t="s">
        <v>660</v>
      </c>
      <c r="C50" s="21" t="s">
        <v>159</v>
      </c>
      <c r="D50" s="22" t="s">
        <v>160</v>
      </c>
      <c r="E50" s="16">
        <v>12</v>
      </c>
      <c r="F50" s="16">
        <v>12</v>
      </c>
      <c r="G50" s="16">
        <v>4</v>
      </c>
      <c r="H50" s="23">
        <f t="shared" si="7"/>
        <v>168</v>
      </c>
      <c r="I50" s="24">
        <f t="shared" si="8"/>
        <v>56</v>
      </c>
      <c r="J50" s="16">
        <f t="shared" si="9"/>
        <v>50</v>
      </c>
      <c r="K50" s="16" t="str">
        <f t="shared" si="10"/>
        <v>TIDAK TUNTAS</v>
      </c>
      <c r="L50" s="16" t="str">
        <f t="shared" si="11"/>
        <v xml:space="preserve"> </v>
      </c>
      <c r="N50" s="51">
        <f t="shared" si="5"/>
        <v>5.6</v>
      </c>
    </row>
    <row r="51" spans="1:14">
      <c r="A51" s="16">
        <v>44</v>
      </c>
      <c r="B51" s="20" t="s">
        <v>661</v>
      </c>
      <c r="C51" s="21" t="s">
        <v>443</v>
      </c>
      <c r="D51" s="22" t="s">
        <v>164</v>
      </c>
      <c r="E51" s="16">
        <v>1</v>
      </c>
      <c r="F51" s="16">
        <v>1</v>
      </c>
      <c r="G51" s="16">
        <v>0</v>
      </c>
      <c r="H51" s="23">
        <f t="shared" si="7"/>
        <v>294</v>
      </c>
      <c r="I51" s="24">
        <f t="shared" si="8"/>
        <v>98</v>
      </c>
      <c r="J51" s="16">
        <f t="shared" si="9"/>
        <v>9</v>
      </c>
      <c r="K51" s="16" t="str">
        <f t="shared" si="10"/>
        <v>TUNTAS</v>
      </c>
      <c r="L51" s="16" t="str">
        <f t="shared" si="11"/>
        <v xml:space="preserve"> </v>
      </c>
      <c r="N51" s="51">
        <f t="shared" si="5"/>
        <v>9.8000000000000007</v>
      </c>
    </row>
    <row r="52" spans="1:14">
      <c r="A52" s="16">
        <v>45</v>
      </c>
      <c r="B52" s="20" t="s">
        <v>663</v>
      </c>
      <c r="C52" s="26" t="s">
        <v>444</v>
      </c>
      <c r="D52" s="27" t="s">
        <v>445</v>
      </c>
      <c r="E52" s="16">
        <v>0</v>
      </c>
      <c r="F52" s="16">
        <v>4</v>
      </c>
      <c r="G52" s="16">
        <v>4</v>
      </c>
      <c r="H52" s="23">
        <f t="shared" si="7"/>
        <v>228</v>
      </c>
      <c r="I52" s="24">
        <f t="shared" si="8"/>
        <v>76</v>
      </c>
      <c r="J52" s="16">
        <f t="shared" si="9"/>
        <v>35</v>
      </c>
      <c r="K52" s="16" t="str">
        <f t="shared" si="10"/>
        <v>TUNTAS</v>
      </c>
      <c r="L52" s="16" t="str">
        <f t="shared" si="11"/>
        <v xml:space="preserve"> </v>
      </c>
      <c r="N52" s="51">
        <f t="shared" si="5"/>
        <v>7.6</v>
      </c>
    </row>
    <row r="53" spans="1:14">
      <c r="A53" s="16">
        <v>46</v>
      </c>
      <c r="B53" s="20" t="s">
        <v>665</v>
      </c>
      <c r="C53" s="25" t="s">
        <v>595</v>
      </c>
      <c r="D53" s="22" t="s">
        <v>447</v>
      </c>
      <c r="E53" s="16">
        <v>1</v>
      </c>
      <c r="F53" s="16">
        <v>3</v>
      </c>
      <c r="G53" s="16">
        <v>2</v>
      </c>
      <c r="H53" s="23">
        <f t="shared" si="7"/>
        <v>258</v>
      </c>
      <c r="I53" s="24">
        <f t="shared" si="8"/>
        <v>86</v>
      </c>
      <c r="J53" s="16">
        <f t="shared" si="9"/>
        <v>27</v>
      </c>
      <c r="K53" s="16" t="str">
        <f t="shared" si="10"/>
        <v>TUNTAS</v>
      </c>
      <c r="L53" s="16" t="str">
        <f t="shared" si="11"/>
        <v xml:space="preserve"> </v>
      </c>
      <c r="N53" s="51">
        <f t="shared" si="5"/>
        <v>8.6</v>
      </c>
    </row>
    <row r="54" spans="1:14">
      <c r="A54" s="16">
        <v>47</v>
      </c>
      <c r="B54" s="20" t="s">
        <v>666</v>
      </c>
      <c r="C54" s="21" t="s">
        <v>449</v>
      </c>
      <c r="D54" s="22" t="s">
        <v>450</v>
      </c>
      <c r="E54" s="16">
        <v>1</v>
      </c>
      <c r="F54" s="16">
        <v>2</v>
      </c>
      <c r="G54" s="16">
        <v>0</v>
      </c>
      <c r="H54" s="23">
        <f t="shared" si="7"/>
        <v>291</v>
      </c>
      <c r="I54" s="24">
        <f t="shared" si="8"/>
        <v>97</v>
      </c>
      <c r="J54" s="16">
        <f t="shared" si="9"/>
        <v>11</v>
      </c>
      <c r="K54" s="16" t="str">
        <f t="shared" si="10"/>
        <v>TUNTAS</v>
      </c>
      <c r="L54" s="16" t="str">
        <f t="shared" si="11"/>
        <v xml:space="preserve"> </v>
      </c>
      <c r="N54" s="51">
        <f t="shared" si="5"/>
        <v>9.6999999999999993</v>
      </c>
    </row>
    <row r="55" spans="1:14">
      <c r="A55" s="16">
        <v>48</v>
      </c>
      <c r="B55" s="20" t="s">
        <v>668</v>
      </c>
      <c r="C55" s="21" t="s">
        <v>451</v>
      </c>
      <c r="D55" s="22" t="s">
        <v>330</v>
      </c>
      <c r="E55" s="16">
        <v>0</v>
      </c>
      <c r="F55" s="16">
        <v>0</v>
      </c>
      <c r="G55" s="16">
        <v>0</v>
      </c>
      <c r="H55" s="23">
        <f t="shared" si="7"/>
        <v>300</v>
      </c>
      <c r="I55" s="24">
        <f t="shared" si="8"/>
        <v>100</v>
      </c>
      <c r="J55" s="16">
        <f t="shared" si="9"/>
        <v>1</v>
      </c>
      <c r="K55" s="16" t="str">
        <f t="shared" si="10"/>
        <v>TUNTAS</v>
      </c>
      <c r="L55" s="16" t="str">
        <f t="shared" si="11"/>
        <v xml:space="preserve"> </v>
      </c>
      <c r="N55" s="51">
        <f t="shared" si="5"/>
        <v>10</v>
      </c>
    </row>
    <row r="56" spans="1:14">
      <c r="A56" s="16">
        <v>49</v>
      </c>
      <c r="B56" s="20" t="s">
        <v>669</v>
      </c>
      <c r="C56" s="21" t="s">
        <v>452</v>
      </c>
      <c r="D56" s="22" t="s">
        <v>173</v>
      </c>
      <c r="E56" s="16">
        <v>0</v>
      </c>
      <c r="F56" s="16">
        <v>1</v>
      </c>
      <c r="G56" s="16">
        <v>0</v>
      </c>
      <c r="H56" s="23">
        <f t="shared" si="7"/>
        <v>297</v>
      </c>
      <c r="I56" s="24">
        <f t="shared" si="8"/>
        <v>99</v>
      </c>
      <c r="J56" s="16">
        <f t="shared" si="9"/>
        <v>8</v>
      </c>
      <c r="K56" s="16" t="str">
        <f t="shared" si="10"/>
        <v>TUNTAS</v>
      </c>
      <c r="L56" s="16" t="str">
        <f t="shared" si="11"/>
        <v xml:space="preserve"> </v>
      </c>
      <c r="N56" s="51">
        <f t="shared" si="5"/>
        <v>9.9</v>
      </c>
    </row>
    <row r="57" spans="1:14">
      <c r="A57" s="16">
        <v>50</v>
      </c>
      <c r="B57" s="20" t="s">
        <v>671</v>
      </c>
      <c r="C57" s="26" t="s">
        <v>175</v>
      </c>
      <c r="D57" s="27" t="s">
        <v>176</v>
      </c>
      <c r="E57" s="16">
        <v>0</v>
      </c>
      <c r="F57" s="16">
        <v>0</v>
      </c>
      <c r="G57" s="16">
        <v>0</v>
      </c>
      <c r="H57" s="23">
        <f t="shared" si="7"/>
        <v>300</v>
      </c>
      <c r="I57" s="24">
        <f t="shared" si="8"/>
        <v>100</v>
      </c>
      <c r="J57" s="16">
        <f t="shared" si="9"/>
        <v>1</v>
      </c>
      <c r="K57" s="16" t="str">
        <f t="shared" si="10"/>
        <v>TUNTAS</v>
      </c>
      <c r="L57" s="16" t="str">
        <f t="shared" si="11"/>
        <v xml:space="preserve"> </v>
      </c>
      <c r="N57" s="51">
        <f t="shared" si="5"/>
        <v>10</v>
      </c>
    </row>
    <row r="58" spans="1:14">
      <c r="A58" s="16">
        <v>51</v>
      </c>
      <c r="B58" s="20" t="s">
        <v>673</v>
      </c>
      <c r="C58" s="21" t="s">
        <v>340</v>
      </c>
      <c r="D58" s="22" t="s">
        <v>341</v>
      </c>
      <c r="E58" s="16">
        <v>11</v>
      </c>
      <c r="F58" s="16">
        <v>6</v>
      </c>
      <c r="G58" s="16">
        <v>4</v>
      </c>
      <c r="H58" s="23">
        <f t="shared" si="7"/>
        <v>189</v>
      </c>
      <c r="I58" s="24">
        <f t="shared" si="8"/>
        <v>63</v>
      </c>
      <c r="J58" s="16">
        <f t="shared" si="9"/>
        <v>47</v>
      </c>
      <c r="K58" s="16" t="str">
        <f t="shared" si="10"/>
        <v>TUNTAS</v>
      </c>
      <c r="L58" s="16" t="str">
        <f t="shared" si="11"/>
        <v xml:space="preserve"> </v>
      </c>
      <c r="N58" s="51">
        <f t="shared" si="5"/>
        <v>6.3</v>
      </c>
    </row>
    <row r="59" spans="1:14">
      <c r="A59" s="16">
        <v>52</v>
      </c>
      <c r="B59" s="20" t="s">
        <v>675</v>
      </c>
      <c r="C59" s="26" t="s">
        <v>345</v>
      </c>
      <c r="D59" s="27" t="s">
        <v>346</v>
      </c>
      <c r="E59" s="16">
        <v>4</v>
      </c>
      <c r="F59" s="16">
        <v>1</v>
      </c>
      <c r="G59" s="16">
        <v>0</v>
      </c>
      <c r="H59" s="23">
        <f t="shared" si="7"/>
        <v>285</v>
      </c>
      <c r="I59" s="24">
        <f t="shared" si="8"/>
        <v>95</v>
      </c>
      <c r="J59" s="16">
        <f t="shared" si="9"/>
        <v>14</v>
      </c>
      <c r="K59" s="16" t="str">
        <f t="shared" si="10"/>
        <v>TUNTAS</v>
      </c>
      <c r="L59" s="16" t="str">
        <f t="shared" si="11"/>
        <v xml:space="preserve"> </v>
      </c>
      <c r="N59" s="51">
        <f t="shared" si="5"/>
        <v>9.5</v>
      </c>
    </row>
    <row r="60" spans="1:14">
      <c r="A60" s="16">
        <v>53</v>
      </c>
      <c r="B60" s="20" t="s">
        <v>677</v>
      </c>
      <c r="C60" s="21" t="s">
        <v>780</v>
      </c>
      <c r="D60" s="22" t="s">
        <v>346</v>
      </c>
      <c r="E60" s="16">
        <v>4</v>
      </c>
      <c r="F60" s="16">
        <v>0</v>
      </c>
      <c r="G60" s="16">
        <v>0</v>
      </c>
      <c r="H60" s="23">
        <f t="shared" si="7"/>
        <v>288</v>
      </c>
      <c r="I60" s="24">
        <f t="shared" si="8"/>
        <v>96</v>
      </c>
      <c r="J60" s="16">
        <f t="shared" si="9"/>
        <v>12</v>
      </c>
      <c r="K60" s="16" t="str">
        <f t="shared" si="10"/>
        <v>TUNTAS</v>
      </c>
      <c r="L60" s="16" t="str">
        <f t="shared" si="11"/>
        <v xml:space="preserve"> </v>
      </c>
      <c r="N60" s="51">
        <f t="shared" si="5"/>
        <v>9.6</v>
      </c>
    </row>
    <row r="61" spans="1:14">
      <c r="A61" s="16">
        <v>54</v>
      </c>
      <c r="B61" s="20" t="s">
        <v>679</v>
      </c>
      <c r="C61" s="21" t="s">
        <v>455</v>
      </c>
      <c r="D61" s="22" t="s">
        <v>186</v>
      </c>
      <c r="E61" s="16">
        <v>7</v>
      </c>
      <c r="F61" s="16">
        <v>7</v>
      </c>
      <c r="G61" s="16">
        <v>2</v>
      </c>
      <c r="H61" s="23">
        <f t="shared" si="7"/>
        <v>228</v>
      </c>
      <c r="I61" s="24">
        <f t="shared" si="8"/>
        <v>76</v>
      </c>
      <c r="J61" s="16">
        <f t="shared" si="9"/>
        <v>35</v>
      </c>
      <c r="K61" s="16" t="str">
        <f t="shared" si="10"/>
        <v>TUNTAS</v>
      </c>
      <c r="L61" s="16" t="str">
        <f t="shared" si="11"/>
        <v xml:space="preserve"> </v>
      </c>
      <c r="N61" s="51">
        <f t="shared" si="5"/>
        <v>7.6</v>
      </c>
    </row>
    <row r="62" spans="1:14">
      <c r="A62" s="16">
        <v>55</v>
      </c>
      <c r="B62" s="20" t="s">
        <v>681</v>
      </c>
      <c r="C62" s="26" t="s">
        <v>188</v>
      </c>
      <c r="D62" s="27" t="s">
        <v>189</v>
      </c>
      <c r="E62" s="16">
        <v>4</v>
      </c>
      <c r="F62" s="16">
        <v>4</v>
      </c>
      <c r="G62" s="16">
        <v>4</v>
      </c>
      <c r="H62" s="23">
        <f t="shared" si="7"/>
        <v>216</v>
      </c>
      <c r="I62" s="24">
        <f t="shared" si="8"/>
        <v>72</v>
      </c>
      <c r="J62" s="16">
        <f t="shared" si="9"/>
        <v>41</v>
      </c>
      <c r="K62" s="16" t="str">
        <f t="shared" si="10"/>
        <v>TUNTAS</v>
      </c>
      <c r="L62" s="16" t="str">
        <f t="shared" si="11"/>
        <v xml:space="preserve"> </v>
      </c>
      <c r="N62" s="51">
        <f t="shared" si="5"/>
        <v>7.2</v>
      </c>
    </row>
    <row r="63" spans="1:14">
      <c r="A63" s="16">
        <v>56</v>
      </c>
      <c r="B63" s="20" t="s">
        <v>683</v>
      </c>
      <c r="C63" s="21" t="s">
        <v>362</v>
      </c>
      <c r="D63" s="22" t="s">
        <v>363</v>
      </c>
      <c r="E63" s="16">
        <v>2</v>
      </c>
      <c r="F63" s="16">
        <v>2</v>
      </c>
      <c r="G63" s="16">
        <v>1</v>
      </c>
      <c r="H63" s="23">
        <f t="shared" si="7"/>
        <v>273</v>
      </c>
      <c r="I63" s="24">
        <f t="shared" si="8"/>
        <v>91</v>
      </c>
      <c r="J63" s="16">
        <f t="shared" si="9"/>
        <v>21</v>
      </c>
      <c r="K63" s="16" t="str">
        <f t="shared" si="10"/>
        <v>TUNTAS</v>
      </c>
      <c r="L63" s="16" t="str">
        <f t="shared" si="11"/>
        <v xml:space="preserve"> </v>
      </c>
      <c r="N63" s="51">
        <f t="shared" si="5"/>
        <v>9.1</v>
      </c>
    </row>
    <row r="64" spans="1:14">
      <c r="A64" s="16">
        <v>57</v>
      </c>
      <c r="B64" s="20" t="s">
        <v>685</v>
      </c>
      <c r="C64" s="21" t="s">
        <v>459</v>
      </c>
      <c r="D64" s="22" t="s">
        <v>199</v>
      </c>
      <c r="E64" s="16">
        <v>19</v>
      </c>
      <c r="F64" s="16">
        <v>12</v>
      </c>
      <c r="G64" s="16">
        <v>6</v>
      </c>
      <c r="H64" s="23">
        <f t="shared" si="7"/>
        <v>117</v>
      </c>
      <c r="I64" s="24">
        <f t="shared" si="8"/>
        <v>39</v>
      </c>
      <c r="J64" s="16">
        <f t="shared" si="9"/>
        <v>52</v>
      </c>
      <c r="K64" s="16" t="str">
        <f t="shared" si="10"/>
        <v>TIDAK TUNTAS</v>
      </c>
      <c r="L64" s="16" t="str">
        <f t="shared" si="11"/>
        <v>TM</v>
      </c>
      <c r="N64" s="51">
        <f t="shared" si="5"/>
        <v>3.9</v>
      </c>
    </row>
    <row r="65" spans="1:14">
      <c r="A65" s="16">
        <v>58</v>
      </c>
      <c r="B65" s="20" t="s">
        <v>687</v>
      </c>
      <c r="C65" s="26" t="s">
        <v>203</v>
      </c>
      <c r="D65" s="27" t="s">
        <v>204</v>
      </c>
      <c r="E65" s="16">
        <v>14</v>
      </c>
      <c r="F65" s="16">
        <v>7</v>
      </c>
      <c r="G65" s="16">
        <v>4</v>
      </c>
      <c r="H65" s="23">
        <f t="shared" si="7"/>
        <v>177</v>
      </c>
      <c r="I65" s="24">
        <f t="shared" si="8"/>
        <v>59</v>
      </c>
      <c r="J65" s="16">
        <f t="shared" si="9"/>
        <v>49</v>
      </c>
      <c r="K65" s="16" t="str">
        <f t="shared" si="10"/>
        <v>TIDAK TUNTAS</v>
      </c>
      <c r="L65" s="16" t="str">
        <f t="shared" si="11"/>
        <v xml:space="preserve"> </v>
      </c>
      <c r="N65" s="51">
        <f t="shared" si="5"/>
        <v>5.9</v>
      </c>
    </row>
    <row r="66" spans="1:14">
      <c r="A66" s="16">
        <v>59</v>
      </c>
      <c r="B66" s="20" t="s">
        <v>689</v>
      </c>
      <c r="C66" s="21" t="s">
        <v>629</v>
      </c>
      <c r="D66" s="22" t="s">
        <v>207</v>
      </c>
      <c r="E66" s="16">
        <v>8</v>
      </c>
      <c r="F66" s="16">
        <v>0</v>
      </c>
      <c r="G66" s="16">
        <v>3</v>
      </c>
      <c r="H66" s="23">
        <f t="shared" si="7"/>
        <v>231</v>
      </c>
      <c r="I66" s="24">
        <f t="shared" si="8"/>
        <v>77</v>
      </c>
      <c r="J66" s="16">
        <f t="shared" si="9"/>
        <v>34</v>
      </c>
      <c r="K66" s="16" t="str">
        <f t="shared" si="10"/>
        <v>TUNTAS</v>
      </c>
      <c r="L66" s="16" t="str">
        <f t="shared" si="11"/>
        <v xml:space="preserve"> </v>
      </c>
      <c r="N66" s="51">
        <f t="shared" si="5"/>
        <v>7.7</v>
      </c>
    </row>
    <row r="67" spans="1:14">
      <c r="A67" s="16">
        <v>60</v>
      </c>
      <c r="B67" s="20" t="s">
        <v>691</v>
      </c>
      <c r="C67" s="21" t="s">
        <v>374</v>
      </c>
      <c r="D67" s="22" t="s">
        <v>209</v>
      </c>
      <c r="E67" s="16">
        <v>18</v>
      </c>
      <c r="F67" s="16">
        <v>19</v>
      </c>
      <c r="G67" s="16">
        <v>5</v>
      </c>
      <c r="H67" s="23">
        <f t="shared" si="7"/>
        <v>114</v>
      </c>
      <c r="I67" s="24">
        <f t="shared" si="8"/>
        <v>38</v>
      </c>
      <c r="J67" s="16">
        <f t="shared" si="9"/>
        <v>53</v>
      </c>
      <c r="K67" s="16" t="str">
        <f t="shared" si="10"/>
        <v>TIDAK TUNTAS</v>
      </c>
      <c r="L67" s="16" t="str">
        <f t="shared" si="11"/>
        <v xml:space="preserve"> </v>
      </c>
      <c r="N67" s="1"/>
    </row>
    <row r="68" spans="1:14">
      <c r="A68" s="16">
        <v>61</v>
      </c>
      <c r="B68" s="20" t="s">
        <v>693</v>
      </c>
      <c r="C68" s="21" t="s">
        <v>463</v>
      </c>
      <c r="D68" s="22" t="s">
        <v>212</v>
      </c>
      <c r="E68" s="16">
        <v>0</v>
      </c>
      <c r="F68" s="16">
        <v>0</v>
      </c>
      <c r="G68" s="16">
        <v>0</v>
      </c>
      <c r="H68" s="23">
        <f t="shared" si="7"/>
        <v>300</v>
      </c>
      <c r="I68" s="24">
        <f t="shared" si="8"/>
        <v>100</v>
      </c>
      <c r="J68" s="16">
        <f t="shared" si="9"/>
        <v>1</v>
      </c>
      <c r="K68" s="16" t="str">
        <f>IF(G68&gt;5,"TIDAK MUROD",IF(I68&lt;2.8,"TIDAK HADIR",IF(I68&lt;4.8,"TIDAK BACA",IF(I68&lt;$K$7,"TIDAK TUNTAS","TUNTAS"))))</f>
        <v>TUNTAS</v>
      </c>
      <c r="L68" s="16"/>
      <c r="N68" s="1"/>
    </row>
    <row r="69" spans="1:14">
      <c r="A69" s="16">
        <v>62</v>
      </c>
      <c r="B69" s="20" t="s">
        <v>695</v>
      </c>
      <c r="C69" s="21" t="s">
        <v>644</v>
      </c>
      <c r="D69" s="22" t="s">
        <v>380</v>
      </c>
      <c r="E69" s="16">
        <v>32</v>
      </c>
      <c r="F69" s="16">
        <v>32</v>
      </c>
      <c r="G69" s="16">
        <v>5</v>
      </c>
      <c r="H69" s="23">
        <f t="shared" si="7"/>
        <v>33</v>
      </c>
      <c r="I69" s="24">
        <f t="shared" si="8"/>
        <v>11</v>
      </c>
      <c r="J69" s="16">
        <f t="shared" si="9"/>
        <v>57</v>
      </c>
      <c r="K69" s="16" t="str">
        <f>IF(G69&gt;5,"TIDAK MUROD",IF(I69&lt;2.8,"TIDAK HADIR",IF(I69&lt;4.8,"TIDAK BACA",IF(I69&lt;$K$7,"TIDAK TUNTAS","TUNTAS"))))</f>
        <v>TIDAK TUNTAS</v>
      </c>
      <c r="L69" s="16"/>
      <c r="N69" s="1"/>
    </row>
    <row r="70" spans="1:14">
      <c r="N70" s="1"/>
    </row>
  </sheetData>
  <autoFilter ref="B5:L7" xr:uid="{00000000-0001-0000-0500-000000000000}">
    <filterColumn colId="3" showButton="0"/>
    <filterColumn colId="4" showButton="0"/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39" priority="9" operator="equal">
      <formula>0</formula>
    </cfRule>
  </conditionalFormatting>
  <conditionalFormatting sqref="I5:I7 I70:I1048576">
    <cfRule type="cellIs" dxfId="38" priority="12" operator="lessThan">
      <formula>100</formula>
    </cfRule>
  </conditionalFormatting>
  <conditionalFormatting sqref="I5:I1048576">
    <cfRule type="cellIs" dxfId="37" priority="7" operator="lessThan">
      <formula>60</formula>
    </cfRule>
  </conditionalFormatting>
  <conditionalFormatting sqref="I8:I69">
    <cfRule type="cellIs" dxfId="36" priority="6" operator="lessThan">
      <formula>60</formula>
    </cfRule>
    <cfRule type="cellIs" dxfId="35" priority="8" operator="lessThan">
      <formula>50</formula>
    </cfRule>
  </conditionalFormatting>
  <conditionalFormatting sqref="K8:K69">
    <cfRule type="cellIs" dxfId="34" priority="1" operator="equal">
      <formula>"TIDAK BACA"</formula>
    </cfRule>
    <cfRule type="cellIs" dxfId="33" priority="2" operator="equal">
      <formula>"TIDAK TUNTAS"</formula>
    </cfRule>
    <cfRule type="cellIs" dxfId="32" priority="3" operator="equal">
      <formula>"TUNTAS"</formula>
    </cfRule>
    <cfRule type="cellIs" dxfId="31" priority="4" operator="equal">
      <formula>"TIDAK HADIR"</formula>
    </cfRule>
    <cfRule type="cellIs" dxfId="3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00000000-0002-0000-0500-000000000000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CEE1-2BFA-42C6-8E20-DA48D7C4A915}">
  <sheetPr>
    <tabColor theme="6" tint="0.39994506668294322"/>
  </sheetPr>
  <dimension ref="A1:N69"/>
  <sheetViews>
    <sheetView workbookViewId="0">
      <pane xSplit="1" ySplit="7" topLeftCell="B35" activePane="bottomRight" state="frozen"/>
      <selection activeCell="R58" sqref="R58"/>
      <selection pane="topRight" activeCell="R58" sqref="R58"/>
      <selection pane="bottomLeft" activeCell="R58" sqref="R58"/>
      <selection pane="bottomRight" activeCell="R58" sqref="R58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s="13" customFormat="1" ht="16.5">
      <c r="A1" s="12" t="s">
        <v>940</v>
      </c>
      <c r="C1" s="14"/>
      <c r="L1" s="30"/>
    </row>
    <row r="2" spans="1:14" s="13" customFormat="1" ht="16.5">
      <c r="A2" s="12" t="s">
        <v>941</v>
      </c>
      <c r="C2" s="14"/>
      <c r="L2" s="30"/>
    </row>
    <row r="3" spans="1:14" s="13" customFormat="1" ht="16.5">
      <c r="A3" s="15" t="s">
        <v>942</v>
      </c>
      <c r="C3" s="14"/>
      <c r="L3" s="30"/>
    </row>
    <row r="4" spans="1:14" s="30" customFormat="1" ht="19.899999999999999" customHeight="1">
      <c r="A4" s="48" t="s">
        <v>1153</v>
      </c>
      <c r="B4" s="48"/>
      <c r="C4" s="48"/>
      <c r="D4" s="48"/>
      <c r="E4" s="48"/>
      <c r="F4" s="48"/>
      <c r="G4" s="48"/>
      <c r="H4" s="48"/>
      <c r="I4" s="48"/>
      <c r="K4" s="33" t="s">
        <v>1155</v>
      </c>
    </row>
    <row r="5" spans="1:14" s="1" customFormat="1" ht="15.75" customHeight="1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 s="1" customFormat="1" ht="27" customHeight="1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 s="1" customFormat="1" ht="15" customHeight="1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697</v>
      </c>
      <c r="C8" s="21" t="s">
        <v>652</v>
      </c>
      <c r="D8" s="22" t="s">
        <v>25</v>
      </c>
      <c r="E8" s="16">
        <v>32</v>
      </c>
      <c r="F8" s="16">
        <v>32</v>
      </c>
      <c r="G8" s="16">
        <v>5</v>
      </c>
      <c r="H8" s="23">
        <f>100-E8*3+100-F8*3+100-G8*15</f>
        <v>33</v>
      </c>
      <c r="I8" s="24">
        <f t="shared" ref="I8:I68" si="0">H8/3</f>
        <v>11</v>
      </c>
      <c r="J8" s="16">
        <f t="shared" ref="J8:J39" si="1">RANK(H8,$H$8:$H$68)</f>
        <v>53</v>
      </c>
      <c r="K8" s="16" t="str">
        <f>IF(I8&lt;11.1,"TIDAK HADIR",IF(I8&lt;13.1,"TIDAK BACA",IF(I8&lt;$K$7,"TIDAK TUNTAS","TUNTAS")))</f>
        <v>TIDAK HADIR</v>
      </c>
      <c r="L8" s="16" t="s">
        <v>1144</v>
      </c>
      <c r="N8" s="51">
        <f>I8/10</f>
        <v>1.1000000000000001</v>
      </c>
    </row>
    <row r="9" spans="1:14">
      <c r="A9" s="16">
        <v>2</v>
      </c>
      <c r="B9" s="20" t="s">
        <v>699</v>
      </c>
      <c r="C9" s="25" t="s">
        <v>24</v>
      </c>
      <c r="D9" s="22" t="s">
        <v>25</v>
      </c>
      <c r="E9" s="16">
        <v>3</v>
      </c>
      <c r="F9" s="16">
        <v>0</v>
      </c>
      <c r="G9" s="16">
        <v>2</v>
      </c>
      <c r="H9" s="23">
        <f t="shared" ref="H9:H68" si="2">100-E9*3+100-F9*3+100-G9*15</f>
        <v>261</v>
      </c>
      <c r="I9" s="24">
        <f t="shared" si="0"/>
        <v>87</v>
      </c>
      <c r="J9" s="16">
        <f t="shared" si="1"/>
        <v>18</v>
      </c>
      <c r="K9" s="16" t="str">
        <f t="shared" ref="K9:K67" si="3">IF(I9&lt;11.1,"TIDAK HADIR",IF(I9&lt;13.1,"TIDAK BACA",IF(I9&lt;$K$7,"TIDAK TUNTAS","TUNTAS")))</f>
        <v>TUNTAS</v>
      </c>
      <c r="L9" s="16" t="str">
        <f t="shared" ref="L9:L67" si="4">IF(G9&gt;5,"TM"," ")</f>
        <v xml:space="preserve"> </v>
      </c>
      <c r="N9" s="51">
        <f t="shared" ref="N9:N66" si="5">I9/10</f>
        <v>8.6999999999999993</v>
      </c>
    </row>
    <row r="10" spans="1:14">
      <c r="A10" s="16">
        <v>3</v>
      </c>
      <c r="B10" s="20" t="s">
        <v>700</v>
      </c>
      <c r="C10" s="25" t="s">
        <v>224</v>
      </c>
      <c r="D10" s="22" t="s">
        <v>31</v>
      </c>
      <c r="E10" s="16">
        <v>8</v>
      </c>
      <c r="F10" s="16">
        <v>3</v>
      </c>
      <c r="G10" s="16">
        <v>3</v>
      </c>
      <c r="H10" s="23">
        <f t="shared" si="2"/>
        <v>222</v>
      </c>
      <c r="I10" s="24">
        <f t="shared" si="0"/>
        <v>74</v>
      </c>
      <c r="J10" s="16">
        <f t="shared" si="1"/>
        <v>34</v>
      </c>
      <c r="K10" s="16" t="str">
        <f t="shared" si="3"/>
        <v>TUNTAS</v>
      </c>
      <c r="L10" s="16" t="str">
        <f t="shared" si="4"/>
        <v xml:space="preserve"> </v>
      </c>
      <c r="N10" s="51">
        <f t="shared" si="5"/>
        <v>7.4</v>
      </c>
    </row>
    <row r="11" spans="1:14">
      <c r="A11" s="16">
        <v>4</v>
      </c>
      <c r="B11" s="20" t="s">
        <v>702</v>
      </c>
      <c r="C11" s="21" t="s">
        <v>222</v>
      </c>
      <c r="D11" s="22" t="s">
        <v>31</v>
      </c>
      <c r="E11" s="16">
        <v>9</v>
      </c>
      <c r="F11" s="16">
        <v>5</v>
      </c>
      <c r="G11" s="16">
        <v>2</v>
      </c>
      <c r="H11" s="23">
        <f t="shared" si="2"/>
        <v>228</v>
      </c>
      <c r="I11" s="24">
        <f t="shared" si="0"/>
        <v>76</v>
      </c>
      <c r="J11" s="16">
        <f t="shared" si="1"/>
        <v>32</v>
      </c>
      <c r="K11" s="16" t="str">
        <f t="shared" si="3"/>
        <v>TUNTAS</v>
      </c>
      <c r="L11" s="16" t="str">
        <f t="shared" si="4"/>
        <v xml:space="preserve"> </v>
      </c>
      <c r="N11" s="51">
        <f t="shared" si="5"/>
        <v>7.6</v>
      </c>
    </row>
    <row r="12" spans="1:14">
      <c r="A12" s="16">
        <v>5</v>
      </c>
      <c r="B12" s="20" t="s">
        <v>704</v>
      </c>
      <c r="C12" s="25" t="s">
        <v>35</v>
      </c>
      <c r="D12" s="22" t="s">
        <v>36</v>
      </c>
      <c r="E12" s="16">
        <v>0</v>
      </c>
      <c r="F12" s="16">
        <v>1</v>
      </c>
      <c r="G12" s="16">
        <v>0</v>
      </c>
      <c r="H12" s="23">
        <f t="shared" si="2"/>
        <v>297</v>
      </c>
      <c r="I12" s="24">
        <f t="shared" si="0"/>
        <v>99</v>
      </c>
      <c r="J12" s="16">
        <f t="shared" si="1"/>
        <v>2</v>
      </c>
      <c r="K12" s="16" t="str">
        <f t="shared" si="3"/>
        <v>TUNTAS</v>
      </c>
      <c r="L12" s="16" t="str">
        <f t="shared" si="4"/>
        <v xml:space="preserve"> </v>
      </c>
      <c r="N12" s="51">
        <f t="shared" si="5"/>
        <v>9.9</v>
      </c>
    </row>
    <row r="13" spans="1:14">
      <c r="A13" s="16">
        <v>6</v>
      </c>
      <c r="B13" s="20" t="s">
        <v>706</v>
      </c>
      <c r="C13" s="21" t="s">
        <v>38</v>
      </c>
      <c r="D13" s="22" t="s">
        <v>36</v>
      </c>
      <c r="E13" s="16">
        <v>1</v>
      </c>
      <c r="F13" s="16">
        <v>1</v>
      </c>
      <c r="G13" s="16">
        <v>1</v>
      </c>
      <c r="H13" s="23">
        <f t="shared" si="2"/>
        <v>279</v>
      </c>
      <c r="I13" s="24">
        <f t="shared" si="0"/>
        <v>93</v>
      </c>
      <c r="J13" s="16">
        <f t="shared" si="1"/>
        <v>7</v>
      </c>
      <c r="K13" s="16" t="str">
        <f t="shared" si="3"/>
        <v>TUNTAS</v>
      </c>
      <c r="L13" s="16" t="str">
        <f t="shared" si="4"/>
        <v xml:space="preserve"> </v>
      </c>
      <c r="N13" s="51">
        <f t="shared" si="5"/>
        <v>9.3000000000000007</v>
      </c>
    </row>
    <row r="14" spans="1:14">
      <c r="A14" s="16">
        <v>7</v>
      </c>
      <c r="B14" s="20" t="s">
        <v>708</v>
      </c>
      <c r="C14" s="25" t="s">
        <v>399</v>
      </c>
      <c r="D14" s="22" t="s">
        <v>41</v>
      </c>
      <c r="E14" s="16">
        <v>9</v>
      </c>
      <c r="F14" s="16">
        <v>14</v>
      </c>
      <c r="G14" s="16">
        <v>1</v>
      </c>
      <c r="H14" s="23">
        <f t="shared" si="2"/>
        <v>216</v>
      </c>
      <c r="I14" s="24">
        <f t="shared" si="0"/>
        <v>72</v>
      </c>
      <c r="J14" s="16">
        <f t="shared" si="1"/>
        <v>36</v>
      </c>
      <c r="K14" s="16" t="str">
        <f t="shared" si="3"/>
        <v>TUNTAS</v>
      </c>
      <c r="L14" s="16" t="str">
        <f t="shared" si="4"/>
        <v xml:space="preserve"> </v>
      </c>
      <c r="N14" s="51">
        <f t="shared" si="5"/>
        <v>7.2</v>
      </c>
    </row>
    <row r="15" spans="1:14">
      <c r="A15" s="16">
        <v>8</v>
      </c>
      <c r="B15" s="20" t="s">
        <v>709</v>
      </c>
      <c r="C15" s="21" t="s">
        <v>46</v>
      </c>
      <c r="D15" s="22" t="s">
        <v>47</v>
      </c>
      <c r="E15" s="16">
        <v>1</v>
      </c>
      <c r="F15" s="16">
        <v>0</v>
      </c>
      <c r="G15" s="16">
        <v>0</v>
      </c>
      <c r="H15" s="23">
        <f t="shared" si="2"/>
        <v>297</v>
      </c>
      <c r="I15" s="24">
        <f t="shared" si="0"/>
        <v>99</v>
      </c>
      <c r="J15" s="16">
        <f t="shared" si="1"/>
        <v>2</v>
      </c>
      <c r="K15" s="16" t="str">
        <f t="shared" si="3"/>
        <v>TUNTAS</v>
      </c>
      <c r="L15" s="16" t="str">
        <f t="shared" si="4"/>
        <v xml:space="preserve"> </v>
      </c>
      <c r="N15" s="51">
        <f t="shared" si="5"/>
        <v>9.9</v>
      </c>
    </row>
    <row r="16" spans="1:14">
      <c r="A16" s="16">
        <v>9</v>
      </c>
      <c r="B16" s="20" t="s">
        <v>711</v>
      </c>
      <c r="C16" s="21" t="s">
        <v>235</v>
      </c>
      <c r="D16" s="22" t="s">
        <v>236</v>
      </c>
      <c r="E16" s="16">
        <v>4</v>
      </c>
      <c r="F16" s="16">
        <v>3</v>
      </c>
      <c r="G16" s="16">
        <v>3</v>
      </c>
      <c r="H16" s="23">
        <f t="shared" si="2"/>
        <v>234</v>
      </c>
      <c r="I16" s="24">
        <f t="shared" si="0"/>
        <v>78</v>
      </c>
      <c r="J16" s="16">
        <f t="shared" si="1"/>
        <v>29</v>
      </c>
      <c r="K16" s="16" t="str">
        <f t="shared" si="3"/>
        <v>TUNTAS</v>
      </c>
      <c r="L16" s="16" t="str">
        <f t="shared" si="4"/>
        <v xml:space="preserve"> </v>
      </c>
      <c r="N16" s="51">
        <f t="shared" si="5"/>
        <v>7.8</v>
      </c>
    </row>
    <row r="17" spans="1:14">
      <c r="A17" s="16">
        <v>10</v>
      </c>
      <c r="B17" s="20" t="s">
        <v>712</v>
      </c>
      <c r="C17" s="21" t="s">
        <v>54</v>
      </c>
      <c r="D17" s="22" t="s">
        <v>55</v>
      </c>
      <c r="E17" s="16">
        <v>4</v>
      </c>
      <c r="F17" s="16">
        <v>2</v>
      </c>
      <c r="G17" s="16">
        <v>3</v>
      </c>
      <c r="H17" s="23">
        <f t="shared" si="2"/>
        <v>237</v>
      </c>
      <c r="I17" s="24">
        <f t="shared" si="0"/>
        <v>79</v>
      </c>
      <c r="J17" s="16">
        <f t="shared" si="1"/>
        <v>27</v>
      </c>
      <c r="K17" s="16" t="str">
        <f t="shared" si="3"/>
        <v>TUNTAS</v>
      </c>
      <c r="L17" s="16" t="str">
        <f t="shared" si="4"/>
        <v xml:space="preserve"> </v>
      </c>
      <c r="N17" s="51">
        <f t="shared" si="5"/>
        <v>7.9</v>
      </c>
    </row>
    <row r="18" spans="1:14">
      <c r="A18" s="16">
        <v>11</v>
      </c>
      <c r="B18" s="20" t="s">
        <v>714</v>
      </c>
      <c r="C18" s="21" t="s">
        <v>627</v>
      </c>
      <c r="D18" s="22" t="s">
        <v>670</v>
      </c>
      <c r="E18" s="16">
        <v>6</v>
      </c>
      <c r="F18" s="16">
        <v>1</v>
      </c>
      <c r="G18" s="16">
        <v>1</v>
      </c>
      <c r="H18" s="23">
        <f t="shared" si="2"/>
        <v>264</v>
      </c>
      <c r="I18" s="24">
        <f t="shared" si="0"/>
        <v>88</v>
      </c>
      <c r="J18" s="16">
        <f t="shared" si="1"/>
        <v>16</v>
      </c>
      <c r="K18" s="16" t="str">
        <f t="shared" si="3"/>
        <v>TUNTAS</v>
      </c>
      <c r="L18" s="16" t="str">
        <f t="shared" si="4"/>
        <v xml:space="preserve"> </v>
      </c>
      <c r="N18" s="51">
        <f t="shared" si="5"/>
        <v>8.8000000000000007</v>
      </c>
    </row>
    <row r="19" spans="1:14">
      <c r="A19" s="16">
        <v>12</v>
      </c>
      <c r="B19" s="20" t="s">
        <v>716</v>
      </c>
      <c r="C19" s="21" t="s">
        <v>405</v>
      </c>
      <c r="D19" s="22" t="s">
        <v>59</v>
      </c>
      <c r="E19" s="16">
        <v>3</v>
      </c>
      <c r="F19" s="16">
        <v>1</v>
      </c>
      <c r="G19" s="16">
        <v>1</v>
      </c>
      <c r="H19" s="23">
        <f t="shared" si="2"/>
        <v>273</v>
      </c>
      <c r="I19" s="24">
        <f t="shared" si="0"/>
        <v>91</v>
      </c>
      <c r="J19" s="16">
        <f t="shared" si="1"/>
        <v>11</v>
      </c>
      <c r="K19" s="16" t="str">
        <f t="shared" si="3"/>
        <v>TUNTAS</v>
      </c>
      <c r="L19" s="16" t="str">
        <f t="shared" si="4"/>
        <v xml:space="preserve"> </v>
      </c>
      <c r="N19" s="51">
        <f t="shared" si="5"/>
        <v>9.1</v>
      </c>
    </row>
    <row r="20" spans="1:14">
      <c r="A20" s="16">
        <v>13</v>
      </c>
      <c r="B20" s="20" t="s">
        <v>718</v>
      </c>
      <c r="C20" s="21" t="s">
        <v>65</v>
      </c>
      <c r="D20" s="22" t="s">
        <v>66</v>
      </c>
      <c r="E20" s="16">
        <v>7</v>
      </c>
      <c r="F20" s="16">
        <v>13</v>
      </c>
      <c r="G20" s="16">
        <v>4</v>
      </c>
      <c r="H20" s="23">
        <f t="shared" si="2"/>
        <v>180</v>
      </c>
      <c r="I20" s="24">
        <f t="shared" si="0"/>
        <v>60</v>
      </c>
      <c r="J20" s="16">
        <f t="shared" si="1"/>
        <v>46</v>
      </c>
      <c r="K20" s="16" t="str">
        <f t="shared" si="3"/>
        <v>TUNTAS</v>
      </c>
      <c r="L20" s="16" t="str">
        <f t="shared" si="4"/>
        <v xml:space="preserve"> </v>
      </c>
      <c r="N20" s="51">
        <f t="shared" si="5"/>
        <v>6</v>
      </c>
    </row>
    <row r="21" spans="1:14">
      <c r="A21" s="16">
        <v>14</v>
      </c>
      <c r="B21" s="20" t="s">
        <v>719</v>
      </c>
      <c r="C21" s="21" t="s">
        <v>73</v>
      </c>
      <c r="D21" s="22" t="s">
        <v>74</v>
      </c>
      <c r="E21" s="16">
        <v>18</v>
      </c>
      <c r="F21" s="16">
        <v>14</v>
      </c>
      <c r="G21" s="16">
        <v>6</v>
      </c>
      <c r="H21" s="23">
        <f t="shared" si="2"/>
        <v>114</v>
      </c>
      <c r="I21" s="24">
        <f t="shared" si="0"/>
        <v>38</v>
      </c>
      <c r="J21" s="16">
        <f t="shared" si="1"/>
        <v>50</v>
      </c>
      <c r="K21" s="16" t="str">
        <f t="shared" si="3"/>
        <v>TIDAK TUNTAS</v>
      </c>
      <c r="L21" s="16" t="str">
        <f t="shared" si="4"/>
        <v>TM</v>
      </c>
      <c r="N21" s="51">
        <f t="shared" si="5"/>
        <v>3.8</v>
      </c>
    </row>
    <row r="22" spans="1:14">
      <c r="A22" s="16">
        <v>15</v>
      </c>
      <c r="B22" s="20" t="s">
        <v>721</v>
      </c>
      <c r="C22" s="21" t="s">
        <v>257</v>
      </c>
      <c r="D22" s="22" t="s">
        <v>80</v>
      </c>
      <c r="E22" s="16">
        <v>32</v>
      </c>
      <c r="F22" s="16">
        <v>32</v>
      </c>
      <c r="G22" s="16">
        <v>5</v>
      </c>
      <c r="H22" s="23">
        <f t="shared" si="2"/>
        <v>33</v>
      </c>
      <c r="I22" s="24">
        <f t="shared" si="0"/>
        <v>11</v>
      </c>
      <c r="J22" s="16">
        <f t="shared" si="1"/>
        <v>53</v>
      </c>
      <c r="K22" s="16" t="str">
        <f t="shared" si="3"/>
        <v>TIDAK HADIR</v>
      </c>
      <c r="L22" s="16" t="s">
        <v>1144</v>
      </c>
      <c r="N22" s="51">
        <f t="shared" si="5"/>
        <v>1.1000000000000001</v>
      </c>
    </row>
    <row r="23" spans="1:14">
      <c r="A23" s="16">
        <v>16</v>
      </c>
      <c r="B23" s="20" t="s">
        <v>722</v>
      </c>
      <c r="C23" s="21" t="s">
        <v>79</v>
      </c>
      <c r="D23" s="22" t="s">
        <v>80</v>
      </c>
      <c r="E23" s="16">
        <v>32</v>
      </c>
      <c r="F23" s="16">
        <v>32</v>
      </c>
      <c r="G23" s="16">
        <v>5</v>
      </c>
      <c r="H23" s="23">
        <f t="shared" si="2"/>
        <v>33</v>
      </c>
      <c r="I23" s="24">
        <f t="shared" si="0"/>
        <v>11</v>
      </c>
      <c r="J23" s="16">
        <f t="shared" si="1"/>
        <v>53</v>
      </c>
      <c r="K23" s="16" t="str">
        <f t="shared" si="3"/>
        <v>TIDAK HADIR</v>
      </c>
      <c r="L23" s="16" t="s">
        <v>1143</v>
      </c>
      <c r="N23" s="51">
        <f t="shared" si="5"/>
        <v>1.1000000000000001</v>
      </c>
    </row>
    <row r="24" spans="1:14">
      <c r="A24" s="16">
        <v>17</v>
      </c>
      <c r="B24" s="20" t="s">
        <v>724</v>
      </c>
      <c r="C24" s="26" t="s">
        <v>263</v>
      </c>
      <c r="D24" s="27" t="s">
        <v>84</v>
      </c>
      <c r="E24" s="16">
        <v>2</v>
      </c>
      <c r="F24" s="16">
        <v>3</v>
      </c>
      <c r="G24" s="16">
        <v>1</v>
      </c>
      <c r="H24" s="23">
        <f t="shared" si="2"/>
        <v>270</v>
      </c>
      <c r="I24" s="24">
        <f t="shared" si="0"/>
        <v>90</v>
      </c>
      <c r="J24" s="16">
        <f t="shared" si="1"/>
        <v>14</v>
      </c>
      <c r="K24" s="16" t="str">
        <f t="shared" si="3"/>
        <v>TUNTAS</v>
      </c>
      <c r="L24" s="16" t="str">
        <f t="shared" si="4"/>
        <v xml:space="preserve"> </v>
      </c>
      <c r="N24" s="51">
        <f t="shared" si="5"/>
        <v>9</v>
      </c>
    </row>
    <row r="25" spans="1:14">
      <c r="A25" s="28">
        <v>18</v>
      </c>
      <c r="B25" s="20" t="s">
        <v>726</v>
      </c>
      <c r="C25" s="21" t="s">
        <v>414</v>
      </c>
      <c r="D25" s="22" t="s">
        <v>84</v>
      </c>
      <c r="E25" s="16">
        <v>2</v>
      </c>
      <c r="F25" s="16">
        <v>1</v>
      </c>
      <c r="G25" s="16">
        <v>2</v>
      </c>
      <c r="H25" s="23">
        <f t="shared" si="2"/>
        <v>261</v>
      </c>
      <c r="I25" s="24">
        <f t="shared" si="0"/>
        <v>87</v>
      </c>
      <c r="J25" s="16">
        <f t="shared" si="1"/>
        <v>18</v>
      </c>
      <c r="K25" s="16" t="str">
        <f t="shared" si="3"/>
        <v>TUNTAS</v>
      </c>
      <c r="L25" s="16" t="str">
        <f t="shared" si="4"/>
        <v xml:space="preserve"> </v>
      </c>
      <c r="N25" s="51">
        <f t="shared" si="5"/>
        <v>8.6999999999999993</v>
      </c>
    </row>
    <row r="26" spans="1:14">
      <c r="A26" s="16">
        <v>19</v>
      </c>
      <c r="B26" s="20" t="s">
        <v>728</v>
      </c>
      <c r="C26" s="21" t="s">
        <v>415</v>
      </c>
      <c r="D26" s="22" t="s">
        <v>89</v>
      </c>
      <c r="E26" s="16">
        <v>1</v>
      </c>
      <c r="F26" s="16">
        <v>2</v>
      </c>
      <c r="G26" s="16">
        <v>2</v>
      </c>
      <c r="H26" s="23">
        <f t="shared" si="2"/>
        <v>261</v>
      </c>
      <c r="I26" s="24">
        <f t="shared" si="0"/>
        <v>87</v>
      </c>
      <c r="J26" s="16">
        <f t="shared" si="1"/>
        <v>18</v>
      </c>
      <c r="K26" s="16" t="str">
        <f t="shared" si="3"/>
        <v>TUNTAS</v>
      </c>
      <c r="L26" s="16" t="str">
        <f t="shared" si="4"/>
        <v xml:space="preserve"> </v>
      </c>
      <c r="N26" s="51">
        <f t="shared" si="5"/>
        <v>8.6999999999999993</v>
      </c>
    </row>
    <row r="27" spans="1:14">
      <c r="A27" s="16">
        <v>20</v>
      </c>
      <c r="B27" s="20" t="s">
        <v>729</v>
      </c>
      <c r="C27" s="21" t="s">
        <v>267</v>
      </c>
      <c r="D27" s="22" t="s">
        <v>91</v>
      </c>
      <c r="E27" s="16">
        <v>5</v>
      </c>
      <c r="F27" s="16">
        <v>4</v>
      </c>
      <c r="G27" s="16">
        <v>1</v>
      </c>
      <c r="H27" s="23">
        <f t="shared" si="2"/>
        <v>258</v>
      </c>
      <c r="I27" s="24">
        <f t="shared" si="0"/>
        <v>86</v>
      </c>
      <c r="J27" s="16">
        <f t="shared" si="1"/>
        <v>21</v>
      </c>
      <c r="K27" s="16" t="str">
        <f t="shared" si="3"/>
        <v>TUNTAS</v>
      </c>
      <c r="L27" s="16" t="str">
        <f t="shared" si="4"/>
        <v xml:space="preserve"> </v>
      </c>
      <c r="N27" s="51">
        <f t="shared" si="5"/>
        <v>8.6</v>
      </c>
    </row>
    <row r="28" spans="1:14">
      <c r="A28" s="16">
        <v>21</v>
      </c>
      <c r="B28" s="20" t="s">
        <v>731</v>
      </c>
      <c r="C28" s="21" t="s">
        <v>527</v>
      </c>
      <c r="D28" s="22" t="s">
        <v>91</v>
      </c>
      <c r="E28" s="16">
        <v>5</v>
      </c>
      <c r="F28" s="16">
        <v>4</v>
      </c>
      <c r="G28" s="16">
        <v>4</v>
      </c>
      <c r="H28" s="23">
        <f t="shared" si="2"/>
        <v>213</v>
      </c>
      <c r="I28" s="24">
        <f t="shared" si="0"/>
        <v>71</v>
      </c>
      <c r="J28" s="16">
        <f t="shared" si="1"/>
        <v>38</v>
      </c>
      <c r="K28" s="16" t="str">
        <f t="shared" si="3"/>
        <v>TUNTAS</v>
      </c>
      <c r="L28" s="16" t="str">
        <f t="shared" si="4"/>
        <v xml:space="preserve"> </v>
      </c>
      <c r="N28" s="51">
        <f t="shared" si="5"/>
        <v>7.1</v>
      </c>
    </row>
    <row r="29" spans="1:14">
      <c r="A29" s="16">
        <v>22</v>
      </c>
      <c r="B29" s="20" t="s">
        <v>733</v>
      </c>
      <c r="C29" s="26" t="s">
        <v>272</v>
      </c>
      <c r="D29" s="27" t="s">
        <v>98</v>
      </c>
      <c r="E29" s="16">
        <v>11</v>
      </c>
      <c r="F29" s="16">
        <v>4</v>
      </c>
      <c r="G29" s="16">
        <v>1</v>
      </c>
      <c r="H29" s="23">
        <f t="shared" si="2"/>
        <v>240</v>
      </c>
      <c r="I29" s="24">
        <f t="shared" si="0"/>
        <v>80</v>
      </c>
      <c r="J29" s="16">
        <f t="shared" si="1"/>
        <v>26</v>
      </c>
      <c r="K29" s="16" t="str">
        <f t="shared" si="3"/>
        <v>TUNTAS</v>
      </c>
      <c r="L29" s="16" t="str">
        <f t="shared" si="4"/>
        <v xml:space="preserve"> </v>
      </c>
      <c r="N29" s="51">
        <f t="shared" si="5"/>
        <v>8</v>
      </c>
    </row>
    <row r="30" spans="1:14">
      <c r="A30" s="16">
        <v>23</v>
      </c>
      <c r="B30" s="20" t="s">
        <v>735</v>
      </c>
      <c r="C30" s="21" t="s">
        <v>419</v>
      </c>
      <c r="D30" s="22" t="s">
        <v>100</v>
      </c>
      <c r="E30" s="16">
        <v>18</v>
      </c>
      <c r="F30" s="16">
        <v>19</v>
      </c>
      <c r="G30" s="16">
        <v>6</v>
      </c>
      <c r="H30" s="23">
        <f t="shared" si="2"/>
        <v>99</v>
      </c>
      <c r="I30" s="24">
        <f t="shared" si="0"/>
        <v>33</v>
      </c>
      <c r="J30" s="16">
        <f t="shared" si="1"/>
        <v>51</v>
      </c>
      <c r="K30" s="16" t="str">
        <f t="shared" si="3"/>
        <v>TIDAK TUNTAS</v>
      </c>
      <c r="L30" s="16" t="str">
        <f t="shared" si="4"/>
        <v>TM</v>
      </c>
      <c r="N30" s="51">
        <f t="shared" si="5"/>
        <v>3.3</v>
      </c>
    </row>
    <row r="31" spans="1:14">
      <c r="A31" s="16">
        <v>24</v>
      </c>
      <c r="B31" s="20" t="s">
        <v>737</v>
      </c>
      <c r="C31" s="25" t="s">
        <v>420</v>
      </c>
      <c r="D31" s="22" t="s">
        <v>100</v>
      </c>
      <c r="E31" s="16">
        <v>14</v>
      </c>
      <c r="F31" s="16">
        <v>3</v>
      </c>
      <c r="G31" s="16">
        <v>1</v>
      </c>
      <c r="H31" s="23">
        <f t="shared" si="2"/>
        <v>234</v>
      </c>
      <c r="I31" s="24">
        <f t="shared" si="0"/>
        <v>78</v>
      </c>
      <c r="J31" s="16">
        <f t="shared" si="1"/>
        <v>29</v>
      </c>
      <c r="K31" s="16" t="str">
        <f t="shared" si="3"/>
        <v>TUNTAS</v>
      </c>
      <c r="L31" s="16" t="str">
        <f t="shared" si="4"/>
        <v xml:space="preserve"> </v>
      </c>
      <c r="N31" s="51">
        <f t="shared" si="5"/>
        <v>7.8</v>
      </c>
    </row>
    <row r="32" spans="1:14">
      <c r="A32" s="16">
        <v>25</v>
      </c>
      <c r="B32" s="20" t="s">
        <v>739</v>
      </c>
      <c r="C32" s="21" t="s">
        <v>275</v>
      </c>
      <c r="D32" s="22" t="s">
        <v>104</v>
      </c>
      <c r="E32" s="16">
        <v>3</v>
      </c>
      <c r="F32" s="16">
        <v>1</v>
      </c>
      <c r="G32" s="16">
        <v>0</v>
      </c>
      <c r="H32" s="23">
        <f t="shared" si="2"/>
        <v>288</v>
      </c>
      <c r="I32" s="24">
        <f t="shared" si="0"/>
        <v>96</v>
      </c>
      <c r="J32" s="16">
        <f t="shared" si="1"/>
        <v>5</v>
      </c>
      <c r="K32" s="16" t="str">
        <f t="shared" si="3"/>
        <v>TUNTAS</v>
      </c>
      <c r="L32" s="16" t="str">
        <f t="shared" si="4"/>
        <v xml:space="preserve"> </v>
      </c>
      <c r="N32" s="51">
        <f t="shared" si="5"/>
        <v>9.6</v>
      </c>
    </row>
    <row r="33" spans="1:14">
      <c r="A33" s="16">
        <v>26</v>
      </c>
      <c r="B33" s="20" t="s">
        <v>741</v>
      </c>
      <c r="C33" s="21" t="s">
        <v>106</v>
      </c>
      <c r="D33" s="22" t="s">
        <v>107</v>
      </c>
      <c r="E33" s="16">
        <v>3</v>
      </c>
      <c r="F33" s="16">
        <v>1</v>
      </c>
      <c r="G33" s="16">
        <v>1</v>
      </c>
      <c r="H33" s="23">
        <f t="shared" si="2"/>
        <v>273</v>
      </c>
      <c r="I33" s="24">
        <f t="shared" si="0"/>
        <v>91</v>
      </c>
      <c r="J33" s="16">
        <f t="shared" si="1"/>
        <v>11</v>
      </c>
      <c r="K33" s="16" t="str">
        <f t="shared" si="3"/>
        <v>TUNTAS</v>
      </c>
      <c r="L33" s="16" t="str">
        <f t="shared" si="4"/>
        <v xml:space="preserve"> </v>
      </c>
      <c r="N33" s="51">
        <f t="shared" si="5"/>
        <v>9.1</v>
      </c>
    </row>
    <row r="34" spans="1:14">
      <c r="A34" s="16">
        <v>27</v>
      </c>
      <c r="B34" s="20" t="s">
        <v>743</v>
      </c>
      <c r="C34" s="21" t="s">
        <v>424</v>
      </c>
      <c r="D34" s="22" t="s">
        <v>111</v>
      </c>
      <c r="E34" s="16">
        <v>32</v>
      </c>
      <c r="F34" s="16">
        <v>32</v>
      </c>
      <c r="G34" s="16">
        <v>5</v>
      </c>
      <c r="H34" s="23">
        <f t="shared" si="2"/>
        <v>33</v>
      </c>
      <c r="I34" s="24">
        <f t="shared" si="0"/>
        <v>11</v>
      </c>
      <c r="J34" s="16">
        <f t="shared" si="1"/>
        <v>53</v>
      </c>
      <c r="K34" s="16" t="str">
        <f t="shared" si="3"/>
        <v>TIDAK HADIR</v>
      </c>
      <c r="L34" s="16" t="s">
        <v>1143</v>
      </c>
      <c r="N34" s="51">
        <f t="shared" si="5"/>
        <v>1.1000000000000001</v>
      </c>
    </row>
    <row r="35" spans="1:14">
      <c r="A35" s="16">
        <v>28</v>
      </c>
      <c r="B35" s="20" t="s">
        <v>745</v>
      </c>
      <c r="C35" s="25" t="s">
        <v>545</v>
      </c>
      <c r="D35" s="22" t="s">
        <v>111</v>
      </c>
      <c r="E35" s="16">
        <v>11</v>
      </c>
      <c r="F35" s="16">
        <v>3</v>
      </c>
      <c r="G35" s="16">
        <v>2</v>
      </c>
      <c r="H35" s="23">
        <f t="shared" si="2"/>
        <v>228</v>
      </c>
      <c r="I35" s="24">
        <f t="shared" si="0"/>
        <v>76</v>
      </c>
      <c r="J35" s="16">
        <f t="shared" si="1"/>
        <v>32</v>
      </c>
      <c r="K35" s="16" t="str">
        <f t="shared" si="3"/>
        <v>TUNTAS</v>
      </c>
      <c r="L35" s="16" t="str">
        <f t="shared" si="4"/>
        <v xml:space="preserve"> </v>
      </c>
      <c r="N35" s="51">
        <f t="shared" si="5"/>
        <v>7.6</v>
      </c>
    </row>
    <row r="36" spans="1:14">
      <c r="A36" s="16">
        <v>29</v>
      </c>
      <c r="B36" s="20" t="s">
        <v>747</v>
      </c>
      <c r="C36" s="21" t="s">
        <v>114</v>
      </c>
      <c r="D36" s="22" t="s">
        <v>115</v>
      </c>
      <c r="E36" s="16">
        <v>5</v>
      </c>
      <c r="F36" s="16">
        <v>2</v>
      </c>
      <c r="G36" s="16">
        <v>2</v>
      </c>
      <c r="H36" s="23">
        <f t="shared" si="2"/>
        <v>249</v>
      </c>
      <c r="I36" s="24">
        <f t="shared" si="0"/>
        <v>83</v>
      </c>
      <c r="J36" s="16">
        <f t="shared" si="1"/>
        <v>24</v>
      </c>
      <c r="K36" s="16" t="str">
        <f t="shared" si="3"/>
        <v>TUNTAS</v>
      </c>
      <c r="L36" s="16" t="str">
        <f t="shared" si="4"/>
        <v xml:space="preserve"> </v>
      </c>
      <c r="N36" s="51">
        <f t="shared" si="5"/>
        <v>8.3000000000000007</v>
      </c>
    </row>
    <row r="37" spans="1:14">
      <c r="A37" s="16">
        <v>30</v>
      </c>
      <c r="B37" s="20" t="s">
        <v>749</v>
      </c>
      <c r="C37" s="21" t="s">
        <v>428</v>
      </c>
      <c r="D37" s="22" t="s">
        <v>429</v>
      </c>
      <c r="E37" s="16">
        <v>21</v>
      </c>
      <c r="F37" s="16">
        <v>21</v>
      </c>
      <c r="G37" s="16">
        <v>6</v>
      </c>
      <c r="H37" s="23">
        <f t="shared" si="2"/>
        <v>84</v>
      </c>
      <c r="I37" s="24">
        <f t="shared" si="0"/>
        <v>28</v>
      </c>
      <c r="J37" s="16">
        <f t="shared" si="1"/>
        <v>52</v>
      </c>
      <c r="K37" s="16" t="str">
        <f t="shared" si="3"/>
        <v>TIDAK TUNTAS</v>
      </c>
      <c r="L37" s="16" t="str">
        <f t="shared" si="4"/>
        <v>TM</v>
      </c>
      <c r="N37" s="51">
        <f t="shared" si="5"/>
        <v>2.8</v>
      </c>
    </row>
    <row r="38" spans="1:14">
      <c r="A38" s="16">
        <v>31</v>
      </c>
      <c r="B38" s="20" t="s">
        <v>751</v>
      </c>
      <c r="C38" s="21" t="s">
        <v>1114</v>
      </c>
      <c r="D38" s="22" t="s">
        <v>119</v>
      </c>
      <c r="E38" s="16">
        <v>10</v>
      </c>
      <c r="F38" s="16">
        <v>6</v>
      </c>
      <c r="G38" s="16">
        <v>2</v>
      </c>
      <c r="H38" s="23">
        <f t="shared" si="2"/>
        <v>222</v>
      </c>
      <c r="I38" s="24">
        <f t="shared" si="0"/>
        <v>74</v>
      </c>
      <c r="J38" s="16">
        <f t="shared" si="1"/>
        <v>34</v>
      </c>
      <c r="K38" s="16" t="str">
        <f t="shared" si="3"/>
        <v>TUNTAS</v>
      </c>
      <c r="L38" s="16" t="str">
        <f t="shared" si="4"/>
        <v xml:space="preserve"> </v>
      </c>
      <c r="N38" s="51">
        <f t="shared" si="5"/>
        <v>7.4</v>
      </c>
    </row>
    <row r="39" spans="1:14">
      <c r="A39" s="16">
        <v>32</v>
      </c>
      <c r="B39" s="20" t="s">
        <v>752</v>
      </c>
      <c r="C39" s="26" t="s">
        <v>561</v>
      </c>
      <c r="D39" s="27" t="s">
        <v>559</v>
      </c>
      <c r="E39" s="16">
        <v>2</v>
      </c>
      <c r="F39" s="16">
        <v>1</v>
      </c>
      <c r="G39" s="16">
        <v>1</v>
      </c>
      <c r="H39" s="23">
        <f t="shared" si="2"/>
        <v>276</v>
      </c>
      <c r="I39" s="24">
        <f t="shared" si="0"/>
        <v>92</v>
      </c>
      <c r="J39" s="16">
        <f t="shared" si="1"/>
        <v>9</v>
      </c>
      <c r="K39" s="16" t="str">
        <f t="shared" si="3"/>
        <v>TUNTAS</v>
      </c>
      <c r="L39" s="16" t="str">
        <f t="shared" si="4"/>
        <v xml:space="preserve"> </v>
      </c>
      <c r="N39" s="51">
        <f t="shared" si="5"/>
        <v>9.1999999999999993</v>
      </c>
    </row>
    <row r="40" spans="1:14">
      <c r="A40" s="16">
        <v>33</v>
      </c>
      <c r="B40" s="20" t="s">
        <v>754</v>
      </c>
      <c r="C40" s="25" t="s">
        <v>287</v>
      </c>
      <c r="D40" s="22" t="s">
        <v>288</v>
      </c>
      <c r="E40" s="16">
        <v>3</v>
      </c>
      <c r="F40" s="16">
        <v>4</v>
      </c>
      <c r="G40" s="16">
        <v>1</v>
      </c>
      <c r="H40" s="23">
        <f t="shared" si="2"/>
        <v>264</v>
      </c>
      <c r="I40" s="24">
        <f t="shared" si="0"/>
        <v>88</v>
      </c>
      <c r="J40" s="16">
        <f t="shared" ref="J40:J68" si="6">RANK(H40,$H$8:$H$68)</f>
        <v>16</v>
      </c>
      <c r="K40" s="16" t="str">
        <f t="shared" si="3"/>
        <v>TUNTAS</v>
      </c>
      <c r="L40" s="16" t="str">
        <f t="shared" si="4"/>
        <v xml:space="preserve"> </v>
      </c>
      <c r="N40" s="51">
        <f t="shared" si="5"/>
        <v>8.8000000000000007</v>
      </c>
    </row>
    <row r="41" spans="1:14">
      <c r="A41" s="16">
        <v>34</v>
      </c>
      <c r="B41" s="20" t="s">
        <v>756</v>
      </c>
      <c r="C41" s="21" t="s">
        <v>124</v>
      </c>
      <c r="D41" s="22" t="s">
        <v>125</v>
      </c>
      <c r="E41" s="16">
        <v>32</v>
      </c>
      <c r="F41" s="16">
        <v>32</v>
      </c>
      <c r="G41" s="16">
        <v>5</v>
      </c>
      <c r="H41" s="23">
        <f t="shared" si="2"/>
        <v>33</v>
      </c>
      <c r="I41" s="24">
        <f t="shared" si="0"/>
        <v>11</v>
      </c>
      <c r="J41" s="16">
        <f t="shared" si="6"/>
        <v>53</v>
      </c>
      <c r="K41" s="16" t="str">
        <f t="shared" si="3"/>
        <v>TIDAK HADIR</v>
      </c>
      <c r="L41" s="16" t="s">
        <v>1144</v>
      </c>
      <c r="N41" s="51">
        <f t="shared" si="5"/>
        <v>1.1000000000000001</v>
      </c>
    </row>
    <row r="42" spans="1:14">
      <c r="A42" s="16">
        <v>35</v>
      </c>
      <c r="B42" s="20" t="s">
        <v>759</v>
      </c>
      <c r="C42" s="21" t="s">
        <v>432</v>
      </c>
      <c r="D42" s="22" t="s">
        <v>128</v>
      </c>
      <c r="E42" s="16">
        <v>8</v>
      </c>
      <c r="F42" s="16">
        <v>3</v>
      </c>
      <c r="G42" s="16">
        <v>1</v>
      </c>
      <c r="H42" s="23">
        <f t="shared" si="2"/>
        <v>252</v>
      </c>
      <c r="I42" s="24">
        <f t="shared" si="0"/>
        <v>84</v>
      </c>
      <c r="J42" s="16">
        <f t="shared" si="6"/>
        <v>23</v>
      </c>
      <c r="K42" s="16" t="str">
        <f t="shared" si="3"/>
        <v>TUNTAS</v>
      </c>
      <c r="L42" s="16" t="str">
        <f t="shared" si="4"/>
        <v xml:space="preserve"> </v>
      </c>
      <c r="N42" s="51">
        <f t="shared" si="5"/>
        <v>8.4</v>
      </c>
    </row>
    <row r="43" spans="1:14">
      <c r="A43" s="16">
        <v>36</v>
      </c>
      <c r="B43" s="20" t="s">
        <v>760</v>
      </c>
      <c r="C43" s="21" t="s">
        <v>130</v>
      </c>
      <c r="D43" s="22" t="s">
        <v>131</v>
      </c>
      <c r="E43" s="16">
        <v>3</v>
      </c>
      <c r="F43" s="16">
        <v>1</v>
      </c>
      <c r="G43" s="16">
        <v>1</v>
      </c>
      <c r="H43" s="23">
        <f t="shared" si="2"/>
        <v>273</v>
      </c>
      <c r="I43" s="24">
        <f t="shared" si="0"/>
        <v>91</v>
      </c>
      <c r="J43" s="16">
        <f t="shared" si="6"/>
        <v>11</v>
      </c>
      <c r="K43" s="16" t="str">
        <f t="shared" si="3"/>
        <v>TUNTAS</v>
      </c>
      <c r="L43" s="16" t="str">
        <f t="shared" si="4"/>
        <v xml:space="preserve"> </v>
      </c>
      <c r="N43" s="51">
        <f t="shared" si="5"/>
        <v>9.1</v>
      </c>
    </row>
    <row r="44" spans="1:14">
      <c r="A44" s="16">
        <v>37</v>
      </c>
      <c r="B44" s="20" t="s">
        <v>762</v>
      </c>
      <c r="C44" s="21" t="s">
        <v>298</v>
      </c>
      <c r="D44" s="22" t="s">
        <v>133</v>
      </c>
      <c r="E44" s="16">
        <v>8</v>
      </c>
      <c r="F44" s="16">
        <v>5</v>
      </c>
      <c r="G44" s="16">
        <v>3</v>
      </c>
      <c r="H44" s="23">
        <f t="shared" si="2"/>
        <v>216</v>
      </c>
      <c r="I44" s="24">
        <f t="shared" si="0"/>
        <v>72</v>
      </c>
      <c r="J44" s="16">
        <f t="shared" si="6"/>
        <v>36</v>
      </c>
      <c r="K44" s="16" t="str">
        <f t="shared" si="3"/>
        <v>TUNTAS</v>
      </c>
      <c r="L44" s="16" t="str">
        <f t="shared" si="4"/>
        <v xml:space="preserve"> </v>
      </c>
      <c r="N44" s="51">
        <f t="shared" si="5"/>
        <v>7.2</v>
      </c>
    </row>
    <row r="45" spans="1:14">
      <c r="A45" s="16">
        <v>38</v>
      </c>
      <c r="B45" s="20" t="s">
        <v>764</v>
      </c>
      <c r="C45" s="21" t="s">
        <v>303</v>
      </c>
      <c r="D45" s="22" t="s">
        <v>135</v>
      </c>
      <c r="E45" s="16">
        <v>0</v>
      </c>
      <c r="F45" s="16">
        <v>0</v>
      </c>
      <c r="G45" s="16">
        <v>0</v>
      </c>
      <c r="H45" s="23">
        <f t="shared" si="2"/>
        <v>300</v>
      </c>
      <c r="I45" s="24">
        <f t="shared" si="0"/>
        <v>100</v>
      </c>
      <c r="J45" s="16">
        <f t="shared" si="6"/>
        <v>1</v>
      </c>
      <c r="K45" s="16" t="str">
        <f t="shared" si="3"/>
        <v>TUNTAS</v>
      </c>
      <c r="L45" s="16" t="str">
        <f t="shared" si="4"/>
        <v xml:space="preserve"> </v>
      </c>
      <c r="N45" s="51">
        <f t="shared" si="5"/>
        <v>10</v>
      </c>
    </row>
    <row r="46" spans="1:14">
      <c r="A46" s="16">
        <v>39</v>
      </c>
      <c r="B46" s="20" t="s">
        <v>766</v>
      </c>
      <c r="C46" s="21" t="s">
        <v>308</v>
      </c>
      <c r="D46" s="22" t="s">
        <v>309</v>
      </c>
      <c r="E46" s="16">
        <v>3</v>
      </c>
      <c r="F46" s="16">
        <v>2</v>
      </c>
      <c r="G46" s="16">
        <v>2</v>
      </c>
      <c r="H46" s="23">
        <f t="shared" si="2"/>
        <v>255</v>
      </c>
      <c r="I46" s="24">
        <f t="shared" si="0"/>
        <v>85</v>
      </c>
      <c r="J46" s="16">
        <f t="shared" si="6"/>
        <v>22</v>
      </c>
      <c r="K46" s="16" t="str">
        <f t="shared" si="3"/>
        <v>TUNTAS</v>
      </c>
      <c r="L46" s="16" t="str">
        <f t="shared" si="4"/>
        <v xml:space="preserve"> </v>
      </c>
      <c r="N46" s="51">
        <f t="shared" si="5"/>
        <v>8.5</v>
      </c>
    </row>
    <row r="47" spans="1:14">
      <c r="A47" s="16">
        <v>40</v>
      </c>
      <c r="B47" s="20" t="s">
        <v>768</v>
      </c>
      <c r="C47" s="21" t="s">
        <v>744</v>
      </c>
      <c r="D47" s="22" t="s">
        <v>146</v>
      </c>
      <c r="E47" s="16">
        <v>8</v>
      </c>
      <c r="F47" s="16">
        <v>5</v>
      </c>
      <c r="G47" s="16">
        <v>2</v>
      </c>
      <c r="H47" s="23">
        <f t="shared" si="2"/>
        <v>231</v>
      </c>
      <c r="I47" s="24">
        <f t="shared" si="0"/>
        <v>77</v>
      </c>
      <c r="J47" s="16">
        <f t="shared" si="6"/>
        <v>31</v>
      </c>
      <c r="K47" s="16" t="str">
        <f t="shared" si="3"/>
        <v>TUNTAS</v>
      </c>
      <c r="L47" s="16" t="str">
        <f t="shared" si="4"/>
        <v xml:space="preserve"> </v>
      </c>
      <c r="N47" s="51">
        <f t="shared" si="5"/>
        <v>7.7</v>
      </c>
    </row>
    <row r="48" spans="1:14">
      <c r="A48" s="16">
        <v>41</v>
      </c>
      <c r="B48" s="20" t="s">
        <v>769</v>
      </c>
      <c r="C48" s="26" t="s">
        <v>313</v>
      </c>
      <c r="D48" s="27" t="s">
        <v>146</v>
      </c>
      <c r="E48" s="16">
        <v>6</v>
      </c>
      <c r="F48" s="16">
        <v>10</v>
      </c>
      <c r="G48" s="16">
        <v>4</v>
      </c>
      <c r="H48" s="23">
        <f t="shared" si="2"/>
        <v>192</v>
      </c>
      <c r="I48" s="24">
        <f t="shared" si="0"/>
        <v>64</v>
      </c>
      <c r="J48" s="16">
        <f t="shared" si="6"/>
        <v>44</v>
      </c>
      <c r="K48" s="16" t="str">
        <f t="shared" si="3"/>
        <v>TUNTAS</v>
      </c>
      <c r="L48" s="16" t="str">
        <f t="shared" si="4"/>
        <v xml:space="preserve"> </v>
      </c>
      <c r="N48" s="51">
        <f t="shared" si="5"/>
        <v>6.4</v>
      </c>
    </row>
    <row r="49" spans="1:14">
      <c r="A49" s="16">
        <v>42</v>
      </c>
      <c r="B49" s="20" t="s">
        <v>771</v>
      </c>
      <c r="C49" s="21" t="s">
        <v>317</v>
      </c>
      <c r="D49" s="22" t="s">
        <v>151</v>
      </c>
      <c r="E49" s="16">
        <v>9</v>
      </c>
      <c r="F49" s="16">
        <v>7</v>
      </c>
      <c r="G49" s="16">
        <v>4</v>
      </c>
      <c r="H49" s="23">
        <f t="shared" si="2"/>
        <v>192</v>
      </c>
      <c r="I49" s="24">
        <f t="shared" si="0"/>
        <v>64</v>
      </c>
      <c r="J49" s="16">
        <f t="shared" si="6"/>
        <v>44</v>
      </c>
      <c r="K49" s="16" t="str">
        <f t="shared" si="3"/>
        <v>TUNTAS</v>
      </c>
      <c r="L49" s="16" t="str">
        <f t="shared" si="4"/>
        <v xml:space="preserve"> </v>
      </c>
      <c r="N49" s="51">
        <f t="shared" si="5"/>
        <v>6.4</v>
      </c>
    </row>
    <row r="50" spans="1:14">
      <c r="A50" s="16">
        <v>43</v>
      </c>
      <c r="B50" s="20" t="s">
        <v>773</v>
      </c>
      <c r="C50" s="21" t="s">
        <v>441</v>
      </c>
      <c r="D50" s="22" t="s">
        <v>153</v>
      </c>
      <c r="E50" s="16">
        <v>12</v>
      </c>
      <c r="F50" s="16">
        <v>13</v>
      </c>
      <c r="G50" s="16">
        <v>5</v>
      </c>
      <c r="H50" s="23">
        <f t="shared" si="2"/>
        <v>150</v>
      </c>
      <c r="I50" s="24">
        <f t="shared" si="0"/>
        <v>50</v>
      </c>
      <c r="J50" s="16">
        <f t="shared" si="6"/>
        <v>48</v>
      </c>
      <c r="K50" s="16" t="str">
        <f t="shared" si="3"/>
        <v>TIDAK TUNTAS</v>
      </c>
      <c r="L50" s="16" t="str">
        <f t="shared" si="4"/>
        <v xml:space="preserve"> </v>
      </c>
      <c r="N50" s="51">
        <f t="shared" si="5"/>
        <v>5</v>
      </c>
    </row>
    <row r="51" spans="1:14">
      <c r="A51" s="16">
        <v>44</v>
      </c>
      <c r="B51" s="20" t="s">
        <v>774</v>
      </c>
      <c r="C51" s="21" t="s">
        <v>163</v>
      </c>
      <c r="D51" s="22" t="s">
        <v>164</v>
      </c>
      <c r="E51" s="16">
        <v>2</v>
      </c>
      <c r="F51" s="16">
        <v>1</v>
      </c>
      <c r="G51" s="16">
        <v>1</v>
      </c>
      <c r="H51" s="23">
        <f t="shared" si="2"/>
        <v>276</v>
      </c>
      <c r="I51" s="24">
        <f t="shared" si="0"/>
        <v>92</v>
      </c>
      <c r="J51" s="16">
        <f t="shared" si="6"/>
        <v>9</v>
      </c>
      <c r="K51" s="16" t="str">
        <f t="shared" si="3"/>
        <v>TUNTAS</v>
      </c>
      <c r="L51" s="16" t="str">
        <f t="shared" si="4"/>
        <v xml:space="preserve"> </v>
      </c>
      <c r="N51" s="51">
        <f t="shared" si="5"/>
        <v>9.1999999999999993</v>
      </c>
    </row>
    <row r="52" spans="1:14">
      <c r="A52" s="16">
        <v>45</v>
      </c>
      <c r="B52" s="20" t="s">
        <v>776</v>
      </c>
      <c r="C52" s="26" t="s">
        <v>166</v>
      </c>
      <c r="D52" s="27" t="s">
        <v>179</v>
      </c>
      <c r="E52" s="16">
        <v>6</v>
      </c>
      <c r="F52" s="16">
        <v>10</v>
      </c>
      <c r="G52" s="16">
        <v>5</v>
      </c>
      <c r="H52" s="23">
        <f t="shared" si="2"/>
        <v>177</v>
      </c>
      <c r="I52" s="24">
        <f t="shared" si="0"/>
        <v>59</v>
      </c>
      <c r="J52" s="16">
        <f t="shared" si="6"/>
        <v>47</v>
      </c>
      <c r="K52" s="16" t="str">
        <f t="shared" si="3"/>
        <v>TIDAK TUNTAS</v>
      </c>
      <c r="L52" s="16" t="str">
        <f t="shared" si="4"/>
        <v xml:space="preserve"> </v>
      </c>
      <c r="N52" s="51">
        <f t="shared" si="5"/>
        <v>5.9</v>
      </c>
    </row>
    <row r="53" spans="1:14">
      <c r="A53" s="16">
        <v>46</v>
      </c>
      <c r="B53" s="20" t="s">
        <v>778</v>
      </c>
      <c r="C53" s="25" t="s">
        <v>448</v>
      </c>
      <c r="D53" s="22" t="s">
        <v>447</v>
      </c>
      <c r="E53" s="16">
        <v>2</v>
      </c>
      <c r="F53" s="16">
        <v>0</v>
      </c>
      <c r="G53" s="16">
        <v>1</v>
      </c>
      <c r="H53" s="23">
        <f t="shared" si="2"/>
        <v>279</v>
      </c>
      <c r="I53" s="24">
        <f t="shared" si="0"/>
        <v>93</v>
      </c>
      <c r="J53" s="16">
        <f t="shared" si="6"/>
        <v>7</v>
      </c>
      <c r="K53" s="16" t="str">
        <f t="shared" si="3"/>
        <v>TUNTAS</v>
      </c>
      <c r="L53" s="16" t="str">
        <f t="shared" si="4"/>
        <v xml:space="preserve"> </v>
      </c>
      <c r="N53" s="51">
        <f t="shared" si="5"/>
        <v>9.3000000000000007</v>
      </c>
    </row>
    <row r="54" spans="1:14">
      <c r="A54" s="16">
        <v>47</v>
      </c>
      <c r="B54" s="20" t="s">
        <v>779</v>
      </c>
      <c r="C54" s="21" t="s">
        <v>329</v>
      </c>
      <c r="D54" s="22" t="s">
        <v>330</v>
      </c>
      <c r="E54" s="16">
        <v>4</v>
      </c>
      <c r="F54" s="16">
        <v>7</v>
      </c>
      <c r="G54" s="16">
        <v>4</v>
      </c>
      <c r="H54" s="23">
        <f t="shared" si="2"/>
        <v>207</v>
      </c>
      <c r="I54" s="24">
        <f t="shared" si="0"/>
        <v>69</v>
      </c>
      <c r="J54" s="16">
        <f t="shared" si="6"/>
        <v>41</v>
      </c>
      <c r="K54" s="16" t="str">
        <f t="shared" si="3"/>
        <v>TUNTAS</v>
      </c>
      <c r="L54" s="16" t="str">
        <f t="shared" si="4"/>
        <v xml:space="preserve"> </v>
      </c>
      <c r="N54" s="51">
        <f t="shared" si="5"/>
        <v>6.9</v>
      </c>
    </row>
    <row r="55" spans="1:14">
      <c r="A55" s="16">
        <v>48</v>
      </c>
      <c r="B55" s="20" t="s">
        <v>781</v>
      </c>
      <c r="C55" s="21" t="s">
        <v>597</v>
      </c>
      <c r="D55" s="22" t="s">
        <v>168</v>
      </c>
      <c r="E55" s="16">
        <v>32</v>
      </c>
      <c r="F55" s="16">
        <v>32</v>
      </c>
      <c r="G55" s="16">
        <v>5</v>
      </c>
      <c r="H55" s="23">
        <f t="shared" si="2"/>
        <v>33</v>
      </c>
      <c r="I55" s="24">
        <f t="shared" si="0"/>
        <v>11</v>
      </c>
      <c r="J55" s="16">
        <f t="shared" si="6"/>
        <v>53</v>
      </c>
      <c r="K55" s="16" t="str">
        <f t="shared" si="3"/>
        <v>TIDAK HADIR</v>
      </c>
      <c r="L55" s="16" t="s">
        <v>1144</v>
      </c>
      <c r="N55" s="51">
        <f t="shared" si="5"/>
        <v>1.1000000000000001</v>
      </c>
    </row>
    <row r="56" spans="1:14">
      <c r="A56" s="16">
        <v>49</v>
      </c>
      <c r="B56" s="20" t="s">
        <v>783</v>
      </c>
      <c r="C56" s="21" t="s">
        <v>170</v>
      </c>
      <c r="D56" s="22" t="s">
        <v>171</v>
      </c>
      <c r="E56" s="16">
        <v>0</v>
      </c>
      <c r="F56" s="16">
        <v>0</v>
      </c>
      <c r="G56" s="16">
        <v>1</v>
      </c>
      <c r="H56" s="23">
        <f t="shared" si="2"/>
        <v>285</v>
      </c>
      <c r="I56" s="24">
        <f t="shared" si="0"/>
        <v>95</v>
      </c>
      <c r="J56" s="16">
        <f t="shared" si="6"/>
        <v>6</v>
      </c>
      <c r="K56" s="16" t="str">
        <f t="shared" si="3"/>
        <v>TUNTAS</v>
      </c>
      <c r="L56" s="16" t="str">
        <f t="shared" si="4"/>
        <v xml:space="preserve"> </v>
      </c>
      <c r="N56" s="51">
        <f t="shared" si="5"/>
        <v>9.5</v>
      </c>
    </row>
    <row r="57" spans="1:14">
      <c r="A57" s="16">
        <v>50</v>
      </c>
      <c r="B57" s="20" t="s">
        <v>785</v>
      </c>
      <c r="C57" s="26" t="s">
        <v>181</v>
      </c>
      <c r="D57" s="27" t="s">
        <v>182</v>
      </c>
      <c r="E57" s="16">
        <v>4</v>
      </c>
      <c r="F57" s="16">
        <v>3</v>
      </c>
      <c r="G57" s="16">
        <v>2</v>
      </c>
      <c r="H57" s="23">
        <f t="shared" si="2"/>
        <v>249</v>
      </c>
      <c r="I57" s="24">
        <f t="shared" si="0"/>
        <v>83</v>
      </c>
      <c r="J57" s="16">
        <f t="shared" si="6"/>
        <v>24</v>
      </c>
      <c r="K57" s="16" t="str">
        <f t="shared" si="3"/>
        <v>TUNTAS</v>
      </c>
      <c r="L57" s="16" t="str">
        <f t="shared" si="4"/>
        <v xml:space="preserve"> </v>
      </c>
      <c r="N57" s="51">
        <f t="shared" si="5"/>
        <v>8.3000000000000007</v>
      </c>
    </row>
    <row r="58" spans="1:14">
      <c r="A58" s="16">
        <v>51</v>
      </c>
      <c r="B58" s="20" t="s">
        <v>787</v>
      </c>
      <c r="C58" s="21" t="s">
        <v>453</v>
      </c>
      <c r="D58" s="22" t="s">
        <v>346</v>
      </c>
      <c r="E58" s="16">
        <v>5</v>
      </c>
      <c r="F58" s="16">
        <v>1</v>
      </c>
      <c r="G58" s="16">
        <v>3</v>
      </c>
      <c r="H58" s="23">
        <f t="shared" si="2"/>
        <v>237</v>
      </c>
      <c r="I58" s="24">
        <f t="shared" si="0"/>
        <v>79</v>
      </c>
      <c r="J58" s="16">
        <f t="shared" si="6"/>
        <v>27</v>
      </c>
      <c r="K58" s="16" t="str">
        <f t="shared" si="3"/>
        <v>TUNTAS</v>
      </c>
      <c r="L58" s="16" t="str">
        <f t="shared" si="4"/>
        <v xml:space="preserve"> </v>
      </c>
      <c r="N58" s="51">
        <f t="shared" si="5"/>
        <v>7.9</v>
      </c>
    </row>
    <row r="59" spans="1:14">
      <c r="A59" s="16">
        <v>52</v>
      </c>
      <c r="B59" s="20" t="s">
        <v>789</v>
      </c>
      <c r="C59" s="26" t="s">
        <v>352</v>
      </c>
      <c r="D59" s="27" t="s">
        <v>186</v>
      </c>
      <c r="E59" s="16">
        <v>3</v>
      </c>
      <c r="F59" s="16">
        <v>2</v>
      </c>
      <c r="G59" s="16">
        <v>5</v>
      </c>
      <c r="H59" s="23">
        <f t="shared" si="2"/>
        <v>210</v>
      </c>
      <c r="I59" s="24">
        <f t="shared" si="0"/>
        <v>70</v>
      </c>
      <c r="J59" s="16">
        <f t="shared" si="6"/>
        <v>40</v>
      </c>
      <c r="K59" s="16" t="str">
        <f t="shared" si="3"/>
        <v>TUNTAS</v>
      </c>
      <c r="L59" s="16" t="str">
        <f t="shared" si="4"/>
        <v xml:space="preserve"> </v>
      </c>
      <c r="N59" s="51">
        <f t="shared" si="5"/>
        <v>7</v>
      </c>
    </row>
    <row r="60" spans="1:14">
      <c r="A60" s="16">
        <v>53</v>
      </c>
      <c r="B60" s="20" t="s">
        <v>791</v>
      </c>
      <c r="C60" s="21" t="s">
        <v>456</v>
      </c>
      <c r="D60" s="22" t="s">
        <v>355</v>
      </c>
      <c r="E60" s="16">
        <v>10</v>
      </c>
      <c r="F60" s="16">
        <v>4</v>
      </c>
      <c r="G60" s="16">
        <v>3</v>
      </c>
      <c r="H60" s="23">
        <f t="shared" si="2"/>
        <v>213</v>
      </c>
      <c r="I60" s="24">
        <f t="shared" si="0"/>
        <v>71</v>
      </c>
      <c r="J60" s="16">
        <f t="shared" si="6"/>
        <v>38</v>
      </c>
      <c r="K60" s="16" t="str">
        <f t="shared" si="3"/>
        <v>TUNTAS</v>
      </c>
      <c r="L60" s="16" t="str">
        <f t="shared" si="4"/>
        <v xml:space="preserve"> </v>
      </c>
      <c r="N60" s="51">
        <f t="shared" si="5"/>
        <v>7.1</v>
      </c>
    </row>
    <row r="61" spans="1:14">
      <c r="A61" s="16">
        <v>54</v>
      </c>
      <c r="B61" s="20" t="s">
        <v>793</v>
      </c>
      <c r="C61" s="21" t="s">
        <v>358</v>
      </c>
      <c r="D61" s="22" t="s">
        <v>189</v>
      </c>
      <c r="E61" s="16">
        <v>32</v>
      </c>
      <c r="F61" s="16">
        <v>32</v>
      </c>
      <c r="G61" s="16">
        <v>5</v>
      </c>
      <c r="H61" s="23">
        <f t="shared" si="2"/>
        <v>33</v>
      </c>
      <c r="I61" s="24">
        <f t="shared" si="0"/>
        <v>11</v>
      </c>
      <c r="J61" s="16">
        <f t="shared" si="6"/>
        <v>53</v>
      </c>
      <c r="K61" s="16" t="str">
        <f t="shared" si="3"/>
        <v>TIDAK HADIR</v>
      </c>
      <c r="L61" s="16" t="s">
        <v>1144</v>
      </c>
      <c r="N61" s="51">
        <f t="shared" si="5"/>
        <v>1.1000000000000001</v>
      </c>
    </row>
    <row r="62" spans="1:14">
      <c r="A62" s="16">
        <v>55</v>
      </c>
      <c r="B62" s="20" t="s">
        <v>795</v>
      </c>
      <c r="C62" s="26" t="s">
        <v>457</v>
      </c>
      <c r="D62" s="27" t="s">
        <v>192</v>
      </c>
      <c r="E62" s="16">
        <v>10</v>
      </c>
      <c r="F62" s="16">
        <v>6</v>
      </c>
      <c r="G62" s="16">
        <v>3</v>
      </c>
      <c r="H62" s="23">
        <f t="shared" si="2"/>
        <v>207</v>
      </c>
      <c r="I62" s="24">
        <f t="shared" si="0"/>
        <v>69</v>
      </c>
      <c r="J62" s="16">
        <f t="shared" si="6"/>
        <v>41</v>
      </c>
      <c r="K62" s="16" t="str">
        <f t="shared" si="3"/>
        <v>TUNTAS</v>
      </c>
      <c r="L62" s="16" t="str">
        <f t="shared" si="4"/>
        <v xml:space="preserve"> </v>
      </c>
      <c r="N62" s="51">
        <f t="shared" si="5"/>
        <v>6.9</v>
      </c>
    </row>
    <row r="63" spans="1:14">
      <c r="A63" s="16">
        <v>56</v>
      </c>
      <c r="B63" s="20" t="s">
        <v>796</v>
      </c>
      <c r="C63" s="21" t="s">
        <v>458</v>
      </c>
      <c r="D63" s="22" t="s">
        <v>196</v>
      </c>
      <c r="E63" s="16">
        <v>12</v>
      </c>
      <c r="F63" s="16">
        <v>11</v>
      </c>
      <c r="G63" s="16">
        <v>6</v>
      </c>
      <c r="H63" s="23">
        <f t="shared" si="2"/>
        <v>141</v>
      </c>
      <c r="I63" s="24">
        <f t="shared" si="0"/>
        <v>47</v>
      </c>
      <c r="J63" s="16">
        <f t="shared" si="6"/>
        <v>49</v>
      </c>
      <c r="K63" s="16" t="str">
        <f t="shared" si="3"/>
        <v>TIDAK TUNTAS</v>
      </c>
      <c r="L63" s="16" t="str">
        <f t="shared" si="4"/>
        <v>TM</v>
      </c>
      <c r="N63" s="51">
        <f t="shared" si="5"/>
        <v>4.7</v>
      </c>
    </row>
    <row r="64" spans="1:14">
      <c r="A64" s="16">
        <v>57</v>
      </c>
      <c r="B64" s="20" t="s">
        <v>798</v>
      </c>
      <c r="C64" s="21" t="s">
        <v>460</v>
      </c>
      <c r="D64" s="22" t="s">
        <v>368</v>
      </c>
      <c r="E64" s="16">
        <v>7</v>
      </c>
      <c r="F64" s="16">
        <v>1</v>
      </c>
      <c r="G64" s="16">
        <v>5</v>
      </c>
      <c r="H64" s="23">
        <f t="shared" si="2"/>
        <v>201</v>
      </c>
      <c r="I64" s="24">
        <f t="shared" si="0"/>
        <v>67</v>
      </c>
      <c r="J64" s="16">
        <f t="shared" si="6"/>
        <v>43</v>
      </c>
      <c r="K64" s="16" t="str">
        <f t="shared" si="3"/>
        <v>TUNTAS</v>
      </c>
      <c r="L64" s="16" t="str">
        <f t="shared" si="4"/>
        <v xml:space="preserve"> </v>
      </c>
      <c r="N64" s="51">
        <f t="shared" si="5"/>
        <v>6.7</v>
      </c>
    </row>
    <row r="65" spans="1:14">
      <c r="A65" s="16">
        <v>58</v>
      </c>
      <c r="B65" s="20" t="s">
        <v>800</v>
      </c>
      <c r="C65" s="26" t="s">
        <v>206</v>
      </c>
      <c r="D65" s="27" t="s">
        <v>207</v>
      </c>
      <c r="E65" s="16">
        <v>32</v>
      </c>
      <c r="F65" s="16">
        <v>32</v>
      </c>
      <c r="G65" s="16">
        <v>5</v>
      </c>
      <c r="H65" s="23">
        <f t="shared" si="2"/>
        <v>33</v>
      </c>
      <c r="I65" s="24">
        <f t="shared" si="0"/>
        <v>11</v>
      </c>
      <c r="J65" s="16">
        <f t="shared" si="6"/>
        <v>53</v>
      </c>
      <c r="K65" s="16" t="str">
        <f t="shared" si="3"/>
        <v>TIDAK HADIR</v>
      </c>
      <c r="L65" s="16" t="s">
        <v>1144</v>
      </c>
      <c r="N65" s="51">
        <f t="shared" si="5"/>
        <v>1.1000000000000001</v>
      </c>
    </row>
    <row r="66" spans="1:14">
      <c r="A66" s="16">
        <v>59</v>
      </c>
      <c r="B66" s="20" t="s">
        <v>802</v>
      </c>
      <c r="C66" s="21" t="s">
        <v>214</v>
      </c>
      <c r="D66" s="22" t="s">
        <v>212</v>
      </c>
      <c r="E66" s="16">
        <v>32</v>
      </c>
      <c r="F66" s="16">
        <v>32</v>
      </c>
      <c r="G66" s="16">
        <v>5</v>
      </c>
      <c r="H66" s="23">
        <f t="shared" si="2"/>
        <v>33</v>
      </c>
      <c r="I66" s="24">
        <f t="shared" si="0"/>
        <v>11</v>
      </c>
      <c r="J66" s="16">
        <f t="shared" si="6"/>
        <v>53</v>
      </c>
      <c r="K66" s="16" t="str">
        <f t="shared" si="3"/>
        <v>TIDAK HADIR</v>
      </c>
      <c r="L66" s="16" t="s">
        <v>1143</v>
      </c>
      <c r="N66" s="51">
        <f t="shared" si="5"/>
        <v>1.1000000000000001</v>
      </c>
    </row>
    <row r="67" spans="1:14">
      <c r="A67" s="16">
        <v>60</v>
      </c>
      <c r="B67" s="20" t="s">
        <v>804</v>
      </c>
      <c r="C67" s="21" t="s">
        <v>810</v>
      </c>
      <c r="D67" s="22" t="s">
        <v>212</v>
      </c>
      <c r="E67" s="16">
        <v>2</v>
      </c>
      <c r="F67" s="16">
        <v>0</v>
      </c>
      <c r="G67" s="16">
        <v>0</v>
      </c>
      <c r="H67" s="23">
        <f t="shared" si="2"/>
        <v>294</v>
      </c>
      <c r="I67" s="24">
        <f t="shared" si="0"/>
        <v>98</v>
      </c>
      <c r="J67" s="16">
        <f t="shared" si="6"/>
        <v>4</v>
      </c>
      <c r="K67" s="16" t="str">
        <f t="shared" si="3"/>
        <v>TUNTAS</v>
      </c>
      <c r="L67" s="16" t="str">
        <f t="shared" si="4"/>
        <v xml:space="preserve"> </v>
      </c>
      <c r="N67" s="1"/>
    </row>
    <row r="68" spans="1:14">
      <c r="A68" s="16">
        <v>61</v>
      </c>
      <c r="B68" s="20" t="s">
        <v>806</v>
      </c>
      <c r="C68" s="21" t="s">
        <v>464</v>
      </c>
      <c r="D68" s="22" t="s">
        <v>380</v>
      </c>
      <c r="E68" s="16">
        <v>3</v>
      </c>
      <c r="F68" s="16">
        <v>2</v>
      </c>
      <c r="G68" s="16">
        <v>1</v>
      </c>
      <c r="H68" s="23">
        <f t="shared" si="2"/>
        <v>270</v>
      </c>
      <c r="I68" s="24">
        <f t="shared" si="0"/>
        <v>90</v>
      </c>
      <c r="J68" s="16">
        <f t="shared" si="6"/>
        <v>14</v>
      </c>
      <c r="K68" s="16" t="str">
        <f t="shared" ref="K68" si="7">IF(G68&gt;5,"TIDAK MUROD",IF(I68&lt;2.8,"TIDAK HADIR",IF(I68&lt;4.8,"TIDAK BACA",IF(I68&lt;$K$7,"TIDAK TUNTAS","TUNTAS"))))</f>
        <v>TUNTAS</v>
      </c>
      <c r="L68" s="16"/>
      <c r="N68" s="1"/>
    </row>
    <row r="69" spans="1:14">
      <c r="A69" s="16">
        <v>62</v>
      </c>
      <c r="B69" s="20"/>
      <c r="C69" s="21" t="s">
        <v>1151</v>
      </c>
      <c r="D69" s="22" t="s">
        <v>1152</v>
      </c>
      <c r="E69" s="16">
        <v>5</v>
      </c>
      <c r="F69" s="16">
        <v>4</v>
      </c>
      <c r="G69" s="16">
        <v>1</v>
      </c>
      <c r="H69" s="23">
        <f t="shared" ref="H69" si="8">100-E69*3+100-F69*3+100-G69*15</f>
        <v>258</v>
      </c>
      <c r="I69" s="24">
        <f t="shared" ref="I69" si="9">H69/3</f>
        <v>86</v>
      </c>
      <c r="J69" s="16">
        <f t="shared" ref="J69" si="10">RANK(H69,$H$8:$H$68)</f>
        <v>21</v>
      </c>
      <c r="K69" s="16" t="str">
        <f t="shared" ref="K69" si="11">IF(G69&gt;5,"TIDAK MUROD",IF(I69&lt;2.8,"TIDAK HADIR",IF(I69&lt;4.8,"TIDAK BACA",IF(I69&lt;$K$7,"TIDAK TUNTAS","TUNTAS"))))</f>
        <v>TUNTAS</v>
      </c>
      <c r="L69" s="16"/>
    </row>
  </sheetData>
  <autoFilter ref="B5:L7" xr:uid="{32BDCEE1-2BFA-42C6-8E20-DA48D7C4A915}">
    <filterColumn colId="3" showButton="0"/>
    <filterColumn colId="4" showButton="0"/>
  </autoFilter>
  <mergeCells count="11">
    <mergeCell ref="A4:I4"/>
    <mergeCell ref="I5:I7"/>
    <mergeCell ref="J5:J7"/>
    <mergeCell ref="K5:K6"/>
    <mergeCell ref="L5:L7"/>
    <mergeCell ref="A5:A7"/>
    <mergeCell ref="B5:B7"/>
    <mergeCell ref="C5:C7"/>
    <mergeCell ref="D5:D7"/>
    <mergeCell ref="E5:G5"/>
    <mergeCell ref="H5:H7"/>
  </mergeCells>
  <phoneticPr fontId="14" type="noConversion"/>
  <conditionalFormatting sqref="D18:D19 D21:D22">
    <cfRule type="cellIs" dxfId="29" priority="9" operator="equal">
      <formula>0</formula>
    </cfRule>
  </conditionalFormatting>
  <conditionalFormatting sqref="I5:I7">
    <cfRule type="cellIs" dxfId="28" priority="10" operator="lessThan">
      <formula>100</formula>
    </cfRule>
  </conditionalFormatting>
  <conditionalFormatting sqref="I5:I69">
    <cfRule type="cellIs" dxfId="27" priority="7" operator="lessThan">
      <formula>60</formula>
    </cfRule>
  </conditionalFormatting>
  <conditionalFormatting sqref="I8:I69">
    <cfRule type="cellIs" dxfId="26" priority="6" operator="lessThan">
      <formula>60</formula>
    </cfRule>
    <cfRule type="cellIs" dxfId="25" priority="8" operator="lessThan">
      <formula>50</formula>
    </cfRule>
  </conditionalFormatting>
  <conditionalFormatting sqref="K8:K69">
    <cfRule type="cellIs" dxfId="24" priority="1" operator="equal">
      <formula>"TIDAK BACA"</formula>
    </cfRule>
    <cfRule type="cellIs" dxfId="23" priority="2" operator="equal">
      <formula>"TIDAK TUNTAS"</formula>
    </cfRule>
    <cfRule type="cellIs" dxfId="22" priority="3" operator="equal">
      <formula>"TUNTAS"</formula>
    </cfRule>
    <cfRule type="cellIs" dxfId="21" priority="4" operator="equal">
      <formula>"TIDAK HADIR"</formula>
    </cfRule>
    <cfRule type="cellIs" dxfId="2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084F1B45-AAA7-4F35-8227-C1F9574DB866}"/>
  </dataValidation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N76"/>
  <sheetViews>
    <sheetView zoomScale="96" zoomScaleNormal="96" workbookViewId="0">
      <pane xSplit="1" ySplit="7" topLeftCell="B50" activePane="bottomRight" state="frozen"/>
      <selection activeCell="N11" sqref="N11"/>
      <selection pane="topRight" activeCell="N11" sqref="N11"/>
      <selection pane="bottomLeft" activeCell="N11" sqref="N11"/>
      <selection pane="bottomRight" activeCell="R72" sqref="R72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ht="16.5">
      <c r="A1" s="12" t="s">
        <v>940</v>
      </c>
      <c r="B1" s="13"/>
      <c r="C1" s="14"/>
      <c r="D1" s="13"/>
      <c r="E1" s="13"/>
      <c r="F1" s="13"/>
      <c r="G1" s="13"/>
      <c r="H1" s="13"/>
      <c r="I1" s="13"/>
      <c r="J1" s="13"/>
      <c r="K1" s="13"/>
      <c r="L1" s="30"/>
    </row>
    <row r="2" spans="1:14" s="1" customFormat="1" ht="15.75" customHeight="1">
      <c r="A2" s="12" t="s">
        <v>941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30"/>
    </row>
    <row r="3" spans="1:14" s="1" customFormat="1" ht="16.5">
      <c r="A3" s="15" t="s">
        <v>942</v>
      </c>
      <c r="B3" s="13"/>
      <c r="C3" s="14"/>
      <c r="D3" s="13"/>
      <c r="E3" s="13"/>
      <c r="F3" s="13"/>
      <c r="G3" s="13"/>
      <c r="H3" s="13"/>
      <c r="I3" s="13"/>
      <c r="J3" s="13"/>
      <c r="K3" s="13"/>
      <c r="L3" s="30"/>
    </row>
    <row r="4" spans="1:14" s="32" customFormat="1" ht="19.899999999999999" customHeight="1">
      <c r="A4" s="48" t="s">
        <v>1136</v>
      </c>
      <c r="B4" s="48"/>
      <c r="C4" s="48"/>
      <c r="D4" s="48"/>
      <c r="E4" s="48"/>
      <c r="F4" s="48"/>
      <c r="G4" s="48"/>
      <c r="H4" s="48"/>
      <c r="I4" s="48"/>
      <c r="J4" s="30"/>
      <c r="K4" s="33" t="s">
        <v>1145</v>
      </c>
      <c r="L4" s="30"/>
    </row>
    <row r="5" spans="1:14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813</v>
      </c>
      <c r="C8" s="21" t="s">
        <v>646</v>
      </c>
      <c r="D8" s="22" t="s">
        <v>19</v>
      </c>
      <c r="E8" s="16">
        <v>1</v>
      </c>
      <c r="F8" s="16">
        <v>0</v>
      </c>
      <c r="G8" s="16">
        <v>1</v>
      </c>
      <c r="H8" s="23">
        <f t="shared" ref="H8:H39" si="0">100-E8*3+100-F8*3+100-G8*15</f>
        <v>282</v>
      </c>
      <c r="I8" s="24">
        <f t="shared" ref="I8:I39" si="1">H8/3</f>
        <v>94</v>
      </c>
      <c r="J8" s="16">
        <f t="shared" ref="J8:J39" si="2">RANK(H8,$H$8:$H$76)</f>
        <v>8</v>
      </c>
      <c r="K8" s="16" t="str">
        <f t="shared" ref="K8:K39" si="3">IF(I8&lt;11.1,"TIDAK HADIR",IF(I8&lt;13.1,"TIDAK BACA",IF(I8&lt;$K$7,"TIDAK TUNTAS","TUNTAS")))</f>
        <v>TUNTAS</v>
      </c>
      <c r="L8" s="16" t="str">
        <f t="shared" ref="L8:L24" si="4">IF(G8&gt;5,"TM"," ")</f>
        <v xml:space="preserve"> </v>
      </c>
      <c r="N8" s="2">
        <f>I8/10</f>
        <v>9.4</v>
      </c>
    </row>
    <row r="9" spans="1:14">
      <c r="A9" s="16">
        <v>2</v>
      </c>
      <c r="B9" s="20" t="s">
        <v>814</v>
      </c>
      <c r="C9" s="25" t="s">
        <v>471</v>
      </c>
      <c r="D9" s="22" t="s">
        <v>472</v>
      </c>
      <c r="E9" s="16">
        <v>12</v>
      </c>
      <c r="F9" s="16">
        <v>15</v>
      </c>
      <c r="G9" s="16">
        <v>5</v>
      </c>
      <c r="H9" s="23">
        <f t="shared" si="0"/>
        <v>144</v>
      </c>
      <c r="I9" s="24">
        <f t="shared" si="1"/>
        <v>48</v>
      </c>
      <c r="J9" s="16">
        <f t="shared" si="2"/>
        <v>56</v>
      </c>
      <c r="K9" s="16" t="str">
        <f t="shared" si="3"/>
        <v>TIDAK TUNTAS</v>
      </c>
      <c r="L9" s="16" t="str">
        <f t="shared" si="4"/>
        <v xml:space="preserve"> </v>
      </c>
      <c r="N9" s="2">
        <f t="shared" ref="N9:N72" si="5">I9/10</f>
        <v>4.8</v>
      </c>
    </row>
    <row r="10" spans="1:14">
      <c r="A10" s="16">
        <v>3</v>
      </c>
      <c r="B10" s="20" t="s">
        <v>817</v>
      </c>
      <c r="C10" s="21" t="s">
        <v>476</v>
      </c>
      <c r="D10" s="22" t="s">
        <v>25</v>
      </c>
      <c r="E10" s="16">
        <v>7</v>
      </c>
      <c r="F10" s="16">
        <v>7</v>
      </c>
      <c r="G10" s="16">
        <v>3</v>
      </c>
      <c r="H10" s="23">
        <f t="shared" si="0"/>
        <v>213</v>
      </c>
      <c r="I10" s="24">
        <f t="shared" si="1"/>
        <v>71</v>
      </c>
      <c r="J10" s="16">
        <f t="shared" si="2"/>
        <v>34</v>
      </c>
      <c r="K10" s="16" t="str">
        <f t="shared" si="3"/>
        <v>TUNTAS</v>
      </c>
      <c r="L10" s="16" t="str">
        <f t="shared" si="4"/>
        <v xml:space="preserve"> </v>
      </c>
      <c r="N10" s="2">
        <f t="shared" si="5"/>
        <v>7.1</v>
      </c>
    </row>
    <row r="11" spans="1:14">
      <c r="A11" s="16">
        <v>4</v>
      </c>
      <c r="B11" s="20" t="s">
        <v>816</v>
      </c>
      <c r="C11" s="25" t="s">
        <v>650</v>
      </c>
      <c r="D11" s="22" t="s">
        <v>25</v>
      </c>
      <c r="E11" s="16">
        <v>11</v>
      </c>
      <c r="F11" s="16">
        <v>10</v>
      </c>
      <c r="G11" s="16">
        <v>4</v>
      </c>
      <c r="H11" s="23">
        <f t="shared" si="0"/>
        <v>177</v>
      </c>
      <c r="I11" s="24">
        <f t="shared" si="1"/>
        <v>59</v>
      </c>
      <c r="J11" s="16">
        <f t="shared" si="2"/>
        <v>50</v>
      </c>
      <c r="K11" s="16" t="str">
        <f t="shared" si="3"/>
        <v>TIDAK TUNTAS</v>
      </c>
      <c r="L11" s="16" t="str">
        <f t="shared" si="4"/>
        <v xml:space="preserve"> </v>
      </c>
      <c r="N11" s="2">
        <f t="shared" si="5"/>
        <v>5.9</v>
      </c>
    </row>
    <row r="12" spans="1:14">
      <c r="A12" s="16">
        <v>5</v>
      </c>
      <c r="B12" s="20" t="s">
        <v>818</v>
      </c>
      <c r="C12" s="25" t="s">
        <v>480</v>
      </c>
      <c r="D12" s="22" t="s">
        <v>29</v>
      </c>
      <c r="E12" s="16">
        <v>11</v>
      </c>
      <c r="F12" s="16">
        <v>3</v>
      </c>
      <c r="G12" s="16">
        <v>4</v>
      </c>
      <c r="H12" s="23">
        <f t="shared" si="0"/>
        <v>198</v>
      </c>
      <c r="I12" s="24">
        <f t="shared" si="1"/>
        <v>66</v>
      </c>
      <c r="J12" s="16">
        <f t="shared" si="2"/>
        <v>39</v>
      </c>
      <c r="K12" s="16" t="str">
        <f t="shared" si="3"/>
        <v>TUNTAS</v>
      </c>
      <c r="L12" s="16" t="str">
        <f t="shared" si="4"/>
        <v xml:space="preserve"> </v>
      </c>
      <c r="N12" s="2">
        <f t="shared" si="5"/>
        <v>6.6</v>
      </c>
    </row>
    <row r="13" spans="1:14">
      <c r="A13" s="16">
        <v>6</v>
      </c>
      <c r="B13" s="20" t="s">
        <v>819</v>
      </c>
      <c r="C13" s="21" t="s">
        <v>403</v>
      </c>
      <c r="D13" s="22" t="s">
        <v>29</v>
      </c>
      <c r="E13" s="16">
        <v>9</v>
      </c>
      <c r="F13" s="16">
        <v>8</v>
      </c>
      <c r="G13" s="16">
        <v>4</v>
      </c>
      <c r="H13" s="23">
        <f t="shared" si="0"/>
        <v>189</v>
      </c>
      <c r="I13" s="24">
        <f t="shared" si="1"/>
        <v>63</v>
      </c>
      <c r="J13" s="16">
        <f t="shared" si="2"/>
        <v>42</v>
      </c>
      <c r="K13" s="16" t="str">
        <f t="shared" si="3"/>
        <v>TUNTAS</v>
      </c>
      <c r="L13" s="16" t="str">
        <f t="shared" si="4"/>
        <v xml:space="preserve"> </v>
      </c>
      <c r="N13" s="2">
        <f t="shared" si="5"/>
        <v>6.3</v>
      </c>
    </row>
    <row r="14" spans="1:14">
      <c r="A14" s="16">
        <v>7</v>
      </c>
      <c r="B14" s="20" t="s">
        <v>820</v>
      </c>
      <c r="C14" s="25" t="s">
        <v>1115</v>
      </c>
      <c r="D14" s="22" t="s">
        <v>36</v>
      </c>
      <c r="E14" s="16">
        <v>9</v>
      </c>
      <c r="F14" s="16">
        <v>4</v>
      </c>
      <c r="G14" s="16">
        <v>5</v>
      </c>
      <c r="H14" s="23">
        <f t="shared" si="0"/>
        <v>186</v>
      </c>
      <c r="I14" s="24">
        <f t="shared" si="1"/>
        <v>62</v>
      </c>
      <c r="J14" s="16">
        <f t="shared" si="2"/>
        <v>44</v>
      </c>
      <c r="K14" s="16" t="str">
        <f t="shared" si="3"/>
        <v>TUNTAS</v>
      </c>
      <c r="L14" s="16" t="str">
        <f t="shared" si="4"/>
        <v xml:space="preserve"> </v>
      </c>
      <c r="N14" s="2">
        <f t="shared" si="5"/>
        <v>6.2</v>
      </c>
    </row>
    <row r="15" spans="1:14">
      <c r="A15" s="16">
        <v>8</v>
      </c>
      <c r="B15" s="20" t="s">
        <v>822</v>
      </c>
      <c r="C15" s="21" t="s">
        <v>484</v>
      </c>
      <c r="D15" s="22" t="s">
        <v>485</v>
      </c>
      <c r="E15" s="16">
        <v>2</v>
      </c>
      <c r="F15" s="16">
        <v>4</v>
      </c>
      <c r="G15" s="16">
        <v>2</v>
      </c>
      <c r="H15" s="23">
        <f t="shared" si="0"/>
        <v>252</v>
      </c>
      <c r="I15" s="24">
        <f t="shared" si="1"/>
        <v>84</v>
      </c>
      <c r="J15" s="16">
        <f t="shared" si="2"/>
        <v>18</v>
      </c>
      <c r="K15" s="16" t="str">
        <f t="shared" si="3"/>
        <v>TUNTAS</v>
      </c>
      <c r="L15" s="16" t="str">
        <f t="shared" si="4"/>
        <v xml:space="preserve"> </v>
      </c>
      <c r="N15" s="2">
        <f t="shared" si="5"/>
        <v>8.4</v>
      </c>
    </row>
    <row r="16" spans="1:14">
      <c r="A16" s="16">
        <v>9</v>
      </c>
      <c r="B16" s="20" t="s">
        <v>821</v>
      </c>
      <c r="C16" s="21" t="s">
        <v>664</v>
      </c>
      <c r="D16" s="22" t="s">
        <v>485</v>
      </c>
      <c r="E16" s="16">
        <v>31</v>
      </c>
      <c r="F16" s="16">
        <v>31</v>
      </c>
      <c r="G16" s="16">
        <v>5</v>
      </c>
      <c r="H16" s="23">
        <f t="shared" si="0"/>
        <v>39</v>
      </c>
      <c r="I16" s="24">
        <f t="shared" si="1"/>
        <v>13</v>
      </c>
      <c r="J16" s="16">
        <f t="shared" si="2"/>
        <v>64</v>
      </c>
      <c r="K16" s="16" t="str">
        <f t="shared" si="3"/>
        <v>TIDAK BACA</v>
      </c>
      <c r="L16" s="16" t="str">
        <f t="shared" si="4"/>
        <v xml:space="preserve"> </v>
      </c>
      <c r="N16" s="2">
        <f t="shared" si="5"/>
        <v>1.3</v>
      </c>
    </row>
    <row r="17" spans="1:14">
      <c r="A17" s="16">
        <v>10</v>
      </c>
      <c r="B17" s="20" t="s">
        <v>823</v>
      </c>
      <c r="C17" s="21" t="s">
        <v>881</v>
      </c>
      <c r="D17" s="22" t="s">
        <v>236</v>
      </c>
      <c r="E17" s="16">
        <v>4</v>
      </c>
      <c r="F17" s="16">
        <v>2</v>
      </c>
      <c r="G17" s="16">
        <v>2</v>
      </c>
      <c r="H17" s="23">
        <f t="shared" si="0"/>
        <v>252</v>
      </c>
      <c r="I17" s="24">
        <f t="shared" si="1"/>
        <v>84</v>
      </c>
      <c r="J17" s="16">
        <f t="shared" si="2"/>
        <v>18</v>
      </c>
      <c r="K17" s="16" t="str">
        <f t="shared" si="3"/>
        <v>TUNTAS</v>
      </c>
      <c r="L17" s="16" t="str">
        <f t="shared" si="4"/>
        <v xml:space="preserve"> </v>
      </c>
      <c r="N17" s="2">
        <f t="shared" si="5"/>
        <v>8.4</v>
      </c>
    </row>
    <row r="18" spans="1:14">
      <c r="A18" s="16">
        <v>11</v>
      </c>
      <c r="B18" s="20" t="s">
        <v>824</v>
      </c>
      <c r="C18" s="21" t="s">
        <v>492</v>
      </c>
      <c r="D18" s="22" t="s">
        <v>52</v>
      </c>
      <c r="E18" s="16">
        <v>3</v>
      </c>
      <c r="F18" s="16">
        <v>1</v>
      </c>
      <c r="G18" s="16">
        <v>1</v>
      </c>
      <c r="H18" s="23">
        <f t="shared" si="0"/>
        <v>273</v>
      </c>
      <c r="I18" s="24">
        <f t="shared" si="1"/>
        <v>91</v>
      </c>
      <c r="J18" s="16">
        <f t="shared" si="2"/>
        <v>12</v>
      </c>
      <c r="K18" s="16" t="str">
        <f t="shared" si="3"/>
        <v>TUNTAS</v>
      </c>
      <c r="L18" s="16" t="str">
        <f t="shared" si="4"/>
        <v xml:space="preserve"> </v>
      </c>
      <c r="N18" s="2">
        <f t="shared" si="5"/>
        <v>9.1</v>
      </c>
    </row>
    <row r="19" spans="1:14">
      <c r="A19" s="16">
        <v>12</v>
      </c>
      <c r="B19" s="20" t="s">
        <v>825</v>
      </c>
      <c r="C19" s="21" t="s">
        <v>498</v>
      </c>
      <c r="D19" s="22" t="s">
        <v>241</v>
      </c>
      <c r="E19" s="16">
        <v>10</v>
      </c>
      <c r="F19" s="16">
        <v>16</v>
      </c>
      <c r="G19" s="16">
        <v>4</v>
      </c>
      <c r="H19" s="23">
        <f t="shared" si="0"/>
        <v>162</v>
      </c>
      <c r="I19" s="24">
        <f t="shared" si="1"/>
        <v>54</v>
      </c>
      <c r="J19" s="16">
        <f t="shared" si="2"/>
        <v>53</v>
      </c>
      <c r="K19" s="16" t="str">
        <f t="shared" si="3"/>
        <v>TIDAK TUNTAS</v>
      </c>
      <c r="L19" s="16" t="str">
        <f t="shared" si="4"/>
        <v xml:space="preserve"> </v>
      </c>
      <c r="N19" s="2">
        <f t="shared" si="5"/>
        <v>5.4</v>
      </c>
    </row>
    <row r="20" spans="1:14">
      <c r="A20" s="16">
        <v>13</v>
      </c>
      <c r="B20" s="20" t="s">
        <v>827</v>
      </c>
      <c r="C20" s="21" t="s">
        <v>672</v>
      </c>
      <c r="D20" s="22" t="s">
        <v>501</v>
      </c>
      <c r="E20" s="16">
        <v>6</v>
      </c>
      <c r="F20" s="16">
        <v>4</v>
      </c>
      <c r="G20" s="16">
        <v>4</v>
      </c>
      <c r="H20" s="23">
        <f t="shared" si="0"/>
        <v>210</v>
      </c>
      <c r="I20" s="24">
        <f t="shared" si="1"/>
        <v>70</v>
      </c>
      <c r="J20" s="16">
        <f t="shared" si="2"/>
        <v>37</v>
      </c>
      <c r="K20" s="16" t="str">
        <f t="shared" si="3"/>
        <v>TUNTAS</v>
      </c>
      <c r="L20" s="16" t="str">
        <f t="shared" si="4"/>
        <v xml:space="preserve"> </v>
      </c>
      <c r="N20" s="2">
        <f t="shared" si="5"/>
        <v>7</v>
      </c>
    </row>
    <row r="21" spans="1:14">
      <c r="A21" s="16">
        <v>14</v>
      </c>
      <c r="B21" s="20" t="s">
        <v>828</v>
      </c>
      <c r="C21" s="21" t="s">
        <v>503</v>
      </c>
      <c r="D21" s="22" t="s">
        <v>404</v>
      </c>
      <c r="E21" s="16">
        <v>5</v>
      </c>
      <c r="F21" s="16">
        <v>14</v>
      </c>
      <c r="G21" s="16">
        <v>2</v>
      </c>
      <c r="H21" s="23">
        <f t="shared" si="0"/>
        <v>213</v>
      </c>
      <c r="I21" s="24">
        <f t="shared" si="1"/>
        <v>71</v>
      </c>
      <c r="J21" s="16">
        <f t="shared" si="2"/>
        <v>34</v>
      </c>
      <c r="K21" s="16" t="str">
        <f t="shared" si="3"/>
        <v>TUNTAS</v>
      </c>
      <c r="L21" s="16" t="str">
        <f t="shared" si="4"/>
        <v xml:space="preserve"> </v>
      </c>
      <c r="N21" s="2">
        <f t="shared" si="5"/>
        <v>7.1</v>
      </c>
    </row>
    <row r="22" spans="1:14">
      <c r="A22" s="16">
        <v>15</v>
      </c>
      <c r="B22" s="20" t="s">
        <v>830</v>
      </c>
      <c r="C22" s="21" t="s">
        <v>676</v>
      </c>
      <c r="D22" s="22" t="s">
        <v>59</v>
      </c>
      <c r="E22" s="16">
        <v>2</v>
      </c>
      <c r="F22" s="16">
        <v>4</v>
      </c>
      <c r="G22" s="16">
        <v>0</v>
      </c>
      <c r="H22" s="23">
        <f t="shared" si="0"/>
        <v>282</v>
      </c>
      <c r="I22" s="24">
        <f t="shared" si="1"/>
        <v>94</v>
      </c>
      <c r="J22" s="16">
        <f t="shared" si="2"/>
        <v>8</v>
      </c>
      <c r="K22" s="16" t="str">
        <f t="shared" si="3"/>
        <v>TUNTAS</v>
      </c>
      <c r="L22" s="16" t="str">
        <f t="shared" si="4"/>
        <v xml:space="preserve"> </v>
      </c>
      <c r="N22" s="2">
        <f t="shared" si="5"/>
        <v>9.4</v>
      </c>
    </row>
    <row r="23" spans="1:14">
      <c r="A23" s="16">
        <v>16</v>
      </c>
      <c r="B23" s="20" t="s">
        <v>831</v>
      </c>
      <c r="C23" s="21" t="s">
        <v>680</v>
      </c>
      <c r="D23" s="22" t="s">
        <v>74</v>
      </c>
      <c r="E23" s="16">
        <v>14</v>
      </c>
      <c r="F23" s="16">
        <v>17</v>
      </c>
      <c r="G23" s="16">
        <v>6</v>
      </c>
      <c r="H23" s="23">
        <f t="shared" si="0"/>
        <v>117</v>
      </c>
      <c r="I23" s="24">
        <f t="shared" si="1"/>
        <v>39</v>
      </c>
      <c r="J23" s="16">
        <f t="shared" si="2"/>
        <v>62</v>
      </c>
      <c r="K23" s="16" t="str">
        <f t="shared" si="3"/>
        <v>TIDAK TUNTAS</v>
      </c>
      <c r="L23" s="16" t="str">
        <f t="shared" si="4"/>
        <v>TM</v>
      </c>
      <c r="N23" s="2">
        <f t="shared" si="5"/>
        <v>3.9</v>
      </c>
    </row>
    <row r="24" spans="1:14">
      <c r="A24" s="16">
        <v>17</v>
      </c>
      <c r="B24" s="20" t="s">
        <v>833</v>
      </c>
      <c r="C24" s="21" t="s">
        <v>514</v>
      </c>
      <c r="D24" s="22" t="s">
        <v>80</v>
      </c>
      <c r="E24" s="16">
        <v>9</v>
      </c>
      <c r="F24" s="16">
        <v>4</v>
      </c>
      <c r="G24" s="16">
        <v>3</v>
      </c>
      <c r="H24" s="23">
        <f t="shared" si="0"/>
        <v>216</v>
      </c>
      <c r="I24" s="24">
        <f t="shared" si="1"/>
        <v>72</v>
      </c>
      <c r="J24" s="16">
        <f t="shared" si="2"/>
        <v>33</v>
      </c>
      <c r="K24" s="16" t="str">
        <f t="shared" si="3"/>
        <v>TUNTAS</v>
      </c>
      <c r="L24" s="16" t="str">
        <f t="shared" si="4"/>
        <v xml:space="preserve"> </v>
      </c>
      <c r="N24" s="2">
        <f t="shared" si="5"/>
        <v>7.2</v>
      </c>
    </row>
    <row r="25" spans="1:14">
      <c r="A25" s="28">
        <v>18</v>
      </c>
      <c r="B25" s="20" t="s">
        <v>832</v>
      </c>
      <c r="C25" s="26" t="s">
        <v>684</v>
      </c>
      <c r="D25" s="27" t="s">
        <v>80</v>
      </c>
      <c r="E25" s="16">
        <v>32</v>
      </c>
      <c r="F25" s="16">
        <v>32</v>
      </c>
      <c r="G25" s="16">
        <v>5</v>
      </c>
      <c r="H25" s="23">
        <f t="shared" si="0"/>
        <v>33</v>
      </c>
      <c r="I25" s="24">
        <f t="shared" si="1"/>
        <v>11</v>
      </c>
      <c r="J25" s="16">
        <f t="shared" si="2"/>
        <v>65</v>
      </c>
      <c r="K25" s="16" t="str">
        <f t="shared" si="3"/>
        <v>TIDAK HADIR</v>
      </c>
      <c r="L25" s="16" t="s">
        <v>1143</v>
      </c>
      <c r="N25" s="2">
        <f t="shared" si="5"/>
        <v>1.1000000000000001</v>
      </c>
    </row>
    <row r="26" spans="1:14">
      <c r="A26" s="16">
        <v>19</v>
      </c>
      <c r="B26" s="20" t="s">
        <v>835</v>
      </c>
      <c r="C26" s="21" t="s">
        <v>688</v>
      </c>
      <c r="D26" s="22" t="s">
        <v>84</v>
      </c>
      <c r="E26" s="16">
        <v>1</v>
      </c>
      <c r="F26" s="16">
        <v>0</v>
      </c>
      <c r="G26" s="16">
        <v>0</v>
      </c>
      <c r="H26" s="23">
        <f t="shared" si="0"/>
        <v>297</v>
      </c>
      <c r="I26" s="24">
        <f t="shared" si="1"/>
        <v>99</v>
      </c>
      <c r="J26" s="16">
        <f t="shared" si="2"/>
        <v>1</v>
      </c>
      <c r="K26" s="16" t="str">
        <f t="shared" si="3"/>
        <v>TUNTAS</v>
      </c>
      <c r="L26" s="16" t="str">
        <f t="shared" ref="L26:L51" si="6">IF(G26&gt;5,"TM"," ")</f>
        <v xml:space="preserve"> </v>
      </c>
      <c r="N26" s="2">
        <f t="shared" si="5"/>
        <v>9.9</v>
      </c>
    </row>
    <row r="27" spans="1:14">
      <c r="A27" s="16">
        <v>20</v>
      </c>
      <c r="B27" s="20" t="s">
        <v>834</v>
      </c>
      <c r="C27" s="21" t="s">
        <v>519</v>
      </c>
      <c r="D27" s="22" t="s">
        <v>84</v>
      </c>
      <c r="E27" s="16">
        <v>1</v>
      </c>
      <c r="F27" s="16">
        <v>2</v>
      </c>
      <c r="G27" s="16">
        <v>1</v>
      </c>
      <c r="H27" s="23">
        <f t="shared" si="0"/>
        <v>276</v>
      </c>
      <c r="I27" s="24">
        <f t="shared" si="1"/>
        <v>92</v>
      </c>
      <c r="J27" s="16">
        <f t="shared" si="2"/>
        <v>10</v>
      </c>
      <c r="K27" s="16" t="str">
        <f t="shared" si="3"/>
        <v>TUNTAS</v>
      </c>
      <c r="L27" s="16" t="str">
        <f t="shared" si="6"/>
        <v xml:space="preserve"> </v>
      </c>
      <c r="N27" s="2">
        <f t="shared" si="5"/>
        <v>9.1999999999999993</v>
      </c>
    </row>
    <row r="28" spans="1:14">
      <c r="A28" s="16">
        <v>21</v>
      </c>
      <c r="B28" s="20" t="s">
        <v>838</v>
      </c>
      <c r="C28" s="21" t="s">
        <v>523</v>
      </c>
      <c r="D28" s="22" t="s">
        <v>89</v>
      </c>
      <c r="E28" s="16">
        <v>2</v>
      </c>
      <c r="F28" s="16">
        <v>0</v>
      </c>
      <c r="G28" s="16">
        <v>0</v>
      </c>
      <c r="H28" s="23">
        <f t="shared" si="0"/>
        <v>294</v>
      </c>
      <c r="I28" s="24">
        <f t="shared" si="1"/>
        <v>98</v>
      </c>
      <c r="J28" s="16">
        <f t="shared" si="2"/>
        <v>3</v>
      </c>
      <c r="K28" s="16" t="str">
        <f t="shared" si="3"/>
        <v>TUNTAS</v>
      </c>
      <c r="L28" s="16" t="str">
        <f t="shared" si="6"/>
        <v xml:space="preserve"> </v>
      </c>
      <c r="N28" s="2">
        <f t="shared" si="5"/>
        <v>9.8000000000000007</v>
      </c>
    </row>
    <row r="29" spans="1:14">
      <c r="A29" s="16">
        <v>22</v>
      </c>
      <c r="B29" s="20" t="s">
        <v>837</v>
      </c>
      <c r="C29" s="26" t="s">
        <v>692</v>
      </c>
      <c r="D29" s="27" t="s">
        <v>89</v>
      </c>
      <c r="E29" s="16">
        <v>2</v>
      </c>
      <c r="F29" s="16">
        <v>2</v>
      </c>
      <c r="G29" s="16">
        <v>1</v>
      </c>
      <c r="H29" s="23">
        <f t="shared" si="0"/>
        <v>273</v>
      </c>
      <c r="I29" s="24">
        <f t="shared" si="1"/>
        <v>91</v>
      </c>
      <c r="J29" s="16">
        <f t="shared" si="2"/>
        <v>12</v>
      </c>
      <c r="K29" s="16" t="str">
        <f t="shared" si="3"/>
        <v>TUNTAS</v>
      </c>
      <c r="L29" s="16" t="str">
        <f t="shared" si="6"/>
        <v xml:space="preserve"> </v>
      </c>
      <c r="N29" s="2">
        <f t="shared" si="5"/>
        <v>9.1</v>
      </c>
    </row>
    <row r="30" spans="1:14">
      <c r="A30" s="16">
        <v>23</v>
      </c>
      <c r="B30" s="20" t="s">
        <v>836</v>
      </c>
      <c r="C30" s="21" t="s">
        <v>696</v>
      </c>
      <c r="D30" s="22" t="s">
        <v>89</v>
      </c>
      <c r="E30" s="16">
        <v>5</v>
      </c>
      <c r="F30" s="16">
        <v>0</v>
      </c>
      <c r="G30" s="16">
        <v>2</v>
      </c>
      <c r="H30" s="23">
        <f t="shared" si="0"/>
        <v>255</v>
      </c>
      <c r="I30" s="24">
        <f t="shared" si="1"/>
        <v>85</v>
      </c>
      <c r="J30" s="16">
        <f t="shared" si="2"/>
        <v>17</v>
      </c>
      <c r="K30" s="16" t="str">
        <f t="shared" si="3"/>
        <v>TUNTAS</v>
      </c>
      <c r="L30" s="16" t="str">
        <f t="shared" si="6"/>
        <v xml:space="preserve"> </v>
      </c>
      <c r="N30" s="2">
        <f t="shared" si="5"/>
        <v>8.5</v>
      </c>
    </row>
    <row r="31" spans="1:14">
      <c r="A31" s="16">
        <v>24</v>
      </c>
      <c r="B31" s="20" t="s">
        <v>840</v>
      </c>
      <c r="C31" s="25" t="s">
        <v>529</v>
      </c>
      <c r="D31" s="22" t="s">
        <v>93</v>
      </c>
      <c r="E31" s="16">
        <v>5</v>
      </c>
      <c r="F31" s="16">
        <v>2</v>
      </c>
      <c r="G31" s="16">
        <v>1</v>
      </c>
      <c r="H31" s="23">
        <f t="shared" si="0"/>
        <v>264</v>
      </c>
      <c r="I31" s="24">
        <f t="shared" si="1"/>
        <v>88</v>
      </c>
      <c r="J31" s="16">
        <f t="shared" si="2"/>
        <v>15</v>
      </c>
      <c r="K31" s="16" t="str">
        <f t="shared" si="3"/>
        <v>TUNTAS</v>
      </c>
      <c r="L31" s="16" t="str">
        <f t="shared" si="6"/>
        <v xml:space="preserve"> </v>
      </c>
      <c r="N31" s="2">
        <f t="shared" si="5"/>
        <v>8.8000000000000007</v>
      </c>
    </row>
    <row r="32" spans="1:14">
      <c r="A32" s="16">
        <v>25</v>
      </c>
      <c r="B32" s="20" t="s">
        <v>841</v>
      </c>
      <c r="C32" s="21" t="s">
        <v>701</v>
      </c>
      <c r="D32" s="22" t="s">
        <v>98</v>
      </c>
      <c r="E32" s="16">
        <v>9</v>
      </c>
      <c r="F32" s="16">
        <v>11</v>
      </c>
      <c r="G32" s="16">
        <v>5</v>
      </c>
      <c r="H32" s="23">
        <f t="shared" si="0"/>
        <v>165</v>
      </c>
      <c r="I32" s="24">
        <f t="shared" si="1"/>
        <v>55</v>
      </c>
      <c r="J32" s="16">
        <f t="shared" si="2"/>
        <v>52</v>
      </c>
      <c r="K32" s="16" t="str">
        <f t="shared" si="3"/>
        <v>TIDAK TUNTAS</v>
      </c>
      <c r="L32" s="16" t="str">
        <f t="shared" si="6"/>
        <v xml:space="preserve"> </v>
      </c>
      <c r="N32" s="2">
        <f t="shared" si="5"/>
        <v>5.5</v>
      </c>
    </row>
    <row r="33" spans="1:14">
      <c r="A33" s="16">
        <v>26</v>
      </c>
      <c r="B33" s="20" t="s">
        <v>842</v>
      </c>
      <c r="C33" s="21" t="s">
        <v>705</v>
      </c>
      <c r="D33" s="22" t="s">
        <v>100</v>
      </c>
      <c r="E33" s="16">
        <v>11</v>
      </c>
      <c r="F33" s="16">
        <v>14</v>
      </c>
      <c r="G33" s="16">
        <v>6</v>
      </c>
      <c r="H33" s="23">
        <f t="shared" si="0"/>
        <v>135</v>
      </c>
      <c r="I33" s="24">
        <f t="shared" si="1"/>
        <v>45</v>
      </c>
      <c r="J33" s="16">
        <f t="shared" si="2"/>
        <v>58</v>
      </c>
      <c r="K33" s="16" t="str">
        <f t="shared" si="3"/>
        <v>TIDAK TUNTAS</v>
      </c>
      <c r="L33" s="16" t="str">
        <f t="shared" si="6"/>
        <v>TM</v>
      </c>
      <c r="N33" s="2">
        <f t="shared" si="5"/>
        <v>4.5</v>
      </c>
    </row>
    <row r="34" spans="1:14">
      <c r="A34" s="16">
        <v>27</v>
      </c>
      <c r="B34" s="20" t="s">
        <v>843</v>
      </c>
      <c r="C34" s="21" t="s">
        <v>536</v>
      </c>
      <c r="D34" s="22" t="s">
        <v>537</v>
      </c>
      <c r="E34" s="16">
        <v>2</v>
      </c>
      <c r="F34" s="16">
        <v>2</v>
      </c>
      <c r="G34" s="16">
        <v>1</v>
      </c>
      <c r="H34" s="23">
        <f t="shared" si="0"/>
        <v>273</v>
      </c>
      <c r="I34" s="24">
        <f t="shared" si="1"/>
        <v>91</v>
      </c>
      <c r="J34" s="16">
        <f t="shared" si="2"/>
        <v>12</v>
      </c>
      <c r="K34" s="16" t="str">
        <f t="shared" si="3"/>
        <v>TUNTAS</v>
      </c>
      <c r="L34" s="16" t="str">
        <f t="shared" si="6"/>
        <v xml:space="preserve"> </v>
      </c>
      <c r="N34" s="2">
        <f t="shared" si="5"/>
        <v>9.1</v>
      </c>
    </row>
    <row r="35" spans="1:14">
      <c r="A35" s="16">
        <v>28</v>
      </c>
      <c r="B35" s="20" t="s">
        <v>844</v>
      </c>
      <c r="C35" s="25" t="s">
        <v>541</v>
      </c>
      <c r="D35" s="22" t="s">
        <v>107</v>
      </c>
      <c r="E35" s="16">
        <v>8</v>
      </c>
      <c r="F35" s="16">
        <v>17</v>
      </c>
      <c r="G35" s="16">
        <v>6</v>
      </c>
      <c r="H35" s="23">
        <f t="shared" si="0"/>
        <v>135</v>
      </c>
      <c r="I35" s="24">
        <f t="shared" si="1"/>
        <v>45</v>
      </c>
      <c r="J35" s="16">
        <f t="shared" si="2"/>
        <v>58</v>
      </c>
      <c r="K35" s="16" t="str">
        <f t="shared" si="3"/>
        <v>TIDAK TUNTAS</v>
      </c>
      <c r="L35" s="16" t="str">
        <f t="shared" si="6"/>
        <v>TM</v>
      </c>
      <c r="N35" s="2">
        <f t="shared" si="5"/>
        <v>4.5</v>
      </c>
    </row>
    <row r="36" spans="1:14">
      <c r="A36" s="16">
        <v>29</v>
      </c>
      <c r="B36" s="20" t="s">
        <v>845</v>
      </c>
      <c r="C36" s="21" t="s">
        <v>720</v>
      </c>
      <c r="D36" s="22" t="s">
        <v>115</v>
      </c>
      <c r="E36" s="16">
        <v>0</v>
      </c>
      <c r="F36" s="16">
        <v>0</v>
      </c>
      <c r="G36" s="16">
        <v>1</v>
      </c>
      <c r="H36" s="23">
        <f t="shared" si="0"/>
        <v>285</v>
      </c>
      <c r="I36" s="24">
        <f t="shared" si="1"/>
        <v>95</v>
      </c>
      <c r="J36" s="16">
        <f t="shared" si="2"/>
        <v>5</v>
      </c>
      <c r="K36" s="16" t="str">
        <f t="shared" si="3"/>
        <v>TUNTAS</v>
      </c>
      <c r="L36" s="16" t="str">
        <f t="shared" si="6"/>
        <v xml:space="preserve"> </v>
      </c>
      <c r="N36" s="2">
        <f t="shared" si="5"/>
        <v>9.5</v>
      </c>
    </row>
    <row r="37" spans="1:14">
      <c r="A37" s="16">
        <v>30</v>
      </c>
      <c r="B37" s="20" t="s">
        <v>846</v>
      </c>
      <c r="C37" s="21" t="s">
        <v>548</v>
      </c>
      <c r="D37" s="22" t="s">
        <v>115</v>
      </c>
      <c r="E37" s="16">
        <v>18</v>
      </c>
      <c r="F37" s="16">
        <v>17</v>
      </c>
      <c r="G37" s="16">
        <v>5</v>
      </c>
      <c r="H37" s="23">
        <f t="shared" si="0"/>
        <v>120</v>
      </c>
      <c r="I37" s="24">
        <f t="shared" si="1"/>
        <v>40</v>
      </c>
      <c r="J37" s="16">
        <f t="shared" si="2"/>
        <v>61</v>
      </c>
      <c r="K37" s="16" t="str">
        <f t="shared" si="3"/>
        <v>TIDAK TUNTAS</v>
      </c>
      <c r="L37" s="16" t="str">
        <f t="shared" si="6"/>
        <v xml:space="preserve"> </v>
      </c>
      <c r="N37" s="2">
        <f t="shared" si="5"/>
        <v>4</v>
      </c>
    </row>
    <row r="38" spans="1:14">
      <c r="A38" s="16">
        <v>31</v>
      </c>
      <c r="B38" s="20" t="s">
        <v>848</v>
      </c>
      <c r="C38" s="26" t="s">
        <v>554</v>
      </c>
      <c r="D38" s="27" t="s">
        <v>285</v>
      </c>
      <c r="E38" s="16">
        <v>13</v>
      </c>
      <c r="F38" s="16">
        <v>14</v>
      </c>
      <c r="G38" s="16">
        <v>6</v>
      </c>
      <c r="H38" s="23">
        <f t="shared" si="0"/>
        <v>129</v>
      </c>
      <c r="I38" s="24">
        <f t="shared" si="1"/>
        <v>43</v>
      </c>
      <c r="J38" s="16">
        <f t="shared" si="2"/>
        <v>60</v>
      </c>
      <c r="K38" s="16" t="str">
        <f t="shared" si="3"/>
        <v>TIDAK TUNTAS</v>
      </c>
      <c r="L38" s="16" t="str">
        <f t="shared" si="6"/>
        <v>TM</v>
      </c>
      <c r="N38" s="2">
        <f t="shared" si="5"/>
        <v>4.3</v>
      </c>
    </row>
    <row r="39" spans="1:14">
      <c r="A39" s="16">
        <v>32</v>
      </c>
      <c r="B39" s="20" t="s">
        <v>847</v>
      </c>
      <c r="C39" s="21" t="s">
        <v>723</v>
      </c>
      <c r="D39" s="22" t="s">
        <v>285</v>
      </c>
      <c r="E39" s="16">
        <v>20</v>
      </c>
      <c r="F39" s="16">
        <v>18</v>
      </c>
      <c r="G39" s="16">
        <v>6</v>
      </c>
      <c r="H39" s="23">
        <f t="shared" si="0"/>
        <v>96</v>
      </c>
      <c r="I39" s="24">
        <f t="shared" si="1"/>
        <v>32</v>
      </c>
      <c r="J39" s="16">
        <f t="shared" si="2"/>
        <v>63</v>
      </c>
      <c r="K39" s="16" t="str">
        <f t="shared" si="3"/>
        <v>TIDAK TUNTAS</v>
      </c>
      <c r="L39" s="16" t="str">
        <f t="shared" si="6"/>
        <v>TM</v>
      </c>
      <c r="N39" s="2">
        <f t="shared" si="5"/>
        <v>3.2</v>
      </c>
    </row>
    <row r="40" spans="1:14">
      <c r="A40" s="16">
        <v>33</v>
      </c>
      <c r="B40" s="20" t="s">
        <v>850</v>
      </c>
      <c r="C40" s="21" t="s">
        <v>558</v>
      </c>
      <c r="D40" s="22" t="s">
        <v>559</v>
      </c>
      <c r="E40" s="16">
        <v>3</v>
      </c>
      <c r="F40" s="16">
        <v>1</v>
      </c>
      <c r="G40" s="16">
        <v>3</v>
      </c>
      <c r="H40" s="23">
        <f t="shared" ref="H40:H71" si="7">100-E40*3+100-F40*3+100-G40*15</f>
        <v>243</v>
      </c>
      <c r="I40" s="24">
        <f t="shared" ref="I40:I71" si="8">H40/3</f>
        <v>81</v>
      </c>
      <c r="J40" s="16">
        <f t="shared" ref="J40:J69" si="9">RANK(H40,$H$8:$H$76)</f>
        <v>22</v>
      </c>
      <c r="K40" s="16" t="str">
        <f t="shared" ref="K40:K76" si="10">IF(I40&lt;11.1,"TIDAK HADIR",IF(I40&lt;13.1,"TIDAK BACA",IF(I40&lt;$K$7,"TIDAK TUNTAS","TUNTAS")))</f>
        <v>TUNTAS</v>
      </c>
      <c r="L40" s="16" t="str">
        <f t="shared" si="6"/>
        <v xml:space="preserve"> </v>
      </c>
      <c r="N40" s="2">
        <f t="shared" si="5"/>
        <v>8.1</v>
      </c>
    </row>
    <row r="41" spans="1:14">
      <c r="A41" s="16">
        <v>34</v>
      </c>
      <c r="B41" s="20" t="s">
        <v>849</v>
      </c>
      <c r="C41" s="25" t="s">
        <v>727</v>
      </c>
      <c r="D41" s="22" t="s">
        <v>559</v>
      </c>
      <c r="E41" s="16">
        <v>6</v>
      </c>
      <c r="F41" s="16">
        <v>9</v>
      </c>
      <c r="G41" s="16">
        <v>4</v>
      </c>
      <c r="H41" s="23">
        <f t="shared" si="7"/>
        <v>195</v>
      </c>
      <c r="I41" s="24">
        <f t="shared" si="8"/>
        <v>65</v>
      </c>
      <c r="J41" s="16">
        <f t="shared" si="9"/>
        <v>41</v>
      </c>
      <c r="K41" s="16" t="str">
        <f t="shared" si="10"/>
        <v>TUNTAS</v>
      </c>
      <c r="L41" s="16" t="str">
        <f t="shared" si="6"/>
        <v xml:space="preserve"> </v>
      </c>
      <c r="N41" s="2">
        <f t="shared" si="5"/>
        <v>6.5</v>
      </c>
    </row>
    <row r="42" spans="1:14">
      <c r="A42" s="16">
        <v>35</v>
      </c>
      <c r="B42" s="20" t="s">
        <v>851</v>
      </c>
      <c r="C42" s="21" t="s">
        <v>909</v>
      </c>
      <c r="D42" s="22" t="s">
        <v>128</v>
      </c>
      <c r="E42" s="16">
        <v>2</v>
      </c>
      <c r="F42" s="16">
        <v>4</v>
      </c>
      <c r="G42" s="16">
        <v>3</v>
      </c>
      <c r="H42" s="23">
        <f t="shared" si="7"/>
        <v>237</v>
      </c>
      <c r="I42" s="24">
        <f t="shared" si="8"/>
        <v>79</v>
      </c>
      <c r="J42" s="16">
        <f t="shared" si="9"/>
        <v>26</v>
      </c>
      <c r="K42" s="16" t="str">
        <f t="shared" si="10"/>
        <v>TUNTAS</v>
      </c>
      <c r="L42" s="16" t="str">
        <f t="shared" si="6"/>
        <v xml:space="preserve"> </v>
      </c>
      <c r="N42" s="2">
        <f t="shared" si="5"/>
        <v>7.9</v>
      </c>
    </row>
    <row r="43" spans="1:14">
      <c r="A43" s="16">
        <v>36</v>
      </c>
      <c r="B43" s="20" t="s">
        <v>852</v>
      </c>
      <c r="C43" s="21" t="s">
        <v>732</v>
      </c>
      <c r="D43" s="22" t="s">
        <v>131</v>
      </c>
      <c r="E43" s="16">
        <v>7</v>
      </c>
      <c r="F43" s="16">
        <v>3</v>
      </c>
      <c r="G43" s="16">
        <v>2</v>
      </c>
      <c r="H43" s="23">
        <f t="shared" si="7"/>
        <v>240</v>
      </c>
      <c r="I43" s="24">
        <f t="shared" si="8"/>
        <v>80</v>
      </c>
      <c r="J43" s="16">
        <f t="shared" si="9"/>
        <v>25</v>
      </c>
      <c r="K43" s="16" t="str">
        <f t="shared" si="10"/>
        <v>TUNTAS</v>
      </c>
      <c r="L43" s="16" t="str">
        <f t="shared" si="6"/>
        <v xml:space="preserve"> </v>
      </c>
      <c r="N43" s="2">
        <f t="shared" si="5"/>
        <v>8</v>
      </c>
    </row>
    <row r="44" spans="1:14">
      <c r="A44" s="16">
        <v>37</v>
      </c>
      <c r="B44" s="20" t="s">
        <v>853</v>
      </c>
      <c r="C44" s="21" t="s">
        <v>564</v>
      </c>
      <c r="D44" s="22" t="s">
        <v>296</v>
      </c>
      <c r="E44" s="16">
        <v>10</v>
      </c>
      <c r="F44" s="16">
        <v>8</v>
      </c>
      <c r="G44" s="16">
        <v>4</v>
      </c>
      <c r="H44" s="23">
        <f t="shared" si="7"/>
        <v>186</v>
      </c>
      <c r="I44" s="24">
        <f t="shared" si="8"/>
        <v>62</v>
      </c>
      <c r="J44" s="16">
        <f t="shared" si="9"/>
        <v>44</v>
      </c>
      <c r="K44" s="16" t="str">
        <f t="shared" si="10"/>
        <v>TUNTAS</v>
      </c>
      <c r="L44" s="16" t="str">
        <f t="shared" si="6"/>
        <v xml:space="preserve"> </v>
      </c>
      <c r="N44" s="2">
        <f t="shared" si="5"/>
        <v>6.2</v>
      </c>
    </row>
    <row r="45" spans="1:14">
      <c r="A45" s="16">
        <v>38</v>
      </c>
      <c r="B45" s="20" t="s">
        <v>854</v>
      </c>
      <c r="C45" s="21" t="s">
        <v>738</v>
      </c>
      <c r="D45" s="22" t="s">
        <v>309</v>
      </c>
      <c r="E45" s="16">
        <v>6</v>
      </c>
      <c r="F45" s="16">
        <v>3</v>
      </c>
      <c r="G45" s="16">
        <v>3</v>
      </c>
      <c r="H45" s="23">
        <f t="shared" si="7"/>
        <v>228</v>
      </c>
      <c r="I45" s="24">
        <f t="shared" si="8"/>
        <v>76</v>
      </c>
      <c r="J45" s="16">
        <f t="shared" si="9"/>
        <v>29</v>
      </c>
      <c r="K45" s="16" t="str">
        <f t="shared" si="10"/>
        <v>TUNTAS</v>
      </c>
      <c r="L45" s="16" t="str">
        <f t="shared" si="6"/>
        <v xml:space="preserve"> </v>
      </c>
      <c r="N45" s="2">
        <f t="shared" si="5"/>
        <v>7.6</v>
      </c>
    </row>
    <row r="46" spans="1:14">
      <c r="A46" s="16">
        <v>39</v>
      </c>
      <c r="B46" s="20" t="s">
        <v>855</v>
      </c>
      <c r="C46" s="21" t="s">
        <v>568</v>
      </c>
      <c r="D46" s="22" t="s">
        <v>144</v>
      </c>
      <c r="E46" s="16">
        <v>12</v>
      </c>
      <c r="F46" s="16">
        <v>7</v>
      </c>
      <c r="G46" s="16">
        <v>3</v>
      </c>
      <c r="H46" s="23">
        <f t="shared" si="7"/>
        <v>198</v>
      </c>
      <c r="I46" s="24">
        <f t="shared" si="8"/>
        <v>66</v>
      </c>
      <c r="J46" s="16">
        <f t="shared" si="9"/>
        <v>39</v>
      </c>
      <c r="K46" s="16" t="str">
        <f t="shared" si="10"/>
        <v>TUNTAS</v>
      </c>
      <c r="L46" s="16" t="str">
        <f t="shared" si="6"/>
        <v xml:space="preserve"> </v>
      </c>
      <c r="N46" s="2">
        <f t="shared" si="5"/>
        <v>6.6</v>
      </c>
    </row>
    <row r="47" spans="1:14">
      <c r="A47" s="16">
        <v>40</v>
      </c>
      <c r="B47" s="20" t="s">
        <v>856</v>
      </c>
      <c r="C47" s="21" t="s">
        <v>572</v>
      </c>
      <c r="D47" s="22" t="s">
        <v>146</v>
      </c>
      <c r="E47" s="16">
        <v>1</v>
      </c>
      <c r="F47" s="16">
        <v>2</v>
      </c>
      <c r="G47" s="16">
        <v>2</v>
      </c>
      <c r="H47" s="23">
        <f t="shared" si="7"/>
        <v>261</v>
      </c>
      <c r="I47" s="24">
        <f t="shared" si="8"/>
        <v>87</v>
      </c>
      <c r="J47" s="16">
        <f t="shared" si="9"/>
        <v>16</v>
      </c>
      <c r="K47" s="16" t="str">
        <f t="shared" si="10"/>
        <v>TUNTAS</v>
      </c>
      <c r="L47" s="16" t="str">
        <f t="shared" si="6"/>
        <v xml:space="preserve"> </v>
      </c>
      <c r="N47" s="2">
        <f t="shared" si="5"/>
        <v>8.6999999999999993</v>
      </c>
    </row>
    <row r="48" spans="1:14">
      <c r="A48" s="16">
        <v>41</v>
      </c>
      <c r="B48" s="20" t="s">
        <v>857</v>
      </c>
      <c r="C48" s="26" t="s">
        <v>742</v>
      </c>
      <c r="D48" s="27" t="s">
        <v>146</v>
      </c>
      <c r="E48" s="16">
        <v>5</v>
      </c>
      <c r="F48" s="16">
        <v>4</v>
      </c>
      <c r="G48" s="16">
        <v>2</v>
      </c>
      <c r="H48" s="23">
        <f t="shared" si="7"/>
        <v>243</v>
      </c>
      <c r="I48" s="24">
        <f t="shared" si="8"/>
        <v>81</v>
      </c>
      <c r="J48" s="16">
        <f t="shared" si="9"/>
        <v>22</v>
      </c>
      <c r="K48" s="16" t="str">
        <f t="shared" si="10"/>
        <v>TUNTAS</v>
      </c>
      <c r="L48" s="16" t="str">
        <f t="shared" si="6"/>
        <v xml:space="preserve"> </v>
      </c>
      <c r="N48" s="2">
        <f t="shared" si="5"/>
        <v>8.1</v>
      </c>
    </row>
    <row r="49" spans="1:14">
      <c r="A49" s="16">
        <v>42</v>
      </c>
      <c r="B49" s="20" t="s">
        <v>858</v>
      </c>
      <c r="C49" s="21" t="s">
        <v>576</v>
      </c>
      <c r="D49" s="22" t="s">
        <v>151</v>
      </c>
      <c r="E49" s="16">
        <v>4</v>
      </c>
      <c r="F49" s="16">
        <v>1</v>
      </c>
      <c r="G49" s="16">
        <v>0</v>
      </c>
      <c r="H49" s="23">
        <f t="shared" si="7"/>
        <v>285</v>
      </c>
      <c r="I49" s="24">
        <f t="shared" si="8"/>
        <v>95</v>
      </c>
      <c r="J49" s="16">
        <f t="shared" si="9"/>
        <v>5</v>
      </c>
      <c r="K49" s="16" t="str">
        <f t="shared" si="10"/>
        <v>TUNTAS</v>
      </c>
      <c r="L49" s="16" t="str">
        <f t="shared" si="6"/>
        <v xml:space="preserve"> </v>
      </c>
      <c r="N49" s="2">
        <f t="shared" si="5"/>
        <v>9.5</v>
      </c>
    </row>
    <row r="50" spans="1:14">
      <c r="A50" s="16">
        <v>43</v>
      </c>
      <c r="B50" s="20" t="s">
        <v>859</v>
      </c>
      <c r="C50" s="21" t="s">
        <v>750</v>
      </c>
      <c r="D50" s="22" t="s">
        <v>155</v>
      </c>
      <c r="E50" s="16">
        <v>6</v>
      </c>
      <c r="F50" s="16">
        <v>11</v>
      </c>
      <c r="G50" s="16">
        <v>4</v>
      </c>
      <c r="H50" s="23">
        <f t="shared" si="7"/>
        <v>189</v>
      </c>
      <c r="I50" s="24">
        <f t="shared" si="8"/>
        <v>63</v>
      </c>
      <c r="J50" s="16">
        <f t="shared" si="9"/>
        <v>42</v>
      </c>
      <c r="K50" s="16" t="str">
        <f t="shared" si="10"/>
        <v>TUNTAS</v>
      </c>
      <c r="L50" s="16" t="str">
        <f t="shared" si="6"/>
        <v xml:space="preserve"> </v>
      </c>
      <c r="N50" s="2">
        <f t="shared" si="5"/>
        <v>6.3</v>
      </c>
    </row>
    <row r="51" spans="1:14">
      <c r="A51" s="16">
        <v>44</v>
      </c>
      <c r="B51" s="20" t="s">
        <v>860</v>
      </c>
      <c r="C51" s="21" t="s">
        <v>584</v>
      </c>
      <c r="D51" s="22" t="s">
        <v>160</v>
      </c>
      <c r="E51" s="16">
        <v>7</v>
      </c>
      <c r="F51" s="16">
        <v>13</v>
      </c>
      <c r="G51" s="16">
        <v>4</v>
      </c>
      <c r="H51" s="23">
        <f t="shared" si="7"/>
        <v>180</v>
      </c>
      <c r="I51" s="24">
        <f t="shared" si="8"/>
        <v>60</v>
      </c>
      <c r="J51" s="16">
        <f t="shared" si="9"/>
        <v>49</v>
      </c>
      <c r="K51" s="16" t="str">
        <f t="shared" si="10"/>
        <v>TUNTAS</v>
      </c>
      <c r="L51" s="16" t="str">
        <f t="shared" si="6"/>
        <v xml:space="preserve"> </v>
      </c>
      <c r="N51" s="2">
        <f t="shared" si="5"/>
        <v>6</v>
      </c>
    </row>
    <row r="52" spans="1:14">
      <c r="A52" s="16">
        <v>45</v>
      </c>
      <c r="B52" s="20" t="s">
        <v>861</v>
      </c>
      <c r="C52" s="26" t="s">
        <v>917</v>
      </c>
      <c r="D52" s="27" t="s">
        <v>160</v>
      </c>
      <c r="E52" s="16">
        <v>32</v>
      </c>
      <c r="F52" s="16">
        <v>32</v>
      </c>
      <c r="G52" s="16">
        <v>5</v>
      </c>
      <c r="H52" s="23">
        <f t="shared" si="7"/>
        <v>33</v>
      </c>
      <c r="I52" s="24">
        <f t="shared" si="8"/>
        <v>11</v>
      </c>
      <c r="J52" s="16">
        <f t="shared" si="9"/>
        <v>65</v>
      </c>
      <c r="K52" s="16" t="str">
        <f t="shared" si="10"/>
        <v>TIDAK HADIR</v>
      </c>
      <c r="L52" s="16" t="s">
        <v>1144</v>
      </c>
      <c r="N52" s="2">
        <f t="shared" si="5"/>
        <v>1.1000000000000001</v>
      </c>
    </row>
    <row r="53" spans="1:14">
      <c r="A53" s="16">
        <v>46</v>
      </c>
      <c r="B53" s="20" t="s">
        <v>863</v>
      </c>
      <c r="C53" s="21" t="s">
        <v>755</v>
      </c>
      <c r="D53" s="22" t="s">
        <v>164</v>
      </c>
      <c r="E53" s="16">
        <v>10</v>
      </c>
      <c r="F53" s="16">
        <v>6</v>
      </c>
      <c r="G53" s="16">
        <v>1</v>
      </c>
      <c r="H53" s="23">
        <f t="shared" si="7"/>
        <v>237</v>
      </c>
      <c r="I53" s="24">
        <f t="shared" si="8"/>
        <v>79</v>
      </c>
      <c r="J53" s="16">
        <f t="shared" si="9"/>
        <v>26</v>
      </c>
      <c r="K53" s="16" t="str">
        <f t="shared" si="10"/>
        <v>TUNTAS</v>
      </c>
      <c r="L53" s="16" t="str">
        <f t="shared" ref="L53:L67" si="11">IF(G53&gt;5,"TM"," ")</f>
        <v xml:space="preserve"> </v>
      </c>
      <c r="N53" s="2">
        <f t="shared" si="5"/>
        <v>7.9</v>
      </c>
    </row>
    <row r="54" spans="1:14">
      <c r="A54" s="16">
        <v>47</v>
      </c>
      <c r="B54" s="20" t="s">
        <v>862</v>
      </c>
      <c r="C54" s="25" t="s">
        <v>588</v>
      </c>
      <c r="D54" s="22" t="s">
        <v>164</v>
      </c>
      <c r="E54" s="16">
        <v>10</v>
      </c>
      <c r="F54" s="16">
        <v>9</v>
      </c>
      <c r="G54" s="16">
        <v>2</v>
      </c>
      <c r="H54" s="23">
        <f t="shared" si="7"/>
        <v>213</v>
      </c>
      <c r="I54" s="24">
        <f t="shared" si="8"/>
        <v>71</v>
      </c>
      <c r="J54" s="16">
        <f t="shared" si="9"/>
        <v>34</v>
      </c>
      <c r="K54" s="16" t="str">
        <f t="shared" si="10"/>
        <v>TUNTAS</v>
      </c>
      <c r="L54" s="16" t="str">
        <f t="shared" si="11"/>
        <v xml:space="preserve"> </v>
      </c>
      <c r="N54" s="2">
        <f t="shared" si="5"/>
        <v>7.1</v>
      </c>
    </row>
    <row r="55" spans="1:14">
      <c r="A55" s="16">
        <v>48</v>
      </c>
      <c r="B55" s="20" t="s">
        <v>864</v>
      </c>
      <c r="C55" s="21" t="s">
        <v>593</v>
      </c>
      <c r="D55" s="22" t="s">
        <v>445</v>
      </c>
      <c r="E55" s="16">
        <v>15</v>
      </c>
      <c r="F55" s="16">
        <v>14</v>
      </c>
      <c r="G55" s="16">
        <v>2</v>
      </c>
      <c r="H55" s="23">
        <f t="shared" si="7"/>
        <v>183</v>
      </c>
      <c r="I55" s="24">
        <f t="shared" si="8"/>
        <v>61</v>
      </c>
      <c r="J55" s="16">
        <f t="shared" si="9"/>
        <v>47</v>
      </c>
      <c r="K55" s="16" t="str">
        <f t="shared" si="10"/>
        <v>TUNTAS</v>
      </c>
      <c r="L55" s="16" t="str">
        <f t="shared" si="11"/>
        <v xml:space="preserve"> </v>
      </c>
      <c r="N55" s="2">
        <f t="shared" si="5"/>
        <v>6.1</v>
      </c>
    </row>
    <row r="56" spans="1:14">
      <c r="A56" s="16">
        <v>49</v>
      </c>
      <c r="B56" s="20" t="s">
        <v>865</v>
      </c>
      <c r="C56" s="21" t="s">
        <v>765</v>
      </c>
      <c r="D56" s="22" t="s">
        <v>447</v>
      </c>
      <c r="E56" s="16">
        <v>12</v>
      </c>
      <c r="F56" s="16">
        <v>5</v>
      </c>
      <c r="G56" s="16">
        <v>2</v>
      </c>
      <c r="H56" s="23">
        <f t="shared" si="7"/>
        <v>219</v>
      </c>
      <c r="I56" s="24">
        <f t="shared" si="8"/>
        <v>73</v>
      </c>
      <c r="J56" s="16">
        <f t="shared" si="9"/>
        <v>32</v>
      </c>
      <c r="K56" s="16" t="str">
        <f t="shared" si="10"/>
        <v>TUNTAS</v>
      </c>
      <c r="L56" s="16" t="str">
        <f t="shared" si="11"/>
        <v xml:space="preserve"> </v>
      </c>
      <c r="N56" s="2">
        <f t="shared" si="5"/>
        <v>7.3</v>
      </c>
    </row>
    <row r="57" spans="1:14">
      <c r="A57" s="16">
        <v>50</v>
      </c>
      <c r="B57" s="20" t="s">
        <v>866</v>
      </c>
      <c r="C57" s="26" t="s">
        <v>770</v>
      </c>
      <c r="D57" s="27" t="s">
        <v>171</v>
      </c>
      <c r="E57" s="16">
        <v>17</v>
      </c>
      <c r="F57" s="16">
        <v>9</v>
      </c>
      <c r="G57" s="16">
        <v>4</v>
      </c>
      <c r="H57" s="23">
        <f t="shared" si="7"/>
        <v>162</v>
      </c>
      <c r="I57" s="24">
        <f t="shared" si="8"/>
        <v>54</v>
      </c>
      <c r="J57" s="16">
        <f t="shared" si="9"/>
        <v>53</v>
      </c>
      <c r="K57" s="16" t="str">
        <f t="shared" si="10"/>
        <v>TIDAK TUNTAS</v>
      </c>
      <c r="L57" s="16" t="str">
        <f t="shared" si="11"/>
        <v xml:space="preserve"> </v>
      </c>
      <c r="N57" s="2">
        <f t="shared" si="5"/>
        <v>5.4</v>
      </c>
    </row>
    <row r="58" spans="1:14">
      <c r="A58" s="16">
        <v>51</v>
      </c>
      <c r="B58" s="20" t="s">
        <v>867</v>
      </c>
      <c r="C58" s="21" t="s">
        <v>775</v>
      </c>
      <c r="D58" s="22" t="s">
        <v>772</v>
      </c>
      <c r="E58" s="16">
        <v>11</v>
      </c>
      <c r="F58" s="16">
        <v>3</v>
      </c>
      <c r="G58" s="16">
        <v>1</v>
      </c>
      <c r="H58" s="23">
        <f t="shared" si="7"/>
        <v>243</v>
      </c>
      <c r="I58" s="24">
        <f t="shared" si="8"/>
        <v>81</v>
      </c>
      <c r="J58" s="16">
        <f t="shared" si="9"/>
        <v>22</v>
      </c>
      <c r="K58" s="16" t="str">
        <f t="shared" si="10"/>
        <v>TUNTAS</v>
      </c>
      <c r="L58" s="16" t="str">
        <f t="shared" si="11"/>
        <v xml:space="preserve"> </v>
      </c>
      <c r="N58" s="2">
        <f t="shared" si="5"/>
        <v>8.1</v>
      </c>
    </row>
    <row r="59" spans="1:14">
      <c r="A59" s="16">
        <v>52</v>
      </c>
      <c r="B59" s="20" t="s">
        <v>868</v>
      </c>
      <c r="C59" s="26" t="s">
        <v>603</v>
      </c>
      <c r="D59" s="27" t="s">
        <v>182</v>
      </c>
      <c r="E59" s="16">
        <v>12</v>
      </c>
      <c r="F59" s="16">
        <v>7</v>
      </c>
      <c r="G59" s="16">
        <v>4</v>
      </c>
      <c r="H59" s="23">
        <f t="shared" si="7"/>
        <v>183</v>
      </c>
      <c r="I59" s="24">
        <f t="shared" si="8"/>
        <v>61</v>
      </c>
      <c r="J59" s="16">
        <f t="shared" si="9"/>
        <v>47</v>
      </c>
      <c r="K59" s="16" t="str">
        <f t="shared" si="10"/>
        <v>TUNTAS</v>
      </c>
      <c r="L59" s="16" t="str">
        <f t="shared" si="11"/>
        <v xml:space="preserve"> </v>
      </c>
      <c r="N59" s="2">
        <f t="shared" si="5"/>
        <v>6.1</v>
      </c>
    </row>
    <row r="60" spans="1:14">
      <c r="A60" s="16">
        <v>53</v>
      </c>
      <c r="B60" s="20" t="s">
        <v>869</v>
      </c>
      <c r="C60" s="21" t="s">
        <v>784</v>
      </c>
      <c r="D60" s="22" t="s">
        <v>611</v>
      </c>
      <c r="E60" s="16">
        <v>3</v>
      </c>
      <c r="F60" s="16">
        <v>3</v>
      </c>
      <c r="G60" s="16">
        <v>2</v>
      </c>
      <c r="H60" s="23">
        <f t="shared" si="7"/>
        <v>252</v>
      </c>
      <c r="I60" s="24">
        <f t="shared" si="8"/>
        <v>84</v>
      </c>
      <c r="J60" s="16">
        <f t="shared" si="9"/>
        <v>18</v>
      </c>
      <c r="K60" s="16" t="str">
        <f t="shared" si="10"/>
        <v>TUNTAS</v>
      </c>
      <c r="L60" s="16" t="str">
        <f t="shared" si="11"/>
        <v xml:space="preserve"> </v>
      </c>
      <c r="N60" s="2">
        <f t="shared" si="5"/>
        <v>8.4</v>
      </c>
    </row>
    <row r="61" spans="1:14">
      <c r="A61" s="16">
        <v>54</v>
      </c>
      <c r="B61" s="20" t="s">
        <v>870</v>
      </c>
      <c r="C61" s="21" t="s">
        <v>788</v>
      </c>
      <c r="D61" s="22" t="s">
        <v>611</v>
      </c>
      <c r="E61" s="16">
        <v>5</v>
      </c>
      <c r="F61" s="16">
        <v>0</v>
      </c>
      <c r="G61" s="16">
        <v>4</v>
      </c>
      <c r="H61" s="23">
        <f t="shared" si="7"/>
        <v>225</v>
      </c>
      <c r="I61" s="24">
        <f t="shared" si="8"/>
        <v>75</v>
      </c>
      <c r="J61" s="16">
        <f t="shared" si="9"/>
        <v>30</v>
      </c>
      <c r="K61" s="16" t="str">
        <f t="shared" si="10"/>
        <v>TUNTAS</v>
      </c>
      <c r="L61" s="16" t="str">
        <f t="shared" si="11"/>
        <v xml:space="preserve"> </v>
      </c>
      <c r="N61" s="2">
        <f t="shared" si="5"/>
        <v>7.5</v>
      </c>
    </row>
    <row r="62" spans="1:14">
      <c r="A62" s="16">
        <v>55</v>
      </c>
      <c r="B62" s="20" t="s">
        <v>871</v>
      </c>
      <c r="C62" s="26" t="s">
        <v>927</v>
      </c>
      <c r="D62" s="27" t="s">
        <v>186</v>
      </c>
      <c r="E62" s="16">
        <v>2</v>
      </c>
      <c r="F62" s="16">
        <v>5</v>
      </c>
      <c r="G62" s="16">
        <v>3</v>
      </c>
      <c r="H62" s="23">
        <f t="shared" si="7"/>
        <v>234</v>
      </c>
      <c r="I62" s="24">
        <f t="shared" si="8"/>
        <v>78</v>
      </c>
      <c r="J62" s="16">
        <f t="shared" si="9"/>
        <v>28</v>
      </c>
      <c r="K62" s="16" t="str">
        <f t="shared" si="10"/>
        <v>TUNTAS</v>
      </c>
      <c r="L62" s="16" t="str">
        <f t="shared" si="11"/>
        <v xml:space="preserve"> </v>
      </c>
      <c r="N62" s="2">
        <f t="shared" si="5"/>
        <v>7.8</v>
      </c>
    </row>
    <row r="63" spans="1:14">
      <c r="A63" s="16">
        <v>56</v>
      </c>
      <c r="B63" s="20" t="s">
        <v>872</v>
      </c>
      <c r="C63" s="21" t="s">
        <v>792</v>
      </c>
      <c r="D63" s="22" t="s">
        <v>189</v>
      </c>
      <c r="E63" s="16">
        <v>8</v>
      </c>
      <c r="F63" s="16">
        <v>15</v>
      </c>
      <c r="G63" s="16">
        <v>5</v>
      </c>
      <c r="H63" s="23">
        <f t="shared" si="7"/>
        <v>156</v>
      </c>
      <c r="I63" s="24">
        <f t="shared" si="8"/>
        <v>52</v>
      </c>
      <c r="J63" s="16">
        <f t="shared" si="9"/>
        <v>55</v>
      </c>
      <c r="K63" s="16" t="str">
        <f t="shared" si="10"/>
        <v>TIDAK TUNTAS</v>
      </c>
      <c r="L63" s="16" t="str">
        <f t="shared" si="11"/>
        <v xml:space="preserve"> </v>
      </c>
      <c r="N63" s="2">
        <f t="shared" si="5"/>
        <v>5.2</v>
      </c>
    </row>
    <row r="64" spans="1:14">
      <c r="A64" s="16">
        <v>57</v>
      </c>
      <c r="B64" s="20" t="s">
        <v>873</v>
      </c>
      <c r="C64" s="21" t="s">
        <v>617</v>
      </c>
      <c r="D64" s="22" t="s">
        <v>192</v>
      </c>
      <c r="E64" s="16">
        <v>10</v>
      </c>
      <c r="F64" s="16">
        <v>13</v>
      </c>
      <c r="G64" s="16">
        <v>6</v>
      </c>
      <c r="H64" s="23">
        <f t="shared" si="7"/>
        <v>141</v>
      </c>
      <c r="I64" s="24">
        <f t="shared" si="8"/>
        <v>47</v>
      </c>
      <c r="J64" s="16">
        <f t="shared" si="9"/>
        <v>57</v>
      </c>
      <c r="K64" s="16" t="str">
        <f t="shared" si="10"/>
        <v>TIDAK TUNTAS</v>
      </c>
      <c r="L64" s="16" t="str">
        <f t="shared" si="11"/>
        <v>TM</v>
      </c>
      <c r="N64" s="2">
        <f t="shared" si="5"/>
        <v>4.7</v>
      </c>
    </row>
    <row r="65" spans="1:14">
      <c r="A65" s="16">
        <v>58</v>
      </c>
      <c r="B65" s="20" t="s">
        <v>874</v>
      </c>
      <c r="C65" s="26" t="s">
        <v>799</v>
      </c>
      <c r="D65" s="27" t="s">
        <v>363</v>
      </c>
      <c r="E65" s="16">
        <v>2</v>
      </c>
      <c r="F65" s="16">
        <v>1</v>
      </c>
      <c r="G65" s="16">
        <v>1</v>
      </c>
      <c r="H65" s="23">
        <f t="shared" si="7"/>
        <v>276</v>
      </c>
      <c r="I65" s="24">
        <f t="shared" si="8"/>
        <v>92</v>
      </c>
      <c r="J65" s="16">
        <f t="shared" si="9"/>
        <v>10</v>
      </c>
      <c r="K65" s="16" t="str">
        <f t="shared" si="10"/>
        <v>TUNTAS</v>
      </c>
      <c r="L65" s="16" t="str">
        <f t="shared" si="11"/>
        <v xml:space="preserve"> </v>
      </c>
      <c r="N65" s="2">
        <f t="shared" si="5"/>
        <v>9.1999999999999993</v>
      </c>
    </row>
    <row r="66" spans="1:14">
      <c r="A66" s="16">
        <v>59</v>
      </c>
      <c r="B66" s="20" t="s">
        <v>876</v>
      </c>
      <c r="C66" s="21" t="s">
        <v>621</v>
      </c>
      <c r="D66" s="22" t="s">
        <v>199</v>
      </c>
      <c r="E66" s="16">
        <v>0</v>
      </c>
      <c r="F66" s="16">
        <v>2</v>
      </c>
      <c r="G66" s="16">
        <v>0</v>
      </c>
      <c r="H66" s="23">
        <f t="shared" si="7"/>
        <v>294</v>
      </c>
      <c r="I66" s="24">
        <f t="shared" si="8"/>
        <v>98</v>
      </c>
      <c r="J66" s="16">
        <f t="shared" si="9"/>
        <v>3</v>
      </c>
      <c r="K66" s="16" t="str">
        <f t="shared" si="10"/>
        <v>TUNTAS</v>
      </c>
      <c r="L66" s="16" t="str">
        <f t="shared" si="11"/>
        <v xml:space="preserve"> </v>
      </c>
      <c r="N66" s="2">
        <f t="shared" si="5"/>
        <v>9.8000000000000007</v>
      </c>
    </row>
    <row r="67" spans="1:14">
      <c r="A67" s="16">
        <v>60</v>
      </c>
      <c r="B67" s="20" t="s">
        <v>875</v>
      </c>
      <c r="C67" s="21" t="s">
        <v>932</v>
      </c>
      <c r="D67" s="22" t="s">
        <v>199</v>
      </c>
      <c r="E67" s="16">
        <v>2</v>
      </c>
      <c r="F67" s="16">
        <v>5</v>
      </c>
      <c r="G67" s="16">
        <v>2</v>
      </c>
      <c r="H67" s="23">
        <f t="shared" si="7"/>
        <v>249</v>
      </c>
      <c r="I67" s="24">
        <f t="shared" si="8"/>
        <v>83</v>
      </c>
      <c r="J67" s="16">
        <f t="shared" si="9"/>
        <v>21</v>
      </c>
      <c r="K67" s="16" t="str">
        <f t="shared" si="10"/>
        <v>TUNTAS</v>
      </c>
      <c r="L67" s="16" t="str">
        <f t="shared" si="11"/>
        <v xml:space="preserve"> </v>
      </c>
      <c r="N67" s="2">
        <f t="shared" si="5"/>
        <v>8.3000000000000007</v>
      </c>
    </row>
    <row r="68" spans="1:14">
      <c r="A68" s="16">
        <v>61</v>
      </c>
      <c r="B68" s="20" t="s">
        <v>877</v>
      </c>
      <c r="C68" s="21" t="s">
        <v>805</v>
      </c>
      <c r="D68" s="22" t="s">
        <v>368</v>
      </c>
      <c r="E68" s="16">
        <v>9</v>
      </c>
      <c r="F68" s="16">
        <v>9</v>
      </c>
      <c r="G68" s="16">
        <v>4</v>
      </c>
      <c r="H68" s="23">
        <f t="shared" si="7"/>
        <v>186</v>
      </c>
      <c r="I68" s="24">
        <f t="shared" si="8"/>
        <v>62</v>
      </c>
      <c r="J68" s="16">
        <f t="shared" si="9"/>
        <v>44</v>
      </c>
      <c r="K68" s="16" t="str">
        <f t="shared" si="10"/>
        <v>TUNTAS</v>
      </c>
      <c r="L68" s="16"/>
      <c r="N68" s="2">
        <f t="shared" si="5"/>
        <v>6.2</v>
      </c>
    </row>
    <row r="69" spans="1:14">
      <c r="A69" s="16">
        <v>62</v>
      </c>
      <c r="B69" s="20" t="s">
        <v>878</v>
      </c>
      <c r="C69" s="21" t="s">
        <v>625</v>
      </c>
      <c r="D69" s="22" t="s">
        <v>207</v>
      </c>
      <c r="E69" s="16">
        <v>32</v>
      </c>
      <c r="F69" s="16">
        <v>32</v>
      </c>
      <c r="G69" s="16">
        <v>5</v>
      </c>
      <c r="H69" s="23">
        <f t="shared" si="7"/>
        <v>33</v>
      </c>
      <c r="I69" s="24">
        <f t="shared" si="8"/>
        <v>11</v>
      </c>
      <c r="J69" s="16">
        <f t="shared" si="9"/>
        <v>65</v>
      </c>
      <c r="K69" s="16" t="str">
        <f t="shared" si="10"/>
        <v>TIDAK HADIR</v>
      </c>
      <c r="L69" s="16" t="s">
        <v>1143</v>
      </c>
      <c r="N69" s="2">
        <f t="shared" si="5"/>
        <v>1.1000000000000001</v>
      </c>
    </row>
    <row r="70" spans="1:14">
      <c r="A70" s="29">
        <v>63</v>
      </c>
      <c r="B70" s="20" t="s">
        <v>879</v>
      </c>
      <c r="C70" s="26" t="s">
        <v>631</v>
      </c>
      <c r="D70" s="27" t="s">
        <v>209</v>
      </c>
      <c r="E70" s="16">
        <v>0</v>
      </c>
      <c r="F70" s="16">
        <v>1</v>
      </c>
      <c r="G70" s="16">
        <v>0</v>
      </c>
      <c r="H70" s="23">
        <f t="shared" si="7"/>
        <v>297</v>
      </c>
      <c r="I70" s="24">
        <f t="shared" si="8"/>
        <v>99</v>
      </c>
      <c r="J70" s="16">
        <v>2</v>
      </c>
      <c r="K70" s="16" t="str">
        <f t="shared" si="10"/>
        <v>TUNTAS</v>
      </c>
      <c r="L70" s="16"/>
      <c r="N70" s="2">
        <f t="shared" si="5"/>
        <v>9.9</v>
      </c>
    </row>
    <row r="71" spans="1:14">
      <c r="A71" s="16">
        <v>64</v>
      </c>
      <c r="B71" s="20" t="s">
        <v>880</v>
      </c>
      <c r="C71" s="21" t="s">
        <v>634</v>
      </c>
      <c r="D71" s="22" t="s">
        <v>635</v>
      </c>
      <c r="E71" s="16">
        <v>32</v>
      </c>
      <c r="F71" s="16">
        <v>32</v>
      </c>
      <c r="G71" s="16">
        <v>5</v>
      </c>
      <c r="H71" s="23">
        <f t="shared" si="7"/>
        <v>33</v>
      </c>
      <c r="I71" s="24">
        <f t="shared" si="8"/>
        <v>11</v>
      </c>
      <c r="J71" s="16">
        <f t="shared" ref="J71:J76" si="12">RANK(H71,$H$8:$H$76)</f>
        <v>65</v>
      </c>
      <c r="K71" s="16" t="str">
        <f t="shared" si="10"/>
        <v>TIDAK HADIR</v>
      </c>
      <c r="L71" s="16" t="s">
        <v>1144</v>
      </c>
      <c r="N71" s="2">
        <f t="shared" si="5"/>
        <v>1.1000000000000001</v>
      </c>
    </row>
    <row r="72" spans="1:14">
      <c r="A72" s="16">
        <v>65</v>
      </c>
      <c r="B72" s="20" t="s">
        <v>882</v>
      </c>
      <c r="C72" s="26" t="s">
        <v>807</v>
      </c>
      <c r="D72" s="27" t="s">
        <v>808</v>
      </c>
      <c r="E72" s="16">
        <v>6</v>
      </c>
      <c r="F72" s="16">
        <v>11</v>
      </c>
      <c r="G72" s="16">
        <v>5</v>
      </c>
      <c r="H72" s="23">
        <f t="shared" ref="H72:H103" si="13">100-E72*3+100-F72*3+100-G72*15</f>
        <v>174</v>
      </c>
      <c r="I72" s="24">
        <f t="shared" ref="I72:I103" si="14">H72/3</f>
        <v>58</v>
      </c>
      <c r="J72" s="16">
        <f t="shared" si="12"/>
        <v>51</v>
      </c>
      <c r="K72" s="16" t="str">
        <f t="shared" si="10"/>
        <v>TIDAK TUNTAS</v>
      </c>
      <c r="L72" s="16"/>
      <c r="N72" s="2">
        <f t="shared" si="5"/>
        <v>5.8</v>
      </c>
    </row>
    <row r="73" spans="1:14">
      <c r="A73" s="16">
        <v>66</v>
      </c>
      <c r="B73" s="20" t="s">
        <v>883</v>
      </c>
      <c r="C73" s="21" t="s">
        <v>639</v>
      </c>
      <c r="D73" s="22" t="s">
        <v>212</v>
      </c>
      <c r="E73" s="16">
        <v>5</v>
      </c>
      <c r="F73" s="16">
        <v>5</v>
      </c>
      <c r="G73" s="16">
        <v>3</v>
      </c>
      <c r="H73" s="23">
        <f t="shared" si="13"/>
        <v>225</v>
      </c>
      <c r="I73" s="24">
        <f t="shared" si="14"/>
        <v>75</v>
      </c>
      <c r="J73" s="16">
        <f t="shared" si="12"/>
        <v>30</v>
      </c>
      <c r="K73" s="16" t="str">
        <f t="shared" si="10"/>
        <v>TUNTAS</v>
      </c>
      <c r="L73" s="16"/>
      <c r="N73" s="2">
        <f t="shared" ref="N73:N76" si="15">I73/10</f>
        <v>7.5</v>
      </c>
    </row>
    <row r="74" spans="1:14">
      <c r="A74" s="16">
        <v>67</v>
      </c>
      <c r="B74" s="20" t="s">
        <v>886</v>
      </c>
      <c r="C74" s="21" t="s">
        <v>641</v>
      </c>
      <c r="D74" s="22" t="s">
        <v>380</v>
      </c>
      <c r="E74" s="16">
        <v>5</v>
      </c>
      <c r="F74" s="16">
        <v>0</v>
      </c>
      <c r="G74" s="16">
        <v>0</v>
      </c>
      <c r="H74" s="23">
        <f t="shared" si="13"/>
        <v>285</v>
      </c>
      <c r="I74" s="24">
        <f t="shared" si="14"/>
        <v>95</v>
      </c>
      <c r="J74" s="16">
        <f t="shared" si="12"/>
        <v>5</v>
      </c>
      <c r="K74" s="16" t="str">
        <f t="shared" si="10"/>
        <v>TUNTAS</v>
      </c>
      <c r="L74" s="16"/>
      <c r="N74" s="2">
        <f t="shared" si="15"/>
        <v>9.5</v>
      </c>
    </row>
    <row r="75" spans="1:14">
      <c r="A75" s="16">
        <v>68</v>
      </c>
      <c r="B75" s="20" t="s">
        <v>885</v>
      </c>
      <c r="C75" s="26" t="s">
        <v>811</v>
      </c>
      <c r="D75" s="27" t="s">
        <v>380</v>
      </c>
      <c r="E75" s="16">
        <v>6</v>
      </c>
      <c r="F75" s="16">
        <v>5</v>
      </c>
      <c r="G75" s="16">
        <v>4</v>
      </c>
      <c r="H75" s="23">
        <f t="shared" si="13"/>
        <v>207</v>
      </c>
      <c r="I75" s="24">
        <f t="shared" si="14"/>
        <v>69</v>
      </c>
      <c r="J75" s="16">
        <f t="shared" si="12"/>
        <v>38</v>
      </c>
      <c r="K75" s="16" t="str">
        <f t="shared" si="10"/>
        <v>TUNTAS</v>
      </c>
      <c r="L75" s="16"/>
      <c r="N75" s="2">
        <f t="shared" si="15"/>
        <v>6.9</v>
      </c>
    </row>
    <row r="76" spans="1:14">
      <c r="A76" s="16">
        <v>69</v>
      </c>
      <c r="B76" s="20" t="s">
        <v>884</v>
      </c>
      <c r="C76" s="21" t="s">
        <v>939</v>
      </c>
      <c r="D76" s="22" t="s">
        <v>380</v>
      </c>
      <c r="E76" s="16">
        <v>32</v>
      </c>
      <c r="F76" s="16">
        <v>32</v>
      </c>
      <c r="G76" s="16">
        <v>5</v>
      </c>
      <c r="H76" s="23">
        <f t="shared" si="13"/>
        <v>33</v>
      </c>
      <c r="I76" s="24">
        <f t="shared" si="14"/>
        <v>11</v>
      </c>
      <c r="J76" s="16">
        <f t="shared" si="12"/>
        <v>65</v>
      </c>
      <c r="K76" s="16" t="str">
        <f t="shared" si="10"/>
        <v>TIDAK HADIR</v>
      </c>
      <c r="L76" s="16"/>
      <c r="N76" s="2">
        <f t="shared" si="15"/>
        <v>1.1000000000000001</v>
      </c>
    </row>
  </sheetData>
  <autoFilter ref="B5:L7" xr:uid="{00000000-0001-0000-0600-000000000000}">
    <filterColumn colId="3" showButton="0"/>
    <filterColumn colId="4" showButton="0"/>
    <sortState xmlns:xlrd2="http://schemas.microsoft.com/office/spreadsheetml/2017/richdata2" ref="B10:L76">
      <sortCondition ref="D5:D7"/>
    </sortState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19" priority="9" operator="equal">
      <formula>0</formula>
    </cfRule>
  </conditionalFormatting>
  <conditionalFormatting sqref="I5:I7">
    <cfRule type="cellIs" dxfId="18" priority="10" operator="lessThan">
      <formula>100</formula>
    </cfRule>
  </conditionalFormatting>
  <conditionalFormatting sqref="I5:I76">
    <cfRule type="cellIs" dxfId="17" priority="7" operator="lessThan">
      <formula>60</formula>
    </cfRule>
  </conditionalFormatting>
  <conditionalFormatting sqref="I8:I76">
    <cfRule type="cellIs" dxfId="16" priority="6" operator="lessThan">
      <formula>60</formula>
    </cfRule>
    <cfRule type="cellIs" dxfId="15" priority="8" operator="lessThan">
      <formula>50</formula>
    </cfRule>
  </conditionalFormatting>
  <conditionalFormatting sqref="K8:K76">
    <cfRule type="cellIs" dxfId="14" priority="1" operator="equal">
      <formula>"TIDAK BACA"</formula>
    </cfRule>
    <cfRule type="cellIs" dxfId="13" priority="2" operator="equal">
      <formula>"TIDAK TUNTAS"</formula>
    </cfRule>
    <cfRule type="cellIs" dxfId="12" priority="3" operator="equal">
      <formula>"TUNTAS"</formula>
    </cfRule>
    <cfRule type="cellIs" dxfId="11" priority="4" operator="equal">
      <formula>"TIDAK HADIR"</formula>
    </cfRule>
    <cfRule type="cellIs" dxfId="1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606C47B1-641B-43E8-ADC2-DBEE09913B22}"/>
  </dataValidations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N76"/>
  <sheetViews>
    <sheetView zoomScale="96" zoomScaleNormal="96" workbookViewId="0">
      <pane xSplit="1" ySplit="7" topLeftCell="B23" activePane="bottomRight" state="frozen"/>
      <selection activeCell="R72" sqref="R72"/>
      <selection pane="topRight" activeCell="R72" sqref="R72"/>
      <selection pane="bottomLeft" activeCell="R72" sqref="R72"/>
      <selection pane="bottomRight" activeCell="R72" sqref="R72"/>
    </sheetView>
  </sheetViews>
  <sheetFormatPr defaultColWidth="9.140625" defaultRowHeight="15.75"/>
  <cols>
    <col min="1" max="1" width="5.140625" style="2" customWidth="1"/>
    <col min="2" max="2" width="8.5703125" style="2" customWidth="1"/>
    <col min="3" max="3" width="30.7109375" style="2" customWidth="1"/>
    <col min="4" max="4" width="7.140625" style="2" customWidth="1"/>
    <col min="5" max="5" width="20.28515625" style="2" bestFit="1" customWidth="1"/>
    <col min="6" max="6" width="19.42578125" style="2" bestFit="1" customWidth="1"/>
    <col min="7" max="7" width="16.42578125" style="2" bestFit="1" customWidth="1"/>
    <col min="8" max="10" width="8" style="2" customWidth="1"/>
    <col min="11" max="11" width="15.85546875" style="2" bestFit="1" customWidth="1"/>
    <col min="12" max="12" width="9.85546875" style="31" bestFit="1" customWidth="1"/>
    <col min="13" max="16384" width="9.140625" style="2"/>
  </cols>
  <sheetData>
    <row r="1" spans="1:14" ht="16.5">
      <c r="A1" s="12" t="s">
        <v>940</v>
      </c>
      <c r="B1" s="13"/>
      <c r="C1" s="14"/>
      <c r="D1" s="13"/>
      <c r="E1" s="13"/>
      <c r="F1" s="13"/>
      <c r="G1" s="13"/>
      <c r="H1" s="13"/>
      <c r="I1" s="13"/>
      <c r="J1" s="13"/>
      <c r="K1" s="13"/>
      <c r="L1" s="30"/>
    </row>
    <row r="2" spans="1:14" s="1" customFormat="1" ht="15.75" customHeight="1">
      <c r="A2" s="12" t="s">
        <v>941</v>
      </c>
      <c r="B2" s="13"/>
      <c r="C2" s="14"/>
      <c r="D2" s="13"/>
      <c r="E2" s="13"/>
      <c r="F2" s="13"/>
      <c r="G2" s="13"/>
      <c r="H2" s="13"/>
      <c r="I2" s="13"/>
      <c r="J2" s="13"/>
      <c r="K2" s="13"/>
      <c r="L2" s="30"/>
    </row>
    <row r="3" spans="1:14" s="1" customFormat="1" ht="16.5">
      <c r="A3" s="15" t="s">
        <v>942</v>
      </c>
      <c r="B3" s="13"/>
      <c r="C3" s="14"/>
      <c r="D3" s="13"/>
      <c r="E3" s="13"/>
      <c r="F3" s="13"/>
      <c r="G3" s="13"/>
      <c r="H3" s="13"/>
      <c r="I3" s="13"/>
      <c r="J3" s="13"/>
      <c r="K3" s="13"/>
      <c r="L3" s="30"/>
    </row>
    <row r="4" spans="1:14" s="32" customFormat="1" ht="19.899999999999999" customHeight="1">
      <c r="A4" s="48" t="s">
        <v>1141</v>
      </c>
      <c r="B4" s="48"/>
      <c r="C4" s="48"/>
      <c r="D4" s="48"/>
      <c r="E4" s="48"/>
      <c r="F4" s="48"/>
      <c r="G4" s="48"/>
      <c r="H4" s="48"/>
      <c r="I4" s="48"/>
      <c r="J4" s="30"/>
      <c r="K4" s="33" t="s">
        <v>1146</v>
      </c>
      <c r="L4" s="30"/>
    </row>
    <row r="5" spans="1:14">
      <c r="A5" s="49" t="s">
        <v>0</v>
      </c>
      <c r="B5" s="45" t="s">
        <v>1</v>
      </c>
      <c r="C5" s="45" t="s">
        <v>3</v>
      </c>
      <c r="D5" s="49" t="s">
        <v>4</v>
      </c>
      <c r="E5" s="49" t="s">
        <v>5</v>
      </c>
      <c r="F5" s="49"/>
      <c r="G5" s="49"/>
      <c r="H5" s="42" t="s">
        <v>6</v>
      </c>
      <c r="I5" s="42" t="s">
        <v>7</v>
      </c>
      <c r="J5" s="42" t="s">
        <v>8</v>
      </c>
      <c r="K5" s="44" t="s">
        <v>15</v>
      </c>
      <c r="L5" s="45" t="s">
        <v>465</v>
      </c>
    </row>
    <row r="6" spans="1:14">
      <c r="A6" s="49"/>
      <c r="B6" s="46"/>
      <c r="C6" s="46"/>
      <c r="D6" s="49"/>
      <c r="E6" s="17" t="s">
        <v>943</v>
      </c>
      <c r="F6" s="18" t="s">
        <v>10</v>
      </c>
      <c r="G6" s="18" t="s">
        <v>11</v>
      </c>
      <c r="H6" s="43"/>
      <c r="I6" s="43"/>
      <c r="J6" s="43"/>
      <c r="K6" s="44"/>
      <c r="L6" s="46"/>
    </row>
    <row r="7" spans="1:14">
      <c r="A7" s="49"/>
      <c r="B7" s="47"/>
      <c r="C7" s="47"/>
      <c r="D7" s="49"/>
      <c r="E7" s="18" t="s">
        <v>12</v>
      </c>
      <c r="F7" s="18" t="s">
        <v>12</v>
      </c>
      <c r="G7" s="18" t="s">
        <v>14</v>
      </c>
      <c r="H7" s="43"/>
      <c r="I7" s="43"/>
      <c r="J7" s="43"/>
      <c r="K7" s="19">
        <v>60</v>
      </c>
      <c r="L7" s="47"/>
    </row>
    <row r="8" spans="1:14">
      <c r="A8" s="16">
        <v>1</v>
      </c>
      <c r="B8" s="20" t="s">
        <v>887</v>
      </c>
      <c r="C8" s="21" t="s">
        <v>469</v>
      </c>
      <c r="D8" s="22" t="s">
        <v>19</v>
      </c>
      <c r="E8" s="16">
        <v>32</v>
      </c>
      <c r="F8" s="16">
        <v>32</v>
      </c>
      <c r="G8" s="16">
        <v>5</v>
      </c>
      <c r="H8" s="23">
        <f>100-E8*3+100-F8*3+100-G8*15</f>
        <v>33</v>
      </c>
      <c r="I8" s="24">
        <f t="shared" ref="I8:I71" si="0">H8/3</f>
        <v>11</v>
      </c>
      <c r="J8" s="16">
        <f t="shared" ref="J8:J39" si="1">RANK(H8,$H$8:$H$72)</f>
        <v>61</v>
      </c>
      <c r="K8" s="16" t="str">
        <f>IF(I8&lt;11.1,"TIDAK HADIR",IF(I8&lt;13.1,"TIDAK BACA",IF(I8&lt;$K$7,"TIDAK TUNTAS","TUNTAS")))</f>
        <v>TIDAK HADIR</v>
      </c>
      <c r="L8" s="16" t="s">
        <v>1143</v>
      </c>
      <c r="N8" s="2">
        <f>I8/10</f>
        <v>1.1000000000000001</v>
      </c>
    </row>
    <row r="9" spans="1:14">
      <c r="A9" s="16">
        <v>2</v>
      </c>
      <c r="B9" s="20" t="s">
        <v>888</v>
      </c>
      <c r="C9" s="25" t="s">
        <v>648</v>
      </c>
      <c r="D9" s="22" t="s">
        <v>472</v>
      </c>
      <c r="E9" s="16">
        <v>19</v>
      </c>
      <c r="F9" s="16">
        <v>22</v>
      </c>
      <c r="G9" s="16">
        <v>5</v>
      </c>
      <c r="H9" s="23">
        <f t="shared" ref="H9:H72" si="2">100-E9*3+100-F9*3+100-G9*15</f>
        <v>102</v>
      </c>
      <c r="I9" s="24">
        <f t="shared" si="0"/>
        <v>34</v>
      </c>
      <c r="J9" s="16">
        <f t="shared" si="1"/>
        <v>60</v>
      </c>
      <c r="K9" s="16" t="str">
        <f t="shared" ref="K9:K67" si="3">IF(I9&lt;11.1,"TIDAK HADIR",IF(I9&lt;13.1,"TIDAK BACA",IF(I9&lt;$K$7,"TIDAK TUNTAS","TUNTAS")))</f>
        <v>TIDAK TUNTAS</v>
      </c>
      <c r="L9" s="16" t="str">
        <f t="shared" ref="L9:L69" si="4">IF(G9&gt;5,"TM"," ")</f>
        <v xml:space="preserve"> </v>
      </c>
      <c r="N9" s="2">
        <f t="shared" ref="N9:N72" si="5">I9/10</f>
        <v>3.4</v>
      </c>
    </row>
    <row r="10" spans="1:14">
      <c r="A10" s="16">
        <v>3</v>
      </c>
      <c r="B10" s="20" t="s">
        <v>889</v>
      </c>
      <c r="C10" s="25" t="s">
        <v>654</v>
      </c>
      <c r="D10" s="22" t="s">
        <v>25</v>
      </c>
      <c r="E10" s="16">
        <v>7</v>
      </c>
      <c r="F10" s="16">
        <v>8</v>
      </c>
      <c r="G10" s="16">
        <v>3</v>
      </c>
      <c r="H10" s="23">
        <f t="shared" si="2"/>
        <v>210</v>
      </c>
      <c r="I10" s="24">
        <f t="shared" si="0"/>
        <v>70</v>
      </c>
      <c r="J10" s="16">
        <f t="shared" si="1"/>
        <v>41</v>
      </c>
      <c r="K10" s="16" t="str">
        <f t="shared" si="3"/>
        <v>TUNTAS</v>
      </c>
      <c r="L10" s="16" t="str">
        <f t="shared" si="4"/>
        <v xml:space="preserve"> </v>
      </c>
      <c r="N10" s="2">
        <f t="shared" si="5"/>
        <v>7</v>
      </c>
    </row>
    <row r="11" spans="1:14">
      <c r="A11" s="16">
        <v>4</v>
      </c>
      <c r="B11" s="20" t="s">
        <v>890</v>
      </c>
      <c r="C11" s="21" t="s">
        <v>474</v>
      </c>
      <c r="D11" s="22" t="s">
        <v>25</v>
      </c>
      <c r="E11" s="16">
        <v>1</v>
      </c>
      <c r="F11" s="16">
        <v>0</v>
      </c>
      <c r="G11" s="16">
        <v>1</v>
      </c>
      <c r="H11" s="23">
        <f t="shared" si="2"/>
        <v>282</v>
      </c>
      <c r="I11" s="24">
        <f t="shared" si="0"/>
        <v>94</v>
      </c>
      <c r="J11" s="16">
        <f t="shared" si="1"/>
        <v>7</v>
      </c>
      <c r="K11" s="16" t="str">
        <f t="shared" si="3"/>
        <v>TUNTAS</v>
      </c>
      <c r="L11" s="16" t="str">
        <f t="shared" si="4"/>
        <v xml:space="preserve"> </v>
      </c>
      <c r="N11" s="2">
        <f t="shared" si="5"/>
        <v>9.4</v>
      </c>
    </row>
    <row r="12" spans="1:14">
      <c r="A12" s="16">
        <v>5</v>
      </c>
      <c r="B12" s="20" t="s">
        <v>891</v>
      </c>
      <c r="C12" s="25" t="s">
        <v>657</v>
      </c>
      <c r="D12" s="22" t="s">
        <v>29</v>
      </c>
      <c r="E12" s="16">
        <v>15</v>
      </c>
      <c r="F12" s="16">
        <v>17</v>
      </c>
      <c r="G12" s="16">
        <v>6</v>
      </c>
      <c r="H12" s="23">
        <f t="shared" si="2"/>
        <v>114</v>
      </c>
      <c r="I12" s="24">
        <f t="shared" si="0"/>
        <v>38</v>
      </c>
      <c r="J12" s="16">
        <f t="shared" si="1"/>
        <v>58</v>
      </c>
      <c r="K12" s="16" t="str">
        <f t="shared" si="3"/>
        <v>TIDAK TUNTAS</v>
      </c>
      <c r="L12" s="16" t="str">
        <f t="shared" si="4"/>
        <v>TM</v>
      </c>
      <c r="N12" s="2">
        <f t="shared" si="5"/>
        <v>3.8</v>
      </c>
    </row>
    <row r="13" spans="1:14">
      <c r="A13" s="16">
        <v>6</v>
      </c>
      <c r="B13" s="20" t="s">
        <v>892</v>
      </c>
      <c r="C13" s="21" t="s">
        <v>478</v>
      </c>
      <c r="D13" s="22" t="s">
        <v>29</v>
      </c>
      <c r="E13" s="16">
        <v>7</v>
      </c>
      <c r="F13" s="16">
        <v>2</v>
      </c>
      <c r="G13" s="16">
        <v>2</v>
      </c>
      <c r="H13" s="23">
        <f t="shared" si="2"/>
        <v>243</v>
      </c>
      <c r="I13" s="24">
        <f t="shared" si="0"/>
        <v>81</v>
      </c>
      <c r="J13" s="16">
        <f t="shared" si="1"/>
        <v>24</v>
      </c>
      <c r="K13" s="16" t="str">
        <f t="shared" si="3"/>
        <v>TUNTAS</v>
      </c>
      <c r="L13" s="16" t="str">
        <f t="shared" si="4"/>
        <v xml:space="preserve"> </v>
      </c>
      <c r="N13" s="2">
        <f t="shared" si="5"/>
        <v>8.1</v>
      </c>
    </row>
    <row r="14" spans="1:14">
      <c r="A14" s="16">
        <v>7</v>
      </c>
      <c r="B14" s="20" t="s">
        <v>893</v>
      </c>
      <c r="C14" s="25" t="s">
        <v>482</v>
      </c>
      <c r="D14" s="22" t="s">
        <v>36</v>
      </c>
      <c r="E14" s="16">
        <v>5</v>
      </c>
      <c r="F14" s="16">
        <v>9</v>
      </c>
      <c r="G14" s="16">
        <v>2</v>
      </c>
      <c r="H14" s="23">
        <f t="shared" si="2"/>
        <v>228</v>
      </c>
      <c r="I14" s="24">
        <f t="shared" si="0"/>
        <v>76</v>
      </c>
      <c r="J14" s="16">
        <f t="shared" si="1"/>
        <v>31</v>
      </c>
      <c r="K14" s="16" t="str">
        <f t="shared" si="3"/>
        <v>TUNTAS</v>
      </c>
      <c r="L14" s="16" t="str">
        <f t="shared" si="4"/>
        <v xml:space="preserve"> </v>
      </c>
      <c r="N14" s="2">
        <f t="shared" si="5"/>
        <v>7.6</v>
      </c>
    </row>
    <row r="15" spans="1:14">
      <c r="A15" s="16">
        <v>8</v>
      </c>
      <c r="B15" s="20" t="s">
        <v>894</v>
      </c>
      <c r="C15" s="21" t="s">
        <v>662</v>
      </c>
      <c r="D15" s="22" t="s">
        <v>485</v>
      </c>
      <c r="E15" s="16">
        <v>8</v>
      </c>
      <c r="F15" s="16">
        <v>5</v>
      </c>
      <c r="G15" s="16">
        <v>2</v>
      </c>
      <c r="H15" s="23">
        <f t="shared" si="2"/>
        <v>231</v>
      </c>
      <c r="I15" s="24">
        <f t="shared" si="0"/>
        <v>77</v>
      </c>
      <c r="J15" s="16">
        <f t="shared" si="1"/>
        <v>27</v>
      </c>
      <c r="K15" s="16" t="str">
        <f t="shared" si="3"/>
        <v>TUNTAS</v>
      </c>
      <c r="L15" s="16" t="str">
        <f t="shared" si="4"/>
        <v xml:space="preserve"> </v>
      </c>
      <c r="N15" s="2">
        <f t="shared" si="5"/>
        <v>7.7</v>
      </c>
    </row>
    <row r="16" spans="1:14">
      <c r="A16" s="16">
        <v>9</v>
      </c>
      <c r="B16" s="20" t="s">
        <v>895</v>
      </c>
      <c r="C16" s="21" t="s">
        <v>489</v>
      </c>
      <c r="D16" s="22" t="s">
        <v>490</v>
      </c>
      <c r="E16" s="16">
        <v>4</v>
      </c>
      <c r="F16" s="16">
        <v>0</v>
      </c>
      <c r="G16" s="16">
        <v>1</v>
      </c>
      <c r="H16" s="23">
        <f t="shared" si="2"/>
        <v>273</v>
      </c>
      <c r="I16" s="24">
        <f t="shared" si="0"/>
        <v>91</v>
      </c>
      <c r="J16" s="16">
        <f t="shared" si="1"/>
        <v>11</v>
      </c>
      <c r="K16" s="16" t="str">
        <f t="shared" si="3"/>
        <v>TUNTAS</v>
      </c>
      <c r="L16" s="16" t="str">
        <f t="shared" si="4"/>
        <v xml:space="preserve"> </v>
      </c>
      <c r="N16" s="2">
        <f t="shared" si="5"/>
        <v>9.1</v>
      </c>
    </row>
    <row r="17" spans="1:14">
      <c r="A17" s="16">
        <v>10</v>
      </c>
      <c r="B17" s="20" t="s">
        <v>896</v>
      </c>
      <c r="C17" s="21" t="s">
        <v>667</v>
      </c>
      <c r="D17" s="22" t="s">
        <v>49</v>
      </c>
      <c r="E17" s="16">
        <v>13</v>
      </c>
      <c r="F17" s="16">
        <v>4</v>
      </c>
      <c r="G17" s="16">
        <v>4</v>
      </c>
      <c r="H17" s="23">
        <f t="shared" si="2"/>
        <v>189</v>
      </c>
      <c r="I17" s="24">
        <f t="shared" si="0"/>
        <v>63</v>
      </c>
      <c r="J17" s="16">
        <f t="shared" si="1"/>
        <v>50</v>
      </c>
      <c r="K17" s="16" t="str">
        <f t="shared" si="3"/>
        <v>TUNTAS</v>
      </c>
      <c r="L17" s="16" t="str">
        <f t="shared" si="4"/>
        <v xml:space="preserve"> </v>
      </c>
      <c r="N17" s="2">
        <f t="shared" si="5"/>
        <v>6.3</v>
      </c>
    </row>
    <row r="18" spans="1:14">
      <c r="A18" s="16">
        <v>11</v>
      </c>
      <c r="B18" s="20" t="s">
        <v>897</v>
      </c>
      <c r="C18" s="21" t="s">
        <v>494</v>
      </c>
      <c r="D18" s="22" t="s">
        <v>52</v>
      </c>
      <c r="E18" s="16">
        <v>4</v>
      </c>
      <c r="F18" s="16">
        <v>0</v>
      </c>
      <c r="G18" s="16">
        <v>0</v>
      </c>
      <c r="H18" s="23">
        <f t="shared" si="2"/>
        <v>288</v>
      </c>
      <c r="I18" s="24">
        <f t="shared" si="0"/>
        <v>96</v>
      </c>
      <c r="J18" s="16">
        <f t="shared" si="1"/>
        <v>6</v>
      </c>
      <c r="K18" s="16" t="str">
        <f t="shared" si="3"/>
        <v>TUNTAS</v>
      </c>
      <c r="L18" s="16" t="str">
        <f t="shared" si="4"/>
        <v xml:space="preserve"> </v>
      </c>
      <c r="N18" s="2">
        <f t="shared" si="5"/>
        <v>9.6</v>
      </c>
    </row>
    <row r="19" spans="1:14">
      <c r="A19" s="16">
        <v>12</v>
      </c>
      <c r="B19" s="20" t="s">
        <v>898</v>
      </c>
      <c r="C19" s="21" t="s">
        <v>826</v>
      </c>
      <c r="D19" s="22" t="s">
        <v>241</v>
      </c>
      <c r="E19" s="16">
        <v>18</v>
      </c>
      <c r="F19" s="16">
        <v>13</v>
      </c>
      <c r="G19" s="16">
        <v>4</v>
      </c>
      <c r="H19" s="23">
        <f t="shared" si="2"/>
        <v>147</v>
      </c>
      <c r="I19" s="24">
        <f t="shared" si="0"/>
        <v>49</v>
      </c>
      <c r="J19" s="16">
        <f t="shared" si="1"/>
        <v>57</v>
      </c>
      <c r="K19" s="16" t="str">
        <f t="shared" si="3"/>
        <v>TIDAK TUNTAS</v>
      </c>
      <c r="L19" s="16" t="str">
        <f t="shared" si="4"/>
        <v xml:space="preserve"> </v>
      </c>
      <c r="N19" s="2">
        <f t="shared" si="5"/>
        <v>4.9000000000000004</v>
      </c>
    </row>
    <row r="20" spans="1:14">
      <c r="A20" s="16">
        <v>13</v>
      </c>
      <c r="B20" s="20" t="s">
        <v>899</v>
      </c>
      <c r="C20" s="21" t="s">
        <v>500</v>
      </c>
      <c r="D20" s="22" t="s">
        <v>501</v>
      </c>
      <c r="E20" s="16">
        <v>5</v>
      </c>
      <c r="F20" s="16">
        <v>9</v>
      </c>
      <c r="G20" s="16">
        <v>4</v>
      </c>
      <c r="H20" s="23">
        <f t="shared" si="2"/>
        <v>198</v>
      </c>
      <c r="I20" s="24">
        <f t="shared" si="0"/>
        <v>66</v>
      </c>
      <c r="J20" s="16">
        <f t="shared" si="1"/>
        <v>46</v>
      </c>
      <c r="K20" s="16" t="str">
        <f t="shared" si="3"/>
        <v>TUNTAS</v>
      </c>
      <c r="L20" s="16" t="str">
        <f t="shared" si="4"/>
        <v xml:space="preserve"> </v>
      </c>
      <c r="N20" s="2">
        <f t="shared" si="5"/>
        <v>6.6</v>
      </c>
    </row>
    <row r="21" spans="1:14">
      <c r="A21" s="16">
        <v>14</v>
      </c>
      <c r="B21" s="20" t="s">
        <v>900</v>
      </c>
      <c r="C21" s="21" t="s">
        <v>674</v>
      </c>
      <c r="D21" s="22" t="s">
        <v>404</v>
      </c>
      <c r="E21" s="16">
        <v>4</v>
      </c>
      <c r="F21" s="16">
        <v>11</v>
      </c>
      <c r="G21" s="16">
        <v>4</v>
      </c>
      <c r="H21" s="23">
        <f t="shared" si="2"/>
        <v>195</v>
      </c>
      <c r="I21" s="24">
        <f t="shared" si="0"/>
        <v>65</v>
      </c>
      <c r="J21" s="16">
        <f t="shared" si="1"/>
        <v>48</v>
      </c>
      <c r="K21" s="16" t="str">
        <f t="shared" si="3"/>
        <v>TUNTAS</v>
      </c>
      <c r="L21" s="16" t="str">
        <f t="shared" si="4"/>
        <v xml:space="preserve"> </v>
      </c>
      <c r="N21" s="2">
        <f t="shared" si="5"/>
        <v>6.5</v>
      </c>
    </row>
    <row r="22" spans="1:14">
      <c r="A22" s="16">
        <v>15</v>
      </c>
      <c r="B22" s="20" t="s">
        <v>901</v>
      </c>
      <c r="C22" s="21" t="s">
        <v>678</v>
      </c>
      <c r="D22" s="22" t="s">
        <v>69</v>
      </c>
      <c r="E22" s="16">
        <v>4</v>
      </c>
      <c r="F22" s="16">
        <v>2</v>
      </c>
      <c r="G22" s="16">
        <v>0</v>
      </c>
      <c r="H22" s="23">
        <f t="shared" si="2"/>
        <v>282</v>
      </c>
      <c r="I22" s="24">
        <f t="shared" si="0"/>
        <v>94</v>
      </c>
      <c r="J22" s="16">
        <f t="shared" si="1"/>
        <v>7</v>
      </c>
      <c r="K22" s="16" t="str">
        <f t="shared" si="3"/>
        <v>TUNTAS</v>
      </c>
      <c r="L22" s="16" t="str">
        <f t="shared" si="4"/>
        <v xml:space="preserve"> </v>
      </c>
      <c r="N22" s="2">
        <f t="shared" si="5"/>
        <v>9.4</v>
      </c>
    </row>
    <row r="23" spans="1:14">
      <c r="A23" s="16">
        <v>16</v>
      </c>
      <c r="B23" s="20" t="s">
        <v>902</v>
      </c>
      <c r="C23" s="21" t="s">
        <v>507</v>
      </c>
      <c r="D23" s="22" t="s">
        <v>508</v>
      </c>
      <c r="E23" s="16">
        <v>8</v>
      </c>
      <c r="F23" s="16">
        <v>7</v>
      </c>
      <c r="G23" s="16">
        <v>2</v>
      </c>
      <c r="H23" s="23">
        <f t="shared" si="2"/>
        <v>225</v>
      </c>
      <c r="I23" s="24">
        <f t="shared" si="0"/>
        <v>75</v>
      </c>
      <c r="J23" s="16">
        <f t="shared" si="1"/>
        <v>32</v>
      </c>
      <c r="K23" s="16" t="str">
        <f t="shared" si="3"/>
        <v>TUNTAS</v>
      </c>
      <c r="L23" s="16" t="str">
        <f t="shared" si="4"/>
        <v xml:space="preserve"> </v>
      </c>
      <c r="N23" s="2">
        <f t="shared" si="5"/>
        <v>7.5</v>
      </c>
    </row>
    <row r="24" spans="1:14">
      <c r="A24" s="16">
        <v>17</v>
      </c>
      <c r="B24" s="20" t="s">
        <v>903</v>
      </c>
      <c r="C24" s="26" t="s">
        <v>682</v>
      </c>
      <c r="D24" s="27" t="s">
        <v>511</v>
      </c>
      <c r="E24" s="16">
        <v>6</v>
      </c>
      <c r="F24" s="16">
        <v>1</v>
      </c>
      <c r="G24" s="16">
        <v>1</v>
      </c>
      <c r="H24" s="23">
        <f t="shared" si="2"/>
        <v>264</v>
      </c>
      <c r="I24" s="24">
        <f t="shared" si="0"/>
        <v>88</v>
      </c>
      <c r="J24" s="16">
        <f t="shared" si="1"/>
        <v>15</v>
      </c>
      <c r="K24" s="16" t="str">
        <f t="shared" si="3"/>
        <v>TUNTAS</v>
      </c>
      <c r="L24" s="16" t="str">
        <f t="shared" si="4"/>
        <v xml:space="preserve"> </v>
      </c>
      <c r="N24" s="2">
        <f t="shared" si="5"/>
        <v>8.8000000000000007</v>
      </c>
    </row>
    <row r="25" spans="1:14">
      <c r="A25" s="28">
        <v>18</v>
      </c>
      <c r="B25" s="20" t="s">
        <v>904</v>
      </c>
      <c r="C25" s="21" t="s">
        <v>686</v>
      </c>
      <c r="D25" s="22" t="s">
        <v>80</v>
      </c>
      <c r="E25" s="16">
        <v>7</v>
      </c>
      <c r="F25" s="16">
        <v>3</v>
      </c>
      <c r="G25" s="16">
        <v>4</v>
      </c>
      <c r="H25" s="23">
        <f t="shared" si="2"/>
        <v>210</v>
      </c>
      <c r="I25" s="24">
        <f t="shared" si="0"/>
        <v>70</v>
      </c>
      <c r="J25" s="16">
        <f t="shared" si="1"/>
        <v>41</v>
      </c>
      <c r="K25" s="16" t="str">
        <f t="shared" si="3"/>
        <v>TUNTAS</v>
      </c>
      <c r="L25" s="16" t="str">
        <f t="shared" si="4"/>
        <v xml:space="preserve"> </v>
      </c>
      <c r="N25" s="2">
        <f t="shared" si="5"/>
        <v>7</v>
      </c>
    </row>
    <row r="26" spans="1:14">
      <c r="A26" s="16">
        <v>19</v>
      </c>
      <c r="B26" s="20" t="s">
        <v>905</v>
      </c>
      <c r="C26" s="21" t="s">
        <v>690</v>
      </c>
      <c r="D26" s="22" t="s">
        <v>84</v>
      </c>
      <c r="E26" s="16">
        <v>32</v>
      </c>
      <c r="F26" s="16">
        <v>32</v>
      </c>
      <c r="G26" s="16">
        <v>5</v>
      </c>
      <c r="H26" s="23">
        <f t="shared" si="2"/>
        <v>33</v>
      </c>
      <c r="I26" s="24">
        <f t="shared" si="0"/>
        <v>11</v>
      </c>
      <c r="J26" s="16">
        <f t="shared" si="1"/>
        <v>61</v>
      </c>
      <c r="K26" s="16" t="str">
        <f t="shared" si="3"/>
        <v>TIDAK HADIR</v>
      </c>
      <c r="L26" s="16" t="s">
        <v>1144</v>
      </c>
      <c r="N26" s="2">
        <f t="shared" si="5"/>
        <v>1.1000000000000001</v>
      </c>
    </row>
    <row r="27" spans="1:14">
      <c r="A27" s="16">
        <v>20</v>
      </c>
      <c r="B27" s="20" t="s">
        <v>906</v>
      </c>
      <c r="C27" s="21" t="s">
        <v>698</v>
      </c>
      <c r="D27" s="22" t="s">
        <v>89</v>
      </c>
      <c r="E27" s="16">
        <v>32</v>
      </c>
      <c r="F27" s="16">
        <v>32</v>
      </c>
      <c r="G27" s="16">
        <v>5</v>
      </c>
      <c r="H27" s="23">
        <f t="shared" si="2"/>
        <v>33</v>
      </c>
      <c r="I27" s="24">
        <f t="shared" si="0"/>
        <v>11</v>
      </c>
      <c r="J27" s="16">
        <f t="shared" si="1"/>
        <v>61</v>
      </c>
      <c r="K27" s="16" t="str">
        <f t="shared" si="3"/>
        <v>TIDAK HADIR</v>
      </c>
      <c r="L27" s="16" t="s">
        <v>1148</v>
      </c>
      <c r="N27" s="2">
        <f t="shared" si="5"/>
        <v>1.1000000000000001</v>
      </c>
    </row>
    <row r="28" spans="1:14">
      <c r="A28" s="16">
        <v>21</v>
      </c>
      <c r="B28" s="20" t="s">
        <v>907</v>
      </c>
      <c r="C28" s="21" t="s">
        <v>525</v>
      </c>
      <c r="D28" s="22" t="s">
        <v>89</v>
      </c>
      <c r="E28" s="16">
        <v>32</v>
      </c>
      <c r="F28" s="16">
        <v>32</v>
      </c>
      <c r="G28" s="16">
        <v>5</v>
      </c>
      <c r="H28" s="23">
        <f t="shared" si="2"/>
        <v>33</v>
      </c>
      <c r="I28" s="24">
        <f t="shared" si="0"/>
        <v>11</v>
      </c>
      <c r="J28" s="16">
        <f t="shared" si="1"/>
        <v>61</v>
      </c>
      <c r="K28" s="16" t="str">
        <f t="shared" si="3"/>
        <v>TIDAK HADIR</v>
      </c>
      <c r="L28" s="16" t="s">
        <v>1143</v>
      </c>
      <c r="N28" s="2">
        <f t="shared" si="5"/>
        <v>1.1000000000000001</v>
      </c>
    </row>
    <row r="29" spans="1:14">
      <c r="A29" s="16">
        <v>22</v>
      </c>
      <c r="B29" s="20" t="s">
        <v>908</v>
      </c>
      <c r="C29" s="26" t="s">
        <v>694</v>
      </c>
      <c r="D29" s="27" t="s">
        <v>89</v>
      </c>
      <c r="E29" s="16">
        <v>3</v>
      </c>
      <c r="F29" s="16">
        <v>8</v>
      </c>
      <c r="G29" s="16">
        <v>3</v>
      </c>
      <c r="H29" s="23">
        <f t="shared" si="2"/>
        <v>222</v>
      </c>
      <c r="I29" s="24">
        <f t="shared" si="0"/>
        <v>74</v>
      </c>
      <c r="J29" s="16">
        <f t="shared" si="1"/>
        <v>35</v>
      </c>
      <c r="K29" s="16" t="str">
        <f t="shared" si="3"/>
        <v>TUNTAS</v>
      </c>
      <c r="L29" s="16" t="str">
        <f t="shared" si="4"/>
        <v xml:space="preserve"> </v>
      </c>
      <c r="N29" s="2">
        <f t="shared" si="5"/>
        <v>7.4</v>
      </c>
    </row>
    <row r="30" spans="1:14">
      <c r="A30" s="16">
        <v>23</v>
      </c>
      <c r="B30" s="20" t="s">
        <v>910</v>
      </c>
      <c r="C30" s="21" t="s">
        <v>521</v>
      </c>
      <c r="D30" s="22" t="s">
        <v>89</v>
      </c>
      <c r="E30" s="16">
        <v>0</v>
      </c>
      <c r="F30" s="16">
        <v>0</v>
      </c>
      <c r="G30" s="16">
        <v>0</v>
      </c>
      <c r="H30" s="23">
        <f t="shared" si="2"/>
        <v>300</v>
      </c>
      <c r="I30" s="24">
        <f t="shared" si="0"/>
        <v>100</v>
      </c>
      <c r="J30" s="16">
        <f t="shared" si="1"/>
        <v>1</v>
      </c>
      <c r="K30" s="16" t="str">
        <f t="shared" si="3"/>
        <v>TUNTAS</v>
      </c>
      <c r="L30" s="16" t="str">
        <f t="shared" si="4"/>
        <v xml:space="preserve"> </v>
      </c>
      <c r="N30" s="2">
        <f t="shared" si="5"/>
        <v>10</v>
      </c>
    </row>
    <row r="31" spans="1:14">
      <c r="A31" s="16">
        <v>24</v>
      </c>
      <c r="B31" s="20" t="s">
        <v>911</v>
      </c>
      <c r="C31" s="25" t="s">
        <v>703</v>
      </c>
      <c r="D31" s="22" t="s">
        <v>100</v>
      </c>
      <c r="E31" s="16">
        <v>0</v>
      </c>
      <c r="F31" s="16">
        <v>13</v>
      </c>
      <c r="G31" s="16">
        <v>3</v>
      </c>
      <c r="H31" s="23">
        <f t="shared" si="2"/>
        <v>216</v>
      </c>
      <c r="I31" s="24">
        <f t="shared" si="0"/>
        <v>72</v>
      </c>
      <c r="J31" s="16">
        <f t="shared" si="1"/>
        <v>38</v>
      </c>
      <c r="K31" s="16" t="str">
        <f t="shared" si="3"/>
        <v>TUNTAS</v>
      </c>
      <c r="L31" s="16" t="str">
        <f t="shared" si="4"/>
        <v xml:space="preserve"> </v>
      </c>
      <c r="N31" s="2">
        <f t="shared" si="5"/>
        <v>7.2</v>
      </c>
    </row>
    <row r="32" spans="1:14">
      <c r="A32" s="16">
        <v>25</v>
      </c>
      <c r="B32" s="20" t="s">
        <v>912</v>
      </c>
      <c r="C32" s="21" t="s">
        <v>531</v>
      </c>
      <c r="D32" s="22" t="s">
        <v>100</v>
      </c>
      <c r="E32" s="16">
        <v>1</v>
      </c>
      <c r="F32" s="16">
        <v>5</v>
      </c>
      <c r="G32" s="16">
        <v>4</v>
      </c>
      <c r="H32" s="23">
        <f t="shared" si="2"/>
        <v>222</v>
      </c>
      <c r="I32" s="24">
        <f t="shared" si="0"/>
        <v>74</v>
      </c>
      <c r="J32" s="16">
        <f t="shared" si="1"/>
        <v>35</v>
      </c>
      <c r="K32" s="16" t="str">
        <f t="shared" si="3"/>
        <v>TUNTAS</v>
      </c>
      <c r="L32" s="16" t="str">
        <f t="shared" si="4"/>
        <v xml:space="preserve"> </v>
      </c>
      <c r="N32" s="2">
        <f t="shared" si="5"/>
        <v>7.4</v>
      </c>
    </row>
    <row r="33" spans="1:14">
      <c r="A33" s="16">
        <v>26</v>
      </c>
      <c r="B33" s="20" t="s">
        <v>913</v>
      </c>
      <c r="C33" s="21" t="s">
        <v>534</v>
      </c>
      <c r="D33" s="22" t="s">
        <v>102</v>
      </c>
      <c r="E33" s="16">
        <v>1</v>
      </c>
      <c r="F33" s="16">
        <v>7</v>
      </c>
      <c r="G33" s="16">
        <v>4</v>
      </c>
      <c r="H33" s="23">
        <f t="shared" si="2"/>
        <v>216</v>
      </c>
      <c r="I33" s="24">
        <f t="shared" si="0"/>
        <v>72</v>
      </c>
      <c r="J33" s="16">
        <f t="shared" si="1"/>
        <v>38</v>
      </c>
      <c r="K33" s="16" t="str">
        <f t="shared" si="3"/>
        <v>TUNTAS</v>
      </c>
      <c r="L33" s="16" t="str">
        <f t="shared" si="4"/>
        <v xml:space="preserve"> </v>
      </c>
      <c r="N33" s="2">
        <f t="shared" si="5"/>
        <v>7.2</v>
      </c>
    </row>
    <row r="34" spans="1:14">
      <c r="A34" s="16">
        <v>27</v>
      </c>
      <c r="B34" s="20" t="s">
        <v>914</v>
      </c>
      <c r="C34" s="21" t="s">
        <v>539</v>
      </c>
      <c r="D34" s="22" t="s">
        <v>537</v>
      </c>
      <c r="E34" s="16">
        <v>7</v>
      </c>
      <c r="F34" s="16">
        <v>3</v>
      </c>
      <c r="G34" s="16">
        <v>3</v>
      </c>
      <c r="H34" s="23">
        <f t="shared" si="2"/>
        <v>225</v>
      </c>
      <c r="I34" s="24">
        <f t="shared" si="0"/>
        <v>75</v>
      </c>
      <c r="J34" s="16">
        <f t="shared" si="1"/>
        <v>32</v>
      </c>
      <c r="K34" s="16" t="str">
        <f t="shared" si="3"/>
        <v>TUNTAS</v>
      </c>
      <c r="L34" s="16" t="str">
        <f t="shared" si="4"/>
        <v xml:space="preserve"> </v>
      </c>
      <c r="N34" s="2">
        <f t="shared" si="5"/>
        <v>7.5</v>
      </c>
    </row>
    <row r="35" spans="1:14">
      <c r="A35" s="16">
        <v>28</v>
      </c>
      <c r="B35" s="20" t="s">
        <v>915</v>
      </c>
      <c r="C35" s="25" t="s">
        <v>710</v>
      </c>
      <c r="D35" s="22" t="s">
        <v>537</v>
      </c>
      <c r="E35" s="16">
        <v>1</v>
      </c>
      <c r="F35" s="16">
        <v>1</v>
      </c>
      <c r="G35" s="16">
        <v>0</v>
      </c>
      <c r="H35" s="23">
        <f t="shared" si="2"/>
        <v>294</v>
      </c>
      <c r="I35" s="24">
        <f t="shared" si="0"/>
        <v>98</v>
      </c>
      <c r="J35" s="16">
        <f t="shared" si="1"/>
        <v>4</v>
      </c>
      <c r="K35" s="16" t="str">
        <f t="shared" si="3"/>
        <v>TUNTAS</v>
      </c>
      <c r="L35" s="16" t="str">
        <f t="shared" si="4"/>
        <v xml:space="preserve"> </v>
      </c>
      <c r="N35" s="2">
        <f t="shared" si="5"/>
        <v>9.8000000000000007</v>
      </c>
    </row>
    <row r="36" spans="1:14">
      <c r="A36" s="16">
        <v>29</v>
      </c>
      <c r="B36" s="20" t="s">
        <v>916</v>
      </c>
      <c r="C36" s="21" t="s">
        <v>715</v>
      </c>
      <c r="D36" s="22" t="s">
        <v>107</v>
      </c>
      <c r="E36" s="16">
        <v>12</v>
      </c>
      <c r="F36" s="16">
        <v>0</v>
      </c>
      <c r="G36" s="16">
        <v>4</v>
      </c>
      <c r="H36" s="23">
        <f t="shared" si="2"/>
        <v>204</v>
      </c>
      <c r="I36" s="24">
        <f t="shared" si="0"/>
        <v>68</v>
      </c>
      <c r="J36" s="16">
        <f t="shared" si="1"/>
        <v>44</v>
      </c>
      <c r="K36" s="16" t="str">
        <f t="shared" si="3"/>
        <v>TUNTAS</v>
      </c>
      <c r="L36" s="16" t="str">
        <f t="shared" si="4"/>
        <v xml:space="preserve"> </v>
      </c>
      <c r="N36" s="2">
        <f t="shared" si="5"/>
        <v>6.8</v>
      </c>
    </row>
    <row r="37" spans="1:14">
      <c r="A37" s="16">
        <v>30</v>
      </c>
      <c r="B37" s="20" t="s">
        <v>918</v>
      </c>
      <c r="C37" s="21" t="s">
        <v>543</v>
      </c>
      <c r="D37" s="22" t="s">
        <v>107</v>
      </c>
      <c r="E37" s="16">
        <v>9</v>
      </c>
      <c r="F37" s="16">
        <v>3</v>
      </c>
      <c r="G37" s="16">
        <v>3</v>
      </c>
      <c r="H37" s="23">
        <f t="shared" si="2"/>
        <v>219</v>
      </c>
      <c r="I37" s="24">
        <f t="shared" si="0"/>
        <v>73</v>
      </c>
      <c r="J37" s="16">
        <f t="shared" si="1"/>
        <v>37</v>
      </c>
      <c r="K37" s="16" t="str">
        <f t="shared" si="3"/>
        <v>TUNTAS</v>
      </c>
      <c r="L37" s="16" t="str">
        <f t="shared" si="4"/>
        <v xml:space="preserve"> </v>
      </c>
      <c r="N37" s="2">
        <f t="shared" si="5"/>
        <v>7.3</v>
      </c>
    </row>
    <row r="38" spans="1:14">
      <c r="A38" s="16">
        <v>31</v>
      </c>
      <c r="B38" s="20" t="s">
        <v>919</v>
      </c>
      <c r="C38" s="21" t="s">
        <v>552</v>
      </c>
      <c r="D38" s="22" t="s">
        <v>115</v>
      </c>
      <c r="E38" s="16">
        <v>4</v>
      </c>
      <c r="F38" s="16">
        <v>4</v>
      </c>
      <c r="G38" s="16">
        <v>3</v>
      </c>
      <c r="H38" s="23">
        <f t="shared" si="2"/>
        <v>231</v>
      </c>
      <c r="I38" s="24">
        <f t="shared" si="0"/>
        <v>77</v>
      </c>
      <c r="J38" s="16">
        <f t="shared" si="1"/>
        <v>27</v>
      </c>
      <c r="K38" s="16" t="str">
        <f t="shared" si="3"/>
        <v>TUNTAS</v>
      </c>
      <c r="L38" s="16" t="str">
        <f t="shared" si="4"/>
        <v xml:space="preserve"> </v>
      </c>
      <c r="N38" s="2">
        <f t="shared" si="5"/>
        <v>7.7</v>
      </c>
    </row>
    <row r="39" spans="1:14">
      <c r="A39" s="16">
        <v>32</v>
      </c>
      <c r="B39" s="20" t="s">
        <v>920</v>
      </c>
      <c r="C39" s="26" t="s">
        <v>690</v>
      </c>
      <c r="D39" s="27" t="s">
        <v>115</v>
      </c>
      <c r="E39" s="16">
        <v>4</v>
      </c>
      <c r="F39" s="16">
        <v>4</v>
      </c>
      <c r="G39" s="16">
        <v>3</v>
      </c>
      <c r="H39" s="23">
        <f t="shared" si="2"/>
        <v>231</v>
      </c>
      <c r="I39" s="24">
        <f t="shared" si="0"/>
        <v>77</v>
      </c>
      <c r="J39" s="16">
        <f t="shared" si="1"/>
        <v>27</v>
      </c>
      <c r="K39" s="16" t="str">
        <f t="shared" si="3"/>
        <v>TUNTAS</v>
      </c>
      <c r="L39" s="16" t="str">
        <f t="shared" si="4"/>
        <v xml:space="preserve"> </v>
      </c>
      <c r="N39" s="2">
        <f t="shared" si="5"/>
        <v>7.7</v>
      </c>
    </row>
    <row r="40" spans="1:14">
      <c r="A40" s="16">
        <v>33</v>
      </c>
      <c r="B40" s="20" t="s">
        <v>921</v>
      </c>
      <c r="C40" s="25" t="s">
        <v>556</v>
      </c>
      <c r="D40" s="22" t="s">
        <v>119</v>
      </c>
      <c r="E40" s="16">
        <v>2</v>
      </c>
      <c r="F40" s="16">
        <v>3</v>
      </c>
      <c r="G40" s="16">
        <v>4</v>
      </c>
      <c r="H40" s="23">
        <f t="shared" si="2"/>
        <v>225</v>
      </c>
      <c r="I40" s="24">
        <f t="shared" si="0"/>
        <v>75</v>
      </c>
      <c r="J40" s="16">
        <f t="shared" ref="J40:J72" si="6">RANK(H40,$H$8:$H$72)</f>
        <v>32</v>
      </c>
      <c r="K40" s="16" t="str">
        <f t="shared" si="3"/>
        <v>TUNTAS</v>
      </c>
      <c r="L40" s="16" t="str">
        <f t="shared" si="4"/>
        <v xml:space="preserve"> </v>
      </c>
      <c r="N40" s="2">
        <f t="shared" si="5"/>
        <v>7.5</v>
      </c>
    </row>
    <row r="41" spans="1:14">
      <c r="A41" s="16">
        <v>34</v>
      </c>
      <c r="B41" s="20" t="s">
        <v>922</v>
      </c>
      <c r="C41" s="21" t="s">
        <v>725</v>
      </c>
      <c r="D41" s="22" t="s">
        <v>559</v>
      </c>
      <c r="E41" s="16">
        <v>4</v>
      </c>
      <c r="F41" s="16">
        <v>10</v>
      </c>
      <c r="G41" s="16">
        <v>4</v>
      </c>
      <c r="H41" s="23">
        <f t="shared" si="2"/>
        <v>198</v>
      </c>
      <c r="I41" s="24">
        <f t="shared" si="0"/>
        <v>66</v>
      </c>
      <c r="J41" s="16">
        <f t="shared" si="6"/>
        <v>46</v>
      </c>
      <c r="K41" s="16" t="str">
        <f t="shared" si="3"/>
        <v>TUNTAS</v>
      </c>
      <c r="L41" s="16" t="str">
        <f t="shared" si="4"/>
        <v xml:space="preserve"> </v>
      </c>
      <c r="N41" s="2">
        <f t="shared" si="5"/>
        <v>6.6</v>
      </c>
    </row>
    <row r="42" spans="1:14">
      <c r="A42" s="16">
        <v>35</v>
      </c>
      <c r="B42" s="20" t="s">
        <v>923</v>
      </c>
      <c r="C42" s="21" t="s">
        <v>730</v>
      </c>
      <c r="D42" s="22" t="s">
        <v>288</v>
      </c>
      <c r="E42" s="16">
        <v>6</v>
      </c>
      <c r="F42" s="16">
        <v>8</v>
      </c>
      <c r="G42" s="16">
        <v>5</v>
      </c>
      <c r="H42" s="23">
        <f t="shared" si="2"/>
        <v>183</v>
      </c>
      <c r="I42" s="24">
        <f t="shared" si="0"/>
        <v>61</v>
      </c>
      <c r="J42" s="16">
        <f t="shared" si="6"/>
        <v>51</v>
      </c>
      <c r="K42" s="16" t="str">
        <f t="shared" si="3"/>
        <v>TUNTAS</v>
      </c>
      <c r="L42" s="16" t="str">
        <f t="shared" si="4"/>
        <v xml:space="preserve"> </v>
      </c>
      <c r="N42" s="2">
        <f t="shared" si="5"/>
        <v>6.1</v>
      </c>
    </row>
    <row r="43" spans="1:14">
      <c r="A43" s="16">
        <v>36</v>
      </c>
      <c r="B43" s="20" t="s">
        <v>924</v>
      </c>
      <c r="C43" s="21" t="s">
        <v>1116</v>
      </c>
      <c r="D43" s="22" t="s">
        <v>125</v>
      </c>
      <c r="E43" s="16">
        <v>1</v>
      </c>
      <c r="F43" s="16">
        <v>1</v>
      </c>
      <c r="G43" s="16">
        <v>0</v>
      </c>
      <c r="H43" s="23">
        <f t="shared" si="2"/>
        <v>294</v>
      </c>
      <c r="I43" s="24">
        <f t="shared" si="0"/>
        <v>98</v>
      </c>
      <c r="J43" s="16">
        <f t="shared" si="6"/>
        <v>4</v>
      </c>
      <c r="K43" s="16" t="str">
        <f t="shared" si="3"/>
        <v>TUNTAS</v>
      </c>
      <c r="L43" s="16" t="str">
        <f t="shared" si="4"/>
        <v xml:space="preserve"> </v>
      </c>
      <c r="N43" s="2">
        <f t="shared" si="5"/>
        <v>9.8000000000000007</v>
      </c>
    </row>
    <row r="44" spans="1:14">
      <c r="A44" s="16">
        <v>37</v>
      </c>
      <c r="B44" s="20" t="s">
        <v>925</v>
      </c>
      <c r="C44" s="21" t="s">
        <v>736</v>
      </c>
      <c r="D44" s="22" t="s">
        <v>138</v>
      </c>
      <c r="E44" s="16">
        <v>9</v>
      </c>
      <c r="F44" s="16">
        <v>6</v>
      </c>
      <c r="G44" s="16">
        <v>6</v>
      </c>
      <c r="H44" s="23">
        <f t="shared" si="2"/>
        <v>165</v>
      </c>
      <c r="I44" s="24">
        <f t="shared" si="0"/>
        <v>55</v>
      </c>
      <c r="J44" s="16">
        <f t="shared" si="6"/>
        <v>56</v>
      </c>
      <c r="K44" s="16" t="str">
        <f t="shared" si="3"/>
        <v>TIDAK TUNTAS</v>
      </c>
      <c r="L44" s="16" t="str">
        <f t="shared" si="4"/>
        <v>TM</v>
      </c>
      <c r="N44" s="2">
        <f t="shared" si="5"/>
        <v>5.5</v>
      </c>
    </row>
    <row r="45" spans="1:14">
      <c r="A45" s="16">
        <v>38</v>
      </c>
      <c r="B45" s="20" t="s">
        <v>926</v>
      </c>
      <c r="C45" s="21" t="s">
        <v>566</v>
      </c>
      <c r="D45" s="22" t="s">
        <v>141</v>
      </c>
      <c r="E45" s="16">
        <v>3</v>
      </c>
      <c r="F45" s="16">
        <v>6</v>
      </c>
      <c r="G45" s="16">
        <v>6</v>
      </c>
      <c r="H45" s="23">
        <f t="shared" si="2"/>
        <v>183</v>
      </c>
      <c r="I45" s="24">
        <f t="shared" si="0"/>
        <v>61</v>
      </c>
      <c r="J45" s="16">
        <f t="shared" si="6"/>
        <v>51</v>
      </c>
      <c r="K45" s="16" t="str">
        <f t="shared" si="3"/>
        <v>TUNTAS</v>
      </c>
      <c r="L45" s="16" t="str">
        <f t="shared" si="4"/>
        <v>TM</v>
      </c>
      <c r="N45" s="2">
        <f t="shared" si="5"/>
        <v>6.1</v>
      </c>
    </row>
    <row r="46" spans="1:14">
      <c r="A46" s="16">
        <v>39</v>
      </c>
      <c r="B46" s="20" t="s">
        <v>928</v>
      </c>
      <c r="C46" s="21" t="s">
        <v>740</v>
      </c>
      <c r="D46" s="22" t="s">
        <v>144</v>
      </c>
      <c r="E46" s="16">
        <v>4</v>
      </c>
      <c r="F46" s="16">
        <v>3</v>
      </c>
      <c r="G46" s="16">
        <v>2</v>
      </c>
      <c r="H46" s="23">
        <f t="shared" si="2"/>
        <v>249</v>
      </c>
      <c r="I46" s="24">
        <f t="shared" si="0"/>
        <v>83</v>
      </c>
      <c r="J46" s="16">
        <f t="shared" si="6"/>
        <v>23</v>
      </c>
      <c r="K46" s="16" t="str">
        <f t="shared" si="3"/>
        <v>TUNTAS</v>
      </c>
      <c r="L46" s="16" t="str">
        <f t="shared" si="4"/>
        <v xml:space="preserve"> </v>
      </c>
      <c r="N46" s="2">
        <f t="shared" si="5"/>
        <v>8.3000000000000007</v>
      </c>
    </row>
    <row r="47" spans="1:14">
      <c r="A47" s="16">
        <v>40</v>
      </c>
      <c r="B47" s="20" t="s">
        <v>929</v>
      </c>
      <c r="C47" s="21" t="s">
        <v>570</v>
      </c>
      <c r="D47" s="22" t="s">
        <v>311</v>
      </c>
      <c r="E47" s="16">
        <v>6</v>
      </c>
      <c r="F47" s="16">
        <v>5</v>
      </c>
      <c r="G47" s="16">
        <v>1</v>
      </c>
      <c r="H47" s="23">
        <f t="shared" si="2"/>
        <v>252</v>
      </c>
      <c r="I47" s="24">
        <f t="shared" si="0"/>
        <v>84</v>
      </c>
      <c r="J47" s="16">
        <f t="shared" si="6"/>
        <v>21</v>
      </c>
      <c r="K47" s="16" t="str">
        <f t="shared" si="3"/>
        <v>TUNTAS</v>
      </c>
      <c r="L47" s="16" t="str">
        <f t="shared" si="4"/>
        <v xml:space="preserve"> </v>
      </c>
      <c r="N47" s="2">
        <f t="shared" si="5"/>
        <v>8.4</v>
      </c>
    </row>
    <row r="48" spans="1:14">
      <c r="A48" s="16">
        <v>41</v>
      </c>
      <c r="B48" s="20" t="s">
        <v>930</v>
      </c>
      <c r="C48" s="26" t="s">
        <v>578</v>
      </c>
      <c r="D48" s="27" t="s">
        <v>579</v>
      </c>
      <c r="E48" s="16">
        <v>3</v>
      </c>
      <c r="F48" s="16">
        <v>1</v>
      </c>
      <c r="G48" s="16">
        <v>1</v>
      </c>
      <c r="H48" s="23">
        <f t="shared" si="2"/>
        <v>273</v>
      </c>
      <c r="I48" s="24">
        <f t="shared" si="0"/>
        <v>91</v>
      </c>
      <c r="J48" s="16">
        <f t="shared" si="6"/>
        <v>11</v>
      </c>
      <c r="K48" s="16" t="str">
        <f t="shared" si="3"/>
        <v>TUNTAS</v>
      </c>
      <c r="L48" s="16" t="str">
        <f t="shared" si="4"/>
        <v xml:space="preserve"> </v>
      </c>
      <c r="N48" s="2">
        <f t="shared" si="5"/>
        <v>9.1</v>
      </c>
    </row>
    <row r="49" spans="1:14">
      <c r="A49" s="16">
        <v>42</v>
      </c>
      <c r="B49" s="20" t="s">
        <v>931</v>
      </c>
      <c r="C49" s="21" t="s">
        <v>748</v>
      </c>
      <c r="D49" s="22" t="s">
        <v>579</v>
      </c>
      <c r="E49" s="16">
        <v>2</v>
      </c>
      <c r="F49" s="16">
        <v>1</v>
      </c>
      <c r="G49" s="16">
        <v>2</v>
      </c>
      <c r="H49" s="23">
        <f t="shared" si="2"/>
        <v>261</v>
      </c>
      <c r="I49" s="24">
        <f t="shared" si="0"/>
        <v>87</v>
      </c>
      <c r="J49" s="16">
        <f t="shared" si="6"/>
        <v>16</v>
      </c>
      <c r="K49" s="16" t="str">
        <f t="shared" si="3"/>
        <v>TUNTAS</v>
      </c>
      <c r="L49" s="16" t="str">
        <f t="shared" si="4"/>
        <v xml:space="preserve"> </v>
      </c>
      <c r="N49" s="2">
        <f t="shared" si="5"/>
        <v>8.6999999999999993</v>
      </c>
    </row>
    <row r="50" spans="1:14">
      <c r="A50" s="16">
        <v>43</v>
      </c>
      <c r="B50" s="20" t="s">
        <v>933</v>
      </c>
      <c r="C50" s="21" t="s">
        <v>582</v>
      </c>
      <c r="D50" s="22" t="s">
        <v>155</v>
      </c>
      <c r="E50" s="16">
        <v>3</v>
      </c>
      <c r="F50" s="16">
        <v>0</v>
      </c>
      <c r="G50" s="16">
        <v>2</v>
      </c>
      <c r="H50" s="23">
        <f t="shared" si="2"/>
        <v>261</v>
      </c>
      <c r="I50" s="24">
        <f t="shared" si="0"/>
        <v>87</v>
      </c>
      <c r="J50" s="16">
        <f t="shared" si="6"/>
        <v>16</v>
      </c>
      <c r="K50" s="16" t="str">
        <f t="shared" si="3"/>
        <v>TUNTAS</v>
      </c>
      <c r="L50" s="16" t="str">
        <f t="shared" si="4"/>
        <v xml:space="preserve"> </v>
      </c>
      <c r="N50" s="2">
        <f t="shared" si="5"/>
        <v>8.6999999999999993</v>
      </c>
    </row>
    <row r="51" spans="1:14">
      <c r="A51" s="16">
        <v>44</v>
      </c>
      <c r="B51" s="20" t="s">
        <v>934</v>
      </c>
      <c r="C51" s="21" t="s">
        <v>753</v>
      </c>
      <c r="D51" s="22" t="s">
        <v>164</v>
      </c>
      <c r="E51" s="16">
        <v>8</v>
      </c>
      <c r="F51" s="16">
        <v>10</v>
      </c>
      <c r="G51" s="16">
        <v>5</v>
      </c>
      <c r="H51" s="23">
        <f t="shared" si="2"/>
        <v>171</v>
      </c>
      <c r="I51" s="24">
        <f t="shared" si="0"/>
        <v>57</v>
      </c>
      <c r="J51" s="16">
        <f t="shared" si="6"/>
        <v>55</v>
      </c>
      <c r="K51" s="16" t="str">
        <f t="shared" si="3"/>
        <v>TIDAK TUNTAS</v>
      </c>
      <c r="L51" s="16" t="str">
        <f t="shared" si="4"/>
        <v xml:space="preserve"> </v>
      </c>
      <c r="N51" s="2">
        <f t="shared" si="5"/>
        <v>5.7</v>
      </c>
    </row>
    <row r="52" spans="1:14">
      <c r="A52" s="16">
        <v>45</v>
      </c>
      <c r="B52" s="20" t="s">
        <v>935</v>
      </c>
      <c r="C52" s="26" t="s">
        <v>586</v>
      </c>
      <c r="D52" s="27" t="s">
        <v>164</v>
      </c>
      <c r="E52" s="16">
        <v>2</v>
      </c>
      <c r="F52" s="16">
        <v>6</v>
      </c>
      <c r="G52" s="16">
        <v>0</v>
      </c>
      <c r="H52" s="23">
        <f t="shared" si="2"/>
        <v>276</v>
      </c>
      <c r="I52" s="24">
        <f t="shared" si="0"/>
        <v>92</v>
      </c>
      <c r="J52" s="16">
        <f t="shared" si="6"/>
        <v>10</v>
      </c>
      <c r="K52" s="16" t="str">
        <f t="shared" si="3"/>
        <v>TUNTAS</v>
      </c>
      <c r="L52" s="16" t="str">
        <f t="shared" si="4"/>
        <v xml:space="preserve"> </v>
      </c>
      <c r="N52" s="2">
        <f t="shared" si="5"/>
        <v>9.1999999999999993</v>
      </c>
    </row>
    <row r="53" spans="1:14">
      <c r="A53" s="16">
        <v>46</v>
      </c>
      <c r="B53" s="20" t="s">
        <v>936</v>
      </c>
      <c r="C53" s="25" t="s">
        <v>757</v>
      </c>
      <c r="D53" s="22" t="s">
        <v>758</v>
      </c>
      <c r="E53" s="16">
        <v>7</v>
      </c>
      <c r="F53" s="16">
        <v>4</v>
      </c>
      <c r="G53" s="16">
        <v>2</v>
      </c>
      <c r="H53" s="23">
        <f t="shared" si="2"/>
        <v>237</v>
      </c>
      <c r="I53" s="24">
        <f t="shared" si="0"/>
        <v>79</v>
      </c>
      <c r="J53" s="16">
        <f t="shared" si="6"/>
        <v>26</v>
      </c>
      <c r="K53" s="16" t="str">
        <f t="shared" si="3"/>
        <v>TUNTAS</v>
      </c>
      <c r="L53" s="16" t="str">
        <f t="shared" si="4"/>
        <v xml:space="preserve"> </v>
      </c>
      <c r="N53" s="2">
        <f t="shared" si="5"/>
        <v>7.9</v>
      </c>
    </row>
    <row r="54" spans="1:14">
      <c r="A54" s="16">
        <v>47</v>
      </c>
      <c r="B54" s="20" t="s">
        <v>937</v>
      </c>
      <c r="C54" s="21" t="s">
        <v>591</v>
      </c>
      <c r="D54" s="22" t="s">
        <v>445</v>
      </c>
      <c r="E54" s="16">
        <v>6</v>
      </c>
      <c r="F54" s="16">
        <v>0</v>
      </c>
      <c r="G54" s="16">
        <v>2</v>
      </c>
      <c r="H54" s="23">
        <f t="shared" si="2"/>
        <v>252</v>
      </c>
      <c r="I54" s="24">
        <f t="shared" si="0"/>
        <v>84</v>
      </c>
      <c r="J54" s="16">
        <f t="shared" si="6"/>
        <v>21</v>
      </c>
      <c r="K54" s="16" t="str">
        <f t="shared" si="3"/>
        <v>TUNTAS</v>
      </c>
      <c r="L54" s="16" t="str">
        <f t="shared" si="4"/>
        <v xml:space="preserve"> </v>
      </c>
      <c r="N54" s="2">
        <f t="shared" si="5"/>
        <v>8.4</v>
      </c>
    </row>
    <row r="55" spans="1:14">
      <c r="A55" s="16">
        <v>48</v>
      </c>
      <c r="B55" s="20" t="s">
        <v>938</v>
      </c>
      <c r="C55" s="21" t="s">
        <v>761</v>
      </c>
      <c r="D55" s="22" t="s">
        <v>445</v>
      </c>
      <c r="E55" s="16">
        <v>2</v>
      </c>
      <c r="F55" s="16">
        <v>3</v>
      </c>
      <c r="G55" s="16">
        <v>2</v>
      </c>
      <c r="H55" s="23">
        <f t="shared" si="2"/>
        <v>255</v>
      </c>
      <c r="I55" s="24">
        <f t="shared" si="0"/>
        <v>85</v>
      </c>
      <c r="J55" s="16">
        <f t="shared" si="6"/>
        <v>19</v>
      </c>
      <c r="K55" s="16" t="str">
        <f t="shared" si="3"/>
        <v>TUNTAS</v>
      </c>
      <c r="L55" s="16" t="str">
        <f t="shared" si="4"/>
        <v xml:space="preserve"> </v>
      </c>
      <c r="N55" s="2">
        <f t="shared" si="5"/>
        <v>8.5</v>
      </c>
    </row>
    <row r="56" spans="1:14">
      <c r="A56" s="16">
        <v>49</v>
      </c>
      <c r="B56" s="20" t="s">
        <v>1117</v>
      </c>
      <c r="C56" s="21" t="s">
        <v>763</v>
      </c>
      <c r="D56" s="22" t="s">
        <v>447</v>
      </c>
      <c r="E56" s="16">
        <v>9</v>
      </c>
      <c r="F56" s="16">
        <v>7</v>
      </c>
      <c r="G56" s="16">
        <v>4</v>
      </c>
      <c r="H56" s="23">
        <f t="shared" si="2"/>
        <v>192</v>
      </c>
      <c r="I56" s="24">
        <f t="shared" si="0"/>
        <v>64</v>
      </c>
      <c r="J56" s="16">
        <f t="shared" si="6"/>
        <v>49</v>
      </c>
      <c r="K56" s="16" t="str">
        <f t="shared" si="3"/>
        <v>TUNTAS</v>
      </c>
      <c r="L56" s="16" t="str">
        <f t="shared" si="4"/>
        <v xml:space="preserve"> </v>
      </c>
      <c r="N56" s="2">
        <f t="shared" si="5"/>
        <v>6.4</v>
      </c>
    </row>
    <row r="57" spans="1:14">
      <c r="A57" s="16">
        <v>50</v>
      </c>
      <c r="B57" s="20" t="s">
        <v>1118</v>
      </c>
      <c r="C57" s="26" t="s">
        <v>767</v>
      </c>
      <c r="D57" s="27" t="s">
        <v>330</v>
      </c>
      <c r="E57" s="16">
        <v>1</v>
      </c>
      <c r="F57" s="16">
        <v>3</v>
      </c>
      <c r="G57" s="16">
        <v>2</v>
      </c>
      <c r="H57" s="23">
        <f t="shared" si="2"/>
        <v>258</v>
      </c>
      <c r="I57" s="24">
        <f t="shared" si="0"/>
        <v>86</v>
      </c>
      <c r="J57" s="16">
        <f t="shared" si="6"/>
        <v>18</v>
      </c>
      <c r="K57" s="16" t="str">
        <f t="shared" si="3"/>
        <v>TUNTAS</v>
      </c>
      <c r="L57" s="16" t="str">
        <f t="shared" si="4"/>
        <v xml:space="preserve"> </v>
      </c>
      <c r="N57" s="2">
        <f t="shared" si="5"/>
        <v>8.6</v>
      </c>
    </row>
    <row r="58" spans="1:14">
      <c r="A58" s="16">
        <v>51</v>
      </c>
      <c r="B58" s="20" t="s">
        <v>1119</v>
      </c>
      <c r="C58" s="21" t="s">
        <v>599</v>
      </c>
      <c r="D58" s="22" t="s">
        <v>171</v>
      </c>
      <c r="E58" s="16">
        <v>0</v>
      </c>
      <c r="F58" s="16">
        <v>0</v>
      </c>
      <c r="G58" s="16">
        <v>0</v>
      </c>
      <c r="H58" s="23">
        <f t="shared" si="2"/>
        <v>300</v>
      </c>
      <c r="I58" s="24">
        <f t="shared" si="0"/>
        <v>100</v>
      </c>
      <c r="J58" s="16">
        <f t="shared" si="6"/>
        <v>1</v>
      </c>
      <c r="K58" s="16" t="str">
        <f t="shared" si="3"/>
        <v>TUNTAS</v>
      </c>
      <c r="L58" s="16" t="str">
        <f t="shared" si="4"/>
        <v xml:space="preserve"> </v>
      </c>
      <c r="N58" s="2">
        <f t="shared" si="5"/>
        <v>10</v>
      </c>
    </row>
    <row r="59" spans="1:14">
      <c r="A59" s="16">
        <v>52</v>
      </c>
      <c r="B59" s="20" t="s">
        <v>1120</v>
      </c>
      <c r="C59" s="26" t="s">
        <v>777</v>
      </c>
      <c r="D59" s="27" t="s">
        <v>182</v>
      </c>
      <c r="E59" s="16">
        <v>15</v>
      </c>
      <c r="F59" s="16">
        <v>17</v>
      </c>
      <c r="G59" s="16">
        <v>6</v>
      </c>
      <c r="H59" s="23">
        <f t="shared" si="2"/>
        <v>114</v>
      </c>
      <c r="I59" s="24">
        <f t="shared" si="0"/>
        <v>38</v>
      </c>
      <c r="J59" s="16">
        <f t="shared" si="6"/>
        <v>58</v>
      </c>
      <c r="K59" s="16" t="str">
        <f t="shared" si="3"/>
        <v>TIDAK TUNTAS</v>
      </c>
      <c r="L59" s="16" t="str">
        <f t="shared" si="4"/>
        <v>TM</v>
      </c>
      <c r="N59" s="2">
        <f t="shared" si="5"/>
        <v>3.8</v>
      </c>
    </row>
    <row r="60" spans="1:14">
      <c r="A60" s="16">
        <v>53</v>
      </c>
      <c r="B60" s="20" t="s">
        <v>1121</v>
      </c>
      <c r="C60" s="21" t="s">
        <v>607</v>
      </c>
      <c r="D60" s="22" t="s">
        <v>346</v>
      </c>
      <c r="E60" s="16">
        <v>4</v>
      </c>
      <c r="F60" s="16">
        <v>2</v>
      </c>
      <c r="G60" s="16">
        <v>1</v>
      </c>
      <c r="H60" s="23">
        <f t="shared" si="2"/>
        <v>267</v>
      </c>
      <c r="I60" s="24">
        <f t="shared" si="0"/>
        <v>89</v>
      </c>
      <c r="J60" s="16">
        <f t="shared" si="6"/>
        <v>13</v>
      </c>
      <c r="K60" s="16" t="str">
        <f t="shared" si="3"/>
        <v>TUNTAS</v>
      </c>
      <c r="L60" s="16" t="str">
        <f t="shared" si="4"/>
        <v xml:space="preserve"> </v>
      </c>
      <c r="N60" s="2">
        <f t="shared" si="5"/>
        <v>8.9</v>
      </c>
    </row>
    <row r="61" spans="1:14">
      <c r="A61" s="16">
        <v>54</v>
      </c>
      <c r="B61" s="20" t="s">
        <v>1122</v>
      </c>
      <c r="C61" s="21" t="s">
        <v>786</v>
      </c>
      <c r="D61" s="22" t="s">
        <v>611</v>
      </c>
      <c r="E61" s="16">
        <v>14</v>
      </c>
      <c r="F61" s="16">
        <v>12</v>
      </c>
      <c r="G61" s="16">
        <v>3</v>
      </c>
      <c r="H61" s="23">
        <f t="shared" si="2"/>
        <v>177</v>
      </c>
      <c r="I61" s="24">
        <f t="shared" si="0"/>
        <v>59</v>
      </c>
      <c r="J61" s="16">
        <f t="shared" si="6"/>
        <v>53</v>
      </c>
      <c r="K61" s="16" t="str">
        <f t="shared" si="3"/>
        <v>TIDAK TUNTAS</v>
      </c>
      <c r="L61" s="16" t="str">
        <f t="shared" si="4"/>
        <v xml:space="preserve"> </v>
      </c>
      <c r="N61" s="2">
        <f t="shared" si="5"/>
        <v>5.9</v>
      </c>
    </row>
    <row r="62" spans="1:14">
      <c r="A62" s="16">
        <v>55</v>
      </c>
      <c r="B62" s="20" t="s">
        <v>1123</v>
      </c>
      <c r="C62" s="26" t="s">
        <v>782</v>
      </c>
      <c r="D62" s="27" t="s">
        <v>611</v>
      </c>
      <c r="E62" s="16">
        <v>9</v>
      </c>
      <c r="F62" s="16">
        <v>12</v>
      </c>
      <c r="G62" s="16">
        <v>2</v>
      </c>
      <c r="H62" s="23">
        <f t="shared" si="2"/>
        <v>207</v>
      </c>
      <c r="I62" s="24">
        <f t="shared" si="0"/>
        <v>69</v>
      </c>
      <c r="J62" s="16">
        <f t="shared" si="6"/>
        <v>43</v>
      </c>
      <c r="K62" s="16" t="str">
        <f t="shared" si="3"/>
        <v>TUNTAS</v>
      </c>
      <c r="L62" s="16" t="str">
        <f t="shared" si="4"/>
        <v xml:space="preserve"> </v>
      </c>
      <c r="N62" s="2">
        <f t="shared" si="5"/>
        <v>6.9</v>
      </c>
    </row>
    <row r="63" spans="1:14">
      <c r="A63" s="16">
        <v>56</v>
      </c>
      <c r="B63" s="20" t="s">
        <v>1124</v>
      </c>
      <c r="C63" s="21" t="s">
        <v>613</v>
      </c>
      <c r="D63" s="22" t="s">
        <v>186</v>
      </c>
      <c r="E63" s="16">
        <v>32</v>
      </c>
      <c r="F63" s="16">
        <v>32</v>
      </c>
      <c r="G63" s="16">
        <v>5</v>
      </c>
      <c r="H63" s="23">
        <f t="shared" si="2"/>
        <v>33</v>
      </c>
      <c r="I63" s="24">
        <f t="shared" si="0"/>
        <v>11</v>
      </c>
      <c r="J63" s="16">
        <f t="shared" si="6"/>
        <v>61</v>
      </c>
      <c r="K63" s="16" t="str">
        <f t="shared" si="3"/>
        <v>TIDAK HADIR</v>
      </c>
      <c r="L63" s="16" t="s">
        <v>1143</v>
      </c>
      <c r="N63" s="2">
        <f t="shared" si="5"/>
        <v>1.1000000000000001</v>
      </c>
    </row>
    <row r="64" spans="1:14">
      <c r="A64" s="16">
        <v>57</v>
      </c>
      <c r="B64" s="20" t="s">
        <v>1125</v>
      </c>
      <c r="C64" s="21" t="s">
        <v>790</v>
      </c>
      <c r="D64" s="22" t="s">
        <v>186</v>
      </c>
      <c r="E64" s="16">
        <v>10</v>
      </c>
      <c r="F64" s="16">
        <v>0</v>
      </c>
      <c r="G64" s="16">
        <v>2</v>
      </c>
      <c r="H64" s="23">
        <f t="shared" si="2"/>
        <v>240</v>
      </c>
      <c r="I64" s="24">
        <f t="shared" si="0"/>
        <v>80</v>
      </c>
      <c r="J64" s="16">
        <f t="shared" si="6"/>
        <v>25</v>
      </c>
      <c r="K64" s="16" t="str">
        <f t="shared" si="3"/>
        <v>TUNTAS</v>
      </c>
      <c r="L64" s="16" t="str">
        <f t="shared" si="4"/>
        <v xml:space="preserve"> </v>
      </c>
      <c r="N64" s="2">
        <f t="shared" si="5"/>
        <v>8</v>
      </c>
    </row>
    <row r="65" spans="1:14">
      <c r="A65" s="16">
        <v>58</v>
      </c>
      <c r="B65" s="20" t="s">
        <v>1126</v>
      </c>
      <c r="C65" s="26" t="s">
        <v>794</v>
      </c>
      <c r="D65" s="27" t="s">
        <v>192</v>
      </c>
      <c r="E65" s="16">
        <v>10</v>
      </c>
      <c r="F65" s="16">
        <v>3</v>
      </c>
      <c r="G65" s="16">
        <v>2</v>
      </c>
      <c r="H65" s="23">
        <f t="shared" si="2"/>
        <v>231</v>
      </c>
      <c r="I65" s="24">
        <f t="shared" si="0"/>
        <v>77</v>
      </c>
      <c r="J65" s="16">
        <f t="shared" si="6"/>
        <v>27</v>
      </c>
      <c r="K65" s="16" t="str">
        <f t="shared" si="3"/>
        <v>TUNTAS</v>
      </c>
      <c r="L65" s="16" t="str">
        <f t="shared" si="4"/>
        <v xml:space="preserve"> </v>
      </c>
      <c r="N65" s="2">
        <f t="shared" si="5"/>
        <v>7.7</v>
      </c>
    </row>
    <row r="66" spans="1:14">
      <c r="A66" s="16">
        <v>59</v>
      </c>
      <c r="B66" s="20" t="s">
        <v>1127</v>
      </c>
      <c r="C66" s="21" t="s">
        <v>797</v>
      </c>
      <c r="D66" s="22" t="s">
        <v>360</v>
      </c>
      <c r="E66" s="16">
        <v>0</v>
      </c>
      <c r="F66" s="16">
        <v>1</v>
      </c>
      <c r="G66" s="16">
        <v>0</v>
      </c>
      <c r="H66" s="23">
        <f t="shared" si="2"/>
        <v>297</v>
      </c>
      <c r="I66" s="24">
        <f t="shared" si="0"/>
        <v>99</v>
      </c>
      <c r="J66" s="16">
        <f t="shared" si="6"/>
        <v>3</v>
      </c>
      <c r="K66" s="16" t="str">
        <f t="shared" si="3"/>
        <v>TUNTAS</v>
      </c>
      <c r="L66" s="16" t="str">
        <f t="shared" si="4"/>
        <v xml:space="preserve"> </v>
      </c>
      <c r="N66" s="2">
        <f t="shared" si="5"/>
        <v>9.9</v>
      </c>
    </row>
    <row r="67" spans="1:14">
      <c r="A67" s="16">
        <v>60</v>
      </c>
      <c r="B67" s="20" t="s">
        <v>1128</v>
      </c>
      <c r="C67" s="21" t="s">
        <v>801</v>
      </c>
      <c r="D67" s="22" t="s">
        <v>363</v>
      </c>
      <c r="E67" s="16">
        <v>6</v>
      </c>
      <c r="F67" s="16">
        <v>2</v>
      </c>
      <c r="G67" s="16">
        <v>4</v>
      </c>
      <c r="H67" s="23">
        <f t="shared" si="2"/>
        <v>216</v>
      </c>
      <c r="I67" s="24">
        <f t="shared" si="0"/>
        <v>72</v>
      </c>
      <c r="J67" s="16">
        <f t="shared" si="6"/>
        <v>38</v>
      </c>
      <c r="K67" s="16" t="str">
        <f t="shared" si="3"/>
        <v>TUNTAS</v>
      </c>
      <c r="L67" s="16" t="str">
        <f t="shared" si="4"/>
        <v xml:space="preserve"> </v>
      </c>
      <c r="N67" s="2">
        <f t="shared" si="5"/>
        <v>7.2</v>
      </c>
    </row>
    <row r="68" spans="1:14">
      <c r="A68" s="16">
        <v>61</v>
      </c>
      <c r="B68" s="20" t="s">
        <v>1129</v>
      </c>
      <c r="C68" s="21" t="s">
        <v>623</v>
      </c>
      <c r="D68" s="22" t="s">
        <v>372</v>
      </c>
      <c r="E68" s="16">
        <v>12</v>
      </c>
      <c r="F68" s="16">
        <v>4</v>
      </c>
      <c r="G68" s="16">
        <v>5</v>
      </c>
      <c r="H68" s="23">
        <f t="shared" si="2"/>
        <v>177</v>
      </c>
      <c r="I68" s="24">
        <f t="shared" si="0"/>
        <v>59</v>
      </c>
      <c r="J68" s="16">
        <f t="shared" si="6"/>
        <v>53</v>
      </c>
      <c r="K68" s="16" t="str">
        <f t="shared" ref="K68:K72" si="7">IF(G68&gt;5,"TIDAK MUROD",IF(I68&lt;2.8,"TIDAK HADIR",IF(I68&lt;4.8,"TIDAK BACA",IF(I68&lt;$K$7,"TIDAK TUNTAS","TUNTAS"))))</f>
        <v>TIDAK TUNTAS</v>
      </c>
      <c r="L68" s="16" t="str">
        <f t="shared" si="4"/>
        <v xml:space="preserve"> </v>
      </c>
      <c r="N68" s="2">
        <f t="shared" si="5"/>
        <v>5.9</v>
      </c>
    </row>
    <row r="69" spans="1:14">
      <c r="A69" s="16">
        <v>62</v>
      </c>
      <c r="B69" s="20" t="s">
        <v>1130</v>
      </c>
      <c r="C69" s="21" t="s">
        <v>627</v>
      </c>
      <c r="D69" s="22" t="s">
        <v>207</v>
      </c>
      <c r="E69" s="16">
        <v>5</v>
      </c>
      <c r="F69" s="16">
        <v>0</v>
      </c>
      <c r="G69" s="16">
        <v>2</v>
      </c>
      <c r="H69" s="23">
        <f t="shared" si="2"/>
        <v>255</v>
      </c>
      <c r="I69" s="24">
        <f t="shared" si="0"/>
        <v>85</v>
      </c>
      <c r="J69" s="16">
        <f t="shared" si="6"/>
        <v>19</v>
      </c>
      <c r="K69" s="16" t="str">
        <f t="shared" si="7"/>
        <v>TUNTAS</v>
      </c>
      <c r="L69" s="16" t="str">
        <f t="shared" si="4"/>
        <v xml:space="preserve"> </v>
      </c>
      <c r="N69" s="2">
        <f t="shared" si="5"/>
        <v>8.5</v>
      </c>
    </row>
    <row r="70" spans="1:14">
      <c r="A70" s="29">
        <v>63</v>
      </c>
      <c r="B70" s="20" t="s">
        <v>1131</v>
      </c>
      <c r="C70" s="26" t="s">
        <v>809</v>
      </c>
      <c r="D70" s="27" t="s">
        <v>808</v>
      </c>
      <c r="E70" s="16">
        <v>9</v>
      </c>
      <c r="F70" s="16">
        <v>4</v>
      </c>
      <c r="G70" s="16">
        <v>4</v>
      </c>
      <c r="H70" s="23">
        <f t="shared" si="2"/>
        <v>201</v>
      </c>
      <c r="I70" s="24">
        <f t="shared" si="0"/>
        <v>67</v>
      </c>
      <c r="J70" s="16">
        <f t="shared" si="6"/>
        <v>45</v>
      </c>
      <c r="K70" s="16" t="str">
        <f t="shared" si="7"/>
        <v>TUNTAS</v>
      </c>
      <c r="L70" s="16"/>
      <c r="N70" s="2">
        <f t="shared" si="5"/>
        <v>6.7</v>
      </c>
    </row>
    <row r="71" spans="1:14">
      <c r="A71" s="16">
        <v>64</v>
      </c>
      <c r="B71" s="20" t="s">
        <v>1132</v>
      </c>
      <c r="C71" s="21" t="s">
        <v>637</v>
      </c>
      <c r="D71" s="22" t="s">
        <v>377</v>
      </c>
      <c r="E71" s="16">
        <v>3</v>
      </c>
      <c r="F71" s="16">
        <v>3</v>
      </c>
      <c r="G71" s="16">
        <v>1</v>
      </c>
      <c r="H71" s="23">
        <f t="shared" si="2"/>
        <v>267</v>
      </c>
      <c r="I71" s="24">
        <f t="shared" si="0"/>
        <v>89</v>
      </c>
      <c r="J71" s="16">
        <f t="shared" si="6"/>
        <v>13</v>
      </c>
      <c r="K71" s="16" t="str">
        <f t="shared" si="7"/>
        <v>TUNTAS</v>
      </c>
      <c r="L71" s="16"/>
      <c r="N71" s="2">
        <f t="shared" si="5"/>
        <v>8.9</v>
      </c>
    </row>
    <row r="72" spans="1:14">
      <c r="A72" s="16">
        <v>65</v>
      </c>
      <c r="B72" s="20" t="s">
        <v>1133</v>
      </c>
      <c r="C72" s="26" t="s">
        <v>812</v>
      </c>
      <c r="D72" s="27" t="s">
        <v>380</v>
      </c>
      <c r="E72" s="16">
        <v>2</v>
      </c>
      <c r="F72" s="16">
        <v>0</v>
      </c>
      <c r="G72" s="16">
        <v>1</v>
      </c>
      <c r="H72" s="23">
        <f t="shared" si="2"/>
        <v>279</v>
      </c>
      <c r="I72" s="24">
        <f t="shared" ref="I72" si="8">H72/3</f>
        <v>93</v>
      </c>
      <c r="J72" s="16">
        <f t="shared" si="6"/>
        <v>9</v>
      </c>
      <c r="K72" s="16" t="str">
        <f t="shared" si="7"/>
        <v>TUNTAS</v>
      </c>
      <c r="L72" s="16"/>
      <c r="N72" s="2">
        <f t="shared" si="5"/>
        <v>9.3000000000000007</v>
      </c>
    </row>
    <row r="73" spans="1:14">
      <c r="N73" s="2">
        <f t="shared" ref="N73:N76" si="9">I73/10</f>
        <v>0</v>
      </c>
    </row>
    <row r="74" spans="1:14">
      <c r="N74" s="2">
        <f t="shared" si="9"/>
        <v>0</v>
      </c>
    </row>
    <row r="75" spans="1:14">
      <c r="N75" s="2">
        <f t="shared" si="9"/>
        <v>0</v>
      </c>
    </row>
    <row r="76" spans="1:14">
      <c r="N76" s="2">
        <f t="shared" si="9"/>
        <v>0</v>
      </c>
    </row>
  </sheetData>
  <autoFilter ref="B5:L7" xr:uid="{00000000-0001-0000-0700-000000000000}">
    <filterColumn colId="3" showButton="0"/>
    <filterColumn colId="4" showButton="0"/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9" priority="9" operator="equal">
      <formula>0</formula>
    </cfRule>
  </conditionalFormatting>
  <conditionalFormatting sqref="I5:I7">
    <cfRule type="cellIs" dxfId="8" priority="10" operator="lessThan">
      <formula>100</formula>
    </cfRule>
  </conditionalFormatting>
  <conditionalFormatting sqref="I5:I72">
    <cfRule type="cellIs" dxfId="7" priority="7" operator="lessThan">
      <formula>60</formula>
    </cfRule>
  </conditionalFormatting>
  <conditionalFormatting sqref="I8:I72">
    <cfRule type="cellIs" dxfId="6" priority="6" operator="lessThan">
      <formula>60</formula>
    </cfRule>
    <cfRule type="cellIs" dxfId="5" priority="8" operator="lessThan">
      <formula>50</formula>
    </cfRule>
  </conditionalFormatting>
  <conditionalFormatting sqref="K8:K72">
    <cfRule type="cellIs" dxfId="4" priority="1" operator="equal">
      <formula>"TIDAK BACA"</formula>
    </cfRule>
    <cfRule type="cellIs" dxfId="3" priority="2" operator="equal">
      <formula>"TIDAK TUNTAS"</formula>
    </cfRule>
    <cfRule type="cellIs" dxfId="2" priority="3" operator="equal">
      <formula>"TUNTAS"</formula>
    </cfRule>
    <cfRule type="cellIs" dxfId="1" priority="4" operator="equal">
      <formula>"TIDAK HADIR"</formula>
    </cfRule>
    <cfRule type="cellIs" dxfId="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C1F656D7-8481-4EEC-8963-569951782B12}"/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PENILAIAN</vt:lpstr>
      <vt:lpstr>I A </vt:lpstr>
      <vt:lpstr>I B</vt:lpstr>
      <vt:lpstr>I C</vt:lpstr>
      <vt:lpstr>II A</vt:lpstr>
      <vt:lpstr>II B</vt:lpstr>
      <vt:lpstr>II C</vt:lpstr>
      <vt:lpstr>III A</vt:lpstr>
      <vt:lpstr>III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MADINBAKID</dc:creator>
  <cp:lastModifiedBy>MADIN</cp:lastModifiedBy>
  <cp:lastPrinted>2024-07-14T04:13:00Z</cp:lastPrinted>
  <dcterms:created xsi:type="dcterms:W3CDTF">2020-06-13T14:39:00Z</dcterms:created>
  <dcterms:modified xsi:type="dcterms:W3CDTF">2026-07-04T09:21:42Z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A442130368984163809EB549C727B191_12</vt:lpwstr>
  </property>
  <property fmtid="{D5CDD505-2E9C-101B-9397-08002B2CF9AE}" pid="3" name="KSOProductBuildVer">
    <vt:lpwstr>2057-12.2.0.21546</vt:lpwstr>
  </property>
</Properties>
</file>